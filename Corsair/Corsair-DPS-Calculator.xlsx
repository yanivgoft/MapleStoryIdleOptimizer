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Corsair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DEX</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18</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FLAGGED ASSUMPTION (no individual wiki page exists, no cooldown stated — 18s assumed by convention matching similarly-shaped 2nd-job burst skills elsewhere): 'Fires three bullets consecutively at the target to deal 180% damage each.' factorIndex 12, baseDamage 1800 tenths%. PATCHED: single-target -&gt; up to 8 enemies ahead (targets field reflects this). Mastery mapped from Buccaneer's own Sea Serpent Burst - Damage @39 (+50%) slot — no exact 1:1 analog exists since Corsair has no mastery data at all, but both are the class's own 2nd-job attack-proc-shaped skill, so this role-mapping is a reasonable assumption. Maple Hero target — see MAPLE_HERO_RATIOS (biggest share, 4x Siege Bomber's own).</t>
        </is>
      </c>
    </row>
    <row r="4">
      <c r="A4" t="inlineStr">
        <is>
          <t>SCURVY_SUMMONS</t>
        </is>
      </c>
      <c r="B4" t="inlineStr">
        <is>
          <t>Scurvy Summons</t>
        </is>
      </c>
      <c r="C4" t="n">
        <v>2</v>
      </c>
      <c r="D4" t="n">
        <v>20</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FLAGGED ASSUMPTION (no individual wiki page exists, cooldown assumed = its own 20s duration, recast-on-expiry, same convention as every other summon/turret skill in this project): 'Summons the Dual Pistol Crew of the Nautilus for 20 sec. The Dual Pistol Crew deals 95% damage to the target 2 time(s) every 3 sec.' factorIndex 12, baseDamage 950 tenths%. PATCHED: tick interval 3s-&gt;1.5s (baked into ICD(s)), crew now hits up to 3 nearby targets instead of single-target (targets field reflects this).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t>
        </is>
      </c>
    </row>
    <row r="5">
      <c r="A5" t="inlineStr">
        <is>
          <t>ALL_ABOARD</t>
        </is>
      </c>
      <c r="B5" t="inlineStr">
        <is>
          <t>All Aboard</t>
        </is>
      </c>
      <c r="C5" t="n">
        <v>2</v>
      </c>
      <c r="D5" t="n">
        <v>20</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FLAGGED ASSUMPTION (no individual wiki page exists): 'Summons the Sharpshooter Crew upon using Scurvy Summons. The Sharpshooter Crew fires bullets every 4 sec to deal 190% damage to 3 target(s) near the main target 3 time(s).' Triggered BY Scurvy Summons — shares its own Cooldown(s)/duration values directly (CostsActionSlot=False so it doesn't double-count the action economy), same 'rides the parent skill's cast timing' pattern as Buccaneer's own Sea Serpent's Rage riding Octopunch. factorIndex 12, baseDamage 1100 tenths%. PATCHED: tick interval 4s-&gt;2s (baked into ICD(s)), damage 190%-&gt;110%, targets 3-&gt;8. No clean Buccaneer mastery-slot analog — left unmodeled. Ahoy Mateys target — see AHOY_MATEYS_RATIOS (0.4x Scurvy Summons' own share).</t>
        </is>
      </c>
    </row>
    <row r="6">
      <c r="A6" t="inlineStr">
        <is>
          <t>BLACKBOOT_BILL</t>
        </is>
      </c>
      <c r="B6" t="inlineStr">
        <is>
          <t>Blackboot Bill</t>
        </is>
      </c>
      <c r="C6" t="n">
        <v>3</v>
      </c>
      <c r="D6" t="n">
        <v>20</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FLAGGED ASSUMPTION (no individual wiki page exists, no cooldown stated — 20s assumed by convention matching Buccaneer's own similarly-shaped Corkscrew Blow): 'Fires a giant bullet to deal 170% damage to 6 target(s) in front 4 time(s) and stun them for 2 sec' (stun not modeled). factorIndex 12, baseDamage 1700 tenths%. PATCHED: targets 6-&gt;9.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30</v>
      </c>
      <c r="E7" t="b">
        <v>1</v>
      </c>
      <c r="F7" t="n">
        <v>1</v>
      </c>
      <c r="G7" t="n">
        <v>1</v>
      </c>
      <c r="H7" t="n">
        <v>1.5</v>
      </c>
      <c r="I7" t="n">
        <v>30</v>
      </c>
      <c r="J7" t="n">
        <v>100</v>
      </c>
      <c r="K7" t="n">
        <v>1</v>
      </c>
      <c r="L7" t="n">
        <v>1900</v>
      </c>
      <c r="M7" t="n">
        <v>12</v>
      </c>
      <c r="N7" t="b">
        <v>1</v>
      </c>
      <c r="O7" t="n">
        <v>0</v>
      </c>
      <c r="P7" t="n">
        <v>0</v>
      </c>
      <c r="Q7" t="n">
        <v>0</v>
      </c>
      <c r="R7" t="n">
        <v>6</v>
      </c>
      <c r="S7" t="inlineStr"/>
      <c r="T7" t="n">
        <v>0</v>
      </c>
      <c r="U7" t="n">
        <v>100</v>
      </c>
      <c r="V7" t="n">
        <v>23</v>
      </c>
      <c r="W7" t="inlineStr">
        <is>
          <t>FLAGGED ASSUMPTION (no individual wiki page exists, cooldown assumed = its own 30s duration, recast-on-expiry): 'Installs a fixed cannon for 30 sec to deal 290% damage to 4 target(s) near the main target every 2.5 sec.' factorIndex 12, baseDamage 1900 tenths%. PATCHED: tick interval 2.5s-&gt;1.5s (baked into ICD(s)), damage 290%-&gt;190%, targets 4-&gt;6. Standard ActiveWindow/ICD turret machinery, same as Bowmaster's own Arrow Platter. No clean Buccaneer mastery-slot analog — left unmodeled. Maple Hero target — see MAPLE_HERO_RATIOS (smallest share, ratio 1.0).</t>
        </is>
      </c>
    </row>
    <row r="8">
      <c r="A8" t="inlineStr">
        <is>
          <t>BRAIN_SCRAMBLER</t>
        </is>
      </c>
      <c r="B8" t="inlineStr">
        <is>
          <t>Brain Scrambler</t>
        </is>
      </c>
      <c r="C8" t="n">
        <v>4</v>
      </c>
      <c r="D8" t="n">
        <v>15</v>
      </c>
      <c r="E8" t="b">
        <v>1</v>
      </c>
      <c r="F8" t="n">
        <v>1</v>
      </c>
      <c r="G8" t="n">
        <v>2</v>
      </c>
      <c r="H8" t="n">
        <v>0</v>
      </c>
      <c r="I8" t="n">
        <v>0</v>
      </c>
      <c r="J8" t="n">
        <v>100</v>
      </c>
      <c r="K8" t="n">
        <v>1</v>
      </c>
      <c r="L8" t="n">
        <v>29000</v>
      </c>
      <c r="M8" t="n">
        <v>12</v>
      </c>
      <c r="N8" t="b">
        <v>1</v>
      </c>
      <c r="O8">
        <f>SUMPRODUCT((Inputs!$B$3&gt;={108})*{50})</f>
        <v/>
      </c>
      <c r="P8" t="n">
        <v>0</v>
      </c>
      <c r="Q8" t="n">
        <v>0</v>
      </c>
      <c r="R8" t="n">
        <v>1</v>
      </c>
      <c r="S8" t="inlineStr"/>
      <c r="T8" t="n">
        <v>0</v>
      </c>
      <c r="U8" t="inlineStr"/>
      <c r="V8" t="inlineStr"/>
      <c r="W8" t="inlineStr">
        <is>
          <t>FLAGGED ASSUMPTION (no individual wiki page exists, no cooldown stated — 15s assumed by convention matching Buccaneer's own similarly-shaped 4th-job burst skill Octopunch): 'Hits the target's head to deal 2900% damage 2 time(s).' factorIndex 12, baseDamage 29000 tenths%, single target. Mastery mapped from Buccaneer's own Octopunch - Damage @108 (+50%) slot — both are the class's own 4th-job single-target burst skill. Also feeds Majestic Presence's own combined trigger rate — see MAJESTIC_PRESENCE's own Note.</t>
        </is>
      </c>
    </row>
    <row r="9">
      <c r="A9" t="inlineStr">
        <is>
          <t>NAUTILUS_STRIKE</t>
        </is>
      </c>
      <c r="B9" t="inlineStr">
        <is>
          <t>Nautilus Strike</t>
        </is>
      </c>
      <c r="C9" t="n">
        <v>4</v>
      </c>
      <c r="D9" t="n">
        <v>45</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wiki description on both classes' overview pages: 'Orders the Nautilus to attack to deal 1950% damage to 15 nearby target(s) 5 time(s).') — reuses Buccaneer's exact FLAGGED-ASSUMPTION (19500, 12) tuple directly, not re-derived. Cooldown (45s) also reused from Buccaneer's own assumption. Mastery mapped from Buccaneer's own Nautilus Strike - Damage @126 (+50%) slot — since this is the SAME shared skill, this mapping is higher-confidence than most other role-mapped masteries in this workbook.</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FLAGGED ASSUMPTION (no individual wiki page exists, but cooldown IS explicitly stated in the patch notes — see below): 'Fires bullets at a very high speed 7 time(s) to deal 1350% damage each.' factorIndex 12, baseDamage 18000 tenths% (already reflects the patch). PATCHED: single-target -&gt; up to 9 enemies (targets field), damage 1350%-&gt;1800% (curve rescaled 1800/1350=1.333x before applying), cooldown 21s-&gt;17s (Cooldown(s) already reflects the patched value directly, unlike every other assumed cooldown in this workbook — this one has an actual documented number). No clean Buccaneer mastery-slot analog — left unmodeled. Also feeds Majestic Presence's own combined trigger rate.</t>
        </is>
      </c>
    </row>
    <row r="12">
      <c r="A12" t="inlineStr">
        <is>
          <t>BROADSIDE_BURST</t>
        </is>
      </c>
      <c r="B12" t="inlineStr">
        <is>
          <t>Broadside (initial burst)</t>
        </is>
      </c>
      <c r="C12" t="n">
        <v>4</v>
      </c>
      <c r="D12" t="n">
        <v>30</v>
      </c>
      <c r="E12" t="b">
        <v>1</v>
      </c>
      <c r="F12" t="n">
        <v>1</v>
      </c>
      <c r="G12" t="n">
        <v>2</v>
      </c>
      <c r="H12" t="n">
        <v>0</v>
      </c>
      <c r="I12" t="n">
        <v>0</v>
      </c>
      <c r="J12" t="n">
        <v>100</v>
      </c>
      <c r="K12" t="n">
        <v>1</v>
      </c>
      <c r="L12" t="n">
        <v>50000</v>
      </c>
      <c r="M12" t="n">
        <v>12</v>
      </c>
      <c r="N12" t="b">
        <v>1</v>
      </c>
      <c r="O12">
        <f>SUMPRODUCT((Inputs!$B$3&gt;={122})*{100})</f>
        <v/>
      </c>
      <c r="P12" t="n">
        <v>0</v>
      </c>
      <c r="Q12" t="n">
        <v>0</v>
      </c>
      <c r="R12" t="n">
        <v>10</v>
      </c>
      <c r="S12" t="inlineStr"/>
      <c r="T12" t="n">
        <v>0</v>
      </c>
      <c r="U12" t="inlineStr"/>
      <c r="V12" t="inlineStr"/>
      <c r="W12" t="inlineStr">
        <is>
          <t>FLAGGED ASSUMPTION (no individual wiki page exists, cooldown assumed = its own 30s sustained-phase duration, recast-on-expiry): 'Summons the Nautilus's Battleship. The Battleship arrives behind 3 sec later and deals 3800% damage to 5 nearby target(s) 2 time(s).' (the 3s arrival delay is not modeled — folded into a same-cast instant hit, same simplification tier as every other 'delayed burst' skill in this project). factorIndex 12, baseDamage 50000 tenths% (already reflects the patch). PATCHED: damage 3800%-&gt;5000%, targets 5-&gt;10. This row pays the real Cooldown(s)/action-slot cost; see BROADSIDE_SUSTAINED for the follow-up turret phase, which rides this row's own cast timing. Mastery mapped from Buccaneer's own Sea Serpent's Rage - Damage @122 (+100%) slot — both are the class's own 4th-job summon-triggered burst effect.</t>
        </is>
      </c>
    </row>
    <row r="13">
      <c r="A13" t="inlineStr">
        <is>
          <t>BROADSIDE_SUSTAINED</t>
        </is>
      </c>
      <c r="B13" t="inlineStr">
        <is>
          <t>Broadside (sustained turret)</t>
        </is>
      </c>
      <c r="C13" t="n">
        <v>4</v>
      </c>
      <c r="D13" t="n">
        <v>30</v>
      </c>
      <c r="E13" t="b">
        <v>0</v>
      </c>
      <c r="F13" t="n">
        <v>1</v>
      </c>
      <c r="G13" t="n">
        <v>1</v>
      </c>
      <c r="H13" t="n">
        <v>2</v>
      </c>
      <c r="I13" t="n">
        <v>30</v>
      </c>
      <c r="J13" t="n">
        <v>100</v>
      </c>
      <c r="K13" t="n">
        <v>1</v>
      </c>
      <c r="L13" t="n">
        <v>33000</v>
      </c>
      <c r="M13" t="n">
        <v>12</v>
      </c>
      <c r="N13" t="b">
        <v>1</v>
      </c>
      <c r="O13" t="n">
        <v>0</v>
      </c>
      <c r="P13" t="n">
        <v>0</v>
      </c>
      <c r="Q13" t="n">
        <v>0</v>
      </c>
      <c r="R13" t="n">
        <v>5</v>
      </c>
      <c r="S13" t="inlineStr"/>
      <c r="T13" t="n">
        <v>0</v>
      </c>
      <c r="U13" t="inlineStr"/>
      <c r="V13" t="inlineStr"/>
      <c r="W13" t="inlineStr">
        <is>
          <t>FLAGGED ASSUMPTION (no individual wiki page exists, target count assumed = the burst phase's own PRE-patch value of 5, since the Aug 13 patch notes only cover the initial burst numbers, not this sustained phase — its patch status is genuinely unstated, not necessarily unchanged): 'Afterward it stays for 30 sec and deals 3300% damage to target(s) in front of the Battleship every 2 sec.' factorIndex 12, baseDamage 33000 tenths%. Shares BROADSIDE_BURST's own Cooldown(s) value (same cast timing, CostsActionSlot=False so it doesn't double-count the action economy) — same 'rides the parent's cast timing' pattern as ALL_ABOARD riding SCURVY_SUMMONS.</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t="n">
        <v>0</v>
      </c>
      <c r="P14" t="n">
        <v>0</v>
      </c>
      <c r="Q14" t="n">
        <v>0</v>
      </c>
      <c r="R14" t="n">
        <v>6</v>
      </c>
      <c r="S14" t="inlineStr"/>
      <c r="T14" t="n">
        <v>0</v>
      </c>
      <c r="U14" t="inlineStr"/>
      <c r="V14" t="inlineStr"/>
      <c r="W14" t="inlineStr">
        <is>
          <t>FLAGGED ASSUMPTION (no individual wiki page exists): 'When attacking with Basic Attacks Brain Scrambler or Rapid Fire deals 1800% additional damage with a 25% chance.' PATCHED: single-target -&gt; up to 6 enemies near target (targets field). factorIndex 12, baseDamage 18000 tenths%.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0</v>
      </c>
      <c r="N17" t="b">
        <v>0</v>
      </c>
      <c r="O17" t="n">
        <v>0</v>
      </c>
      <c r="P17" t="n">
        <v>0</v>
      </c>
      <c r="Q17" t="n">
        <v>0</v>
      </c>
      <c r="R17" t="n">
        <v>0</v>
      </c>
      <c r="S17" t="inlineStr">
        <is>
          <t>ATTACK</t>
        </is>
      </c>
      <c r="T17" t="n">
        <v>0</v>
      </c>
      <c r="U17" t="inlineStr"/>
      <c r="V17" t="inlineStr"/>
      <c r="W17" t="inlineStr">
        <is>
          <t>CONFIRMED SHARED VERBATIM WITH BUCCANEER (byte-identical wiki description, discovered during this build — not called out by the original research report): 'Increases Attack by 20%. Rolls a six-sided die every 7 sec to increase Attack by 0-5% in proportion to the number on the die for 5 sec. A number that has appeared once does not appear again for 30 sec.' Reuses Buccaneer's exact treatment: this row models ONLY the random dice component, approximated at its average roll (2.5%, the midpoint of 0-5%) treated as an always-active flat bonus once unlocked. The flat, unconditional '+20% Attack' base effect is Magic-Critical-pattern (assumed already reflected in your own Inputs!ATTACK_PCT, see PASSIVE_DELTA_SLOT). factorIndex 0 (non-scaling placeholder), baseDamage 25 tenths%.</t>
        </is>
      </c>
    </row>
    <row r="18">
      <c r="A18" t="inlineStr">
        <is>
          <t>JOLLY_ROGER_FD</t>
        </is>
      </c>
      <c r="B18" t="inlineStr">
        <is>
          <t>Jolly Roger</t>
        </is>
      </c>
      <c r="C18" t="n">
        <v>4</v>
      </c>
      <c r="D18" t="inlineStr"/>
      <c r="E18" t="b">
        <v>0</v>
      </c>
      <c r="F18" t="n">
        <v>1</v>
      </c>
      <c r="G18" t="n">
        <v>1</v>
      </c>
      <c r="H18" t="n">
        <v>0</v>
      </c>
      <c r="I18" t="n">
        <v>0</v>
      </c>
      <c r="J18" t="n">
        <v>100</v>
      </c>
      <c r="K18" t="n">
        <v>1</v>
      </c>
      <c r="L18" t="n">
        <v>150</v>
      </c>
      <c r="M18" t="n">
        <v>22</v>
      </c>
      <c r="N18" t="b">
        <v>1</v>
      </c>
      <c r="O18" t="n">
        <v>0</v>
      </c>
      <c r="P18" t="n">
        <v>0</v>
      </c>
      <c r="Q18" t="n">
        <v>0</v>
      </c>
      <c r="R18" t="n">
        <v>0</v>
      </c>
      <c r="S18" t="inlineStr">
        <is>
          <t>FINAL_DAMAGE</t>
        </is>
      </c>
      <c r="T18" t="n">
        <v>0</v>
      </c>
      <c r="U18" t="inlineStr"/>
      <c r="V18" t="inlineStr"/>
      <c r="W18" t="inlineStr">
        <is>
          <t>FLAGGED ASSUMPTION (no individual wiki page exists, no cooldown stated — modeled as always-active steady-state once unlocked, same tier as Buccaneer's own Crossbones/Time Leap):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FLAGGED ASSUMPTION (no individual wiki page exists, though byte-identical wording to Buccaneer's own Shadow Heart): 'Increases Critical Rate by 5%.' factorIndex 22, baseDamage 50 tenths%.</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1st-Job Skill Level Bonus delta. FLAGGED ASSUMPTION (no individual wiki page exists, though byte-identical wording to Buccaneer's own Quick Motion): 'Increases Attack Speed by 6% and Speed by 8%' (Speed not modeled). Like Buccaneer, Corsair has NO Nimble-Feet-style live AS buff — Quick Motion is a flat passive. factorIndex 22, baseDamage 60 tenths%.</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T1" t="inlineStr">
        <is>
          <t>BossOnlyDPS</t>
        </is>
      </c>
      <c r="V1" t="inlineStr">
        <is>
          <t>NormalOnlyDPS</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J2*(1+Summary!$B$51/100)*(1+Inputs!$B$15/100)*(1+Inputs!$B$16/100)*(5000/(6000+Inputs!$B$42*(1-Inputs!$B$19/100)))*(1+(Inputs!$B$24+Summary!$B$65)/100)*(1+(IF(Skills!A2="EIGHT_LEGS_EASTON",Inputs!$B$17,Inputs!$B$18))/100)*(Summary!$B$57*I2)</f>
        <v/>
      </c>
      <c r="L2">
        <f>K2*(MIN(Inputs!$B$22,Inputs!$B$23)/100+Inputs!$B$23/100)/2</f>
        <v/>
      </c>
      <c r="M2">
        <f>L2*(1+(Inputs!$B$10+Summary!$B$64)/100)</f>
        <v/>
      </c>
      <c r="N2">
        <f>L2*(1-MIN((Inputs!$B$9+Summary!$B$58),100)/100)+M2*(MIN((Inputs!$B$9+Summary!$B$58),100)/100)</f>
        <v/>
      </c>
      <c r="O2">
        <f>(1-Summary!$B$55)*T2+Summary!$B$55*V2</f>
        <v/>
      </c>
      <c r="P2">
        <f>IF(Summary!$B$3=0,0,O2/Summary!$B$3)</f>
        <v/>
      </c>
      <c r="Q2" t="n">
        <v>0</v>
      </c>
      <c r="R2" t="n">
        <v>0</v>
      </c>
      <c r="S2">
        <f>IFERROR(O2/N2,0)</f>
        <v/>
      </c>
      <c r="T2">
        <f>IF(C2,(Skills!G2*N2*Summary!$B$63)*IF(Inputs!$B$38="pvp",1,1+(Inputs!$B$20+Skills!P2+Summary!$B$59)/100),0)</f>
        <v/>
      </c>
      <c r="V2">
        <f>IF(C2,(Skills!G2*N2*Summary!$B$63)*IF(Inputs!$B$38="pvp",1,(1+(Inputs!$B$21+Skills!Q2+Summary!$B$59)/100)*(MIN(Skills!R2,Inputs!$B$37))),0)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J3*(1+Summary!$B$51/100)*(1+Inputs!$B$15/100)*(1+Inputs!$B$16/100)*(5000/(6000+Inputs!$B$42*(1-Inputs!$B$19/100)))*(1+(Inputs!$B$24+Summary!$B$65)/100)*(1+4.0*IF(C15=TRUE,F15,0)/100)*(1+(IF(Skills!A3="EIGHT_LEGS_EASTON",Inputs!$B$17,Inputs!$B$18))/100)*(Summary!$B$57*I3)</f>
        <v/>
      </c>
      <c r="L3">
        <f>K3*(MIN(Inputs!$B$22,Inputs!$B$23)/100+Inputs!$B$23/100)/2</f>
        <v/>
      </c>
      <c r="M3">
        <f>L3*(1+(Inputs!$B$10+Summary!$B$64)/100)</f>
        <v/>
      </c>
      <c r="N3">
        <f>L3*(1-MIN((Inputs!$B$9+Summary!$B$58),100)/100)+M3*(MIN((Inputs!$B$9+Summary!$B$58),100)/100)</f>
        <v/>
      </c>
      <c r="O3">
        <f>(1-Summary!$B$55)*T3+Summary!$B$55*V3</f>
        <v/>
      </c>
      <c r="P3">
        <f>IF(Summary!$B$3=0,0,O3/Summary!$B$3)</f>
        <v/>
      </c>
      <c r="Q3">
        <f>IFERROR(1/IF(Inputs!$B$38="pvp",15,MAX(0.1,Skills!D3-IF(Skills!E3=TRUE,Inputs!$B$32,0))),0)</f>
        <v/>
      </c>
      <c r="R3">
        <f>IF(AND(Inputs!$B$38&lt;&gt;"pvp",Inputs!$B$43&gt;0),IF(MAX(0,Inputs!$B$43-Summary!$B$67)&lt;=0,0,(INT(MAX(0,Inputs!$B$43-Summary!$B$67)/IF(Inputs!$B$38="pvp",15,MAX(0.1,Skills!D3-IF(Skills!E3=TRUE,Inputs!$B$32,0))))+1)),0)</f>
        <v/>
      </c>
      <c r="S3">
        <f>IFERROR(O3/N3,0)</f>
        <v/>
      </c>
      <c r="T3">
        <f>IF(C3,(H3*N3*IF(AND(Inputs!$B$38&lt;&gt;"pvp",Inputs!$B$43&gt;0),((Skills!G3*((R3-1)*IF(Skills!H3&gt;0,Skills!I3/Skills!H3,1)+IF(Skills!H3&gt;0,MIN(Skills!I3,MAX(0,MAX(0,Inputs!$B$43-Summary!$B$67)-((R3-1)*IF(Inputs!$B$38="pvp",15,MAX(0.1,Skills!D3-IF(Skills!E3=TRUE,Inputs!$B$32,0))))))/Skills!H3,1)))/Inputs!$B$43),G3*Q3))*IF(Inputs!$B$38="pvp",1,1+(Inputs!$B$20+Skills!P3+Summary!$B$59)/100),0)</f>
        <v/>
      </c>
      <c r="V3">
        <f>IF(C3,(H3*N3*IF(AND(Inputs!$B$38&lt;&gt;"pvp",Inputs!$B$43&gt;0),((Skills!G3*((R3-1)*IF(Skills!H3&gt;0,Skills!I3/Skills!H3,1)+IF(Skills!H3&gt;0,MIN(Skills!I3,MAX(0,MAX(0,Inputs!$B$43-Summary!$B$67)-((R3-1)*IF(Inputs!$B$38="pvp",15,MAX(0.1,Skills!D3-IF(Skills!E3=TRUE,Inputs!$B$32,0))))))/Skills!H3,1)))/Inputs!$B$43),G3*Q3))*IF(Inputs!$B$38="pvp",1,(1+(Inputs!$B$21+Skills!Q3+Summary!$B$59)/100)*(MIN(Skills!R3,Inputs!$B$37))),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J4*(1+Summary!$B$51/100)*(1+Inputs!$B$15/100)*(1+Inputs!$B$16/100)*(5000/(6000+Inputs!$B$42*(1-Inputs!$B$19/100)))*(1+(Inputs!$B$24+Summary!$B$65)/100)*(1+1.0*IF(C16=TRUE,F16,0)/100)*(1+(IF(Skills!A4="EIGHT_LEGS_EASTON",Inputs!$B$17,Inputs!$B$18))/100)*(Summary!$B$57*I4)</f>
        <v/>
      </c>
      <c r="L4">
        <f>K4*(MIN(Inputs!$B$22,Inputs!$B$23)/100+Inputs!$B$23/100)/2</f>
        <v/>
      </c>
      <c r="M4">
        <f>L4*(1+(Inputs!$B$10+Summary!$B$64)/100)</f>
        <v/>
      </c>
      <c r="N4">
        <f>L4*(1-MIN((Inputs!$B$9+Summary!$B$58),100)/100)+M4*(MIN((Inputs!$B$9+Summary!$B$58),100)/100)</f>
        <v/>
      </c>
      <c r="O4">
        <f>(1-Summary!$B$55)*T4+Summary!$B$55*V4</f>
        <v/>
      </c>
      <c r="P4">
        <f>IF(Summary!$B$3=0,0,O4/Summary!$B$3)</f>
        <v/>
      </c>
      <c r="Q4">
        <f>IFERROR(1/IF(Inputs!$B$38="pvp",15,MAX(0.1,Skills!D4-IF(Skills!E4=TRUE,Inputs!$B$32,0))),0)</f>
        <v/>
      </c>
      <c r="R4">
        <f>IF(AND(Inputs!$B$38&lt;&gt;"pvp",Inputs!$B$43&gt;0),IF(MAX(0,Inputs!$B$43-Summary!$B$67)&lt;=0,0,(INT(MAX(0,Inputs!$B$43-Summary!$B$67)/IF(Inputs!$B$38="pvp",15,MAX(0.1,Skills!D4-IF(Skills!E4=TRUE,Inputs!$B$32,0))))+1)),0)</f>
        <v/>
      </c>
      <c r="S4">
        <f>IFERROR(O4/N4,0)</f>
        <v/>
      </c>
      <c r="T4">
        <f>IF(C4,(H4*N4*IF(AND(Inputs!$B$38&lt;&gt;"pvp",Inputs!$B$43&gt;0),((Skills!G4*((R4-1)*IF(Skills!H4&gt;0,Skills!I4/Skills!H4,1)+IF(Skills!H4&gt;0,MIN(Skills!I4,MAX(0,MAX(0,Inputs!$B$43-Summary!$B$67)-((R4-1)*IF(Inputs!$B$38="pvp",15,MAX(0.1,Skills!D4-IF(Skills!E4=TRUE,Inputs!$B$32,0))))))/Skills!H4,1)))/Inputs!$B$43),G4*Q4))*IF(Inputs!$B$38="pvp",1,1+(Inputs!$B$20+Skills!P4+Summary!$B$59)/100),0)</f>
        <v/>
      </c>
      <c r="V4">
        <f>IF(C4,(H4*N4*IF(AND(Inputs!$B$38&lt;&gt;"pvp",Inputs!$B$43&gt;0),((Skills!G4*((R4-1)*IF(Skills!H4&gt;0,Skills!I4/Skills!H4,1)+IF(Skills!H4&gt;0,MIN(Skills!I4,MAX(0,MAX(0,Inputs!$B$43-Summary!$B$67)-((R4-1)*IF(Inputs!$B$38="pvp",15,MAX(0.1,Skills!D4-IF(Skills!E4=TRUE,Inputs!$B$32,0))))))/Skills!H4,1)))/Inputs!$B$43),G4*Q4))*IF(Inputs!$B$38="pvp",1,(1+(Inputs!$B$21+Skills!Q4+Summary!$B$59)/100)*(MIN(Skills!R4,Inputs!$B$37))),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J5*(1+Summary!$B$51/100)*(1+Inputs!$B$15/100)*(1+Inputs!$B$16/100)*(5000/(6000+Inputs!$B$42*(1-Inputs!$B$19/100)))*(1+(Inputs!$B$24+Summary!$B$65)/100)*(1+0.4*IF(C16=TRUE,F16,0)/100)*(1+(IF(Skills!A5="EIGHT_LEGS_EASTON",Inputs!$B$17,Inputs!$B$18))/100)*(Summary!$B$57*I5)</f>
        <v/>
      </c>
      <c r="L5">
        <f>K5*(MIN(Inputs!$B$22,Inputs!$B$23)/100+Inputs!$B$23/100)/2</f>
        <v/>
      </c>
      <c r="M5">
        <f>L5*(1+(Inputs!$B$10+Summary!$B$64)/100)</f>
        <v/>
      </c>
      <c r="N5">
        <f>L5*(1-MIN((Inputs!$B$9+Summary!$B$58),100)/100)+M5*(MIN((Inputs!$B$9+Summary!$B$58),100)/100)</f>
        <v/>
      </c>
      <c r="O5">
        <f>(1-Summary!$B$55)*T5+Summary!$B$55*V5</f>
        <v/>
      </c>
      <c r="P5">
        <f>IF(Summary!$B$3=0,0,O5/Summary!$B$3)</f>
        <v/>
      </c>
      <c r="Q5">
        <f>IFERROR(1/IF(Inputs!$B$38="pvp",15,MAX(0.1,Skills!D5-IF(Skills!E5=TRUE,Inputs!$B$32,0))),0)</f>
        <v/>
      </c>
      <c r="R5">
        <f>IF(AND(Inputs!$B$38&lt;&gt;"pvp",Inputs!$B$43&gt;0),IF(MAX(0,Inputs!$B$43-Summary!$B$67)&lt;=0,0,(INT(MAX(0,Inputs!$B$43-Summary!$B$67)/IF(Inputs!$B$38="pvp",15,MAX(0.1,Skills!D5-IF(Skills!E5=TRUE,Inputs!$B$32,0))))+1)),0)</f>
        <v/>
      </c>
      <c r="S5">
        <f>IFERROR(O5/N5,0)</f>
        <v/>
      </c>
      <c r="T5">
        <f>IF(C5,(H5*N5*IF(AND(Inputs!$B$38&lt;&gt;"pvp",Inputs!$B$43&gt;0),((Skills!G5*((R5-1)*IF(Skills!H5&gt;0,Skills!I5/Skills!H5,1)+IF(Skills!H5&gt;0,MIN(Skills!I5,MAX(0,MAX(0,Inputs!$B$43-Summary!$B$67)-((R5-1)*IF(Inputs!$B$38="pvp",15,MAX(0.1,Skills!D5-IF(Skills!E5=TRUE,Inputs!$B$32,0))))))/Skills!H5,1)))/Inputs!$B$43),G5*Q5))*IF(Inputs!$B$38="pvp",1,1+(Inputs!$B$20+Skills!P5+Summary!$B$59)/100),0)</f>
        <v/>
      </c>
      <c r="V5">
        <f>IF(C5,(H5*N5*IF(AND(Inputs!$B$38&lt;&gt;"pvp",Inputs!$B$43&gt;0),((Skills!G5*((R5-1)*IF(Skills!H5&gt;0,Skills!I5/Skills!H5,1)+IF(Skills!H5&gt;0,MIN(Skills!I5,MAX(0,MAX(0,Inputs!$B$43-Summary!$B$67)-((R5-1)*IF(Inputs!$B$38="pvp",15,MAX(0.1,Skills!D5-IF(Skills!E5=TRUE,Inputs!$B$32,0))))))/Skills!H5,1)))/Inputs!$B$43),G5*Q5))*IF(Inputs!$B$38="pvp",1,(1+(Inputs!$B$21+Skills!Q5+Summary!$B$59)/100)*(MIN(Skills!R5,Inputs!$B$37))),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J6*(1+Summary!$B$51/100)*(1+Inputs!$B$15/100)*(1+Inputs!$B$16/100)*(5000/(6000+Inputs!$B$42*(1-Inputs!$B$19/100)))*(1+(Inputs!$B$24+Summary!$B$65)/100)*(1+2.0*IF(C15=TRUE,F15,0)/100)*(1+(IF(Skills!A6="EIGHT_LEGS_EASTON",Inputs!$B$17,Inputs!$B$18))/100)*(Summary!$B$57*I6)</f>
        <v/>
      </c>
      <c r="L6">
        <f>K6*(MIN(Inputs!$B$22,Inputs!$B$23)/100+Inputs!$B$23/100)/2</f>
        <v/>
      </c>
      <c r="M6">
        <f>L6*(1+(Inputs!$B$10+Summary!$B$64)/100)</f>
        <v/>
      </c>
      <c r="N6">
        <f>L6*(1-MIN((Inputs!$B$9+Summary!$B$58),100)/100)+M6*(MIN((Inputs!$B$9+Summary!$B$58),100)/100)</f>
        <v/>
      </c>
      <c r="O6">
        <f>(1-Summary!$B$55)*T6+Summary!$B$55*V6</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c r="T6">
        <f>IF(C6,(H6*N6*IF(AND(Inputs!$B$38&lt;&gt;"pvp",Inputs!$B$43&gt;0),((Skills!G6*((R6-1)*IF(Skills!H6&gt;0,Skills!I6/Skills!H6,1)+IF(Skills!H6&gt;0,MIN(Skills!I6,MAX(0,MAX(0,Inputs!$B$43-Summary!$B$67)-((R6-1)*IF(Inputs!$B$38="pvp",15,MAX(0.1,Skills!D6-IF(Skills!E6=TRUE,Inputs!$B$32,0))))))/Skills!H6,1)))/Inputs!$B$43),G6*Q6))*IF(Inputs!$B$38="pvp",1,1+(Inputs!$B$20+Skills!P6+Summary!$B$59)/100),0)</f>
        <v/>
      </c>
      <c r="V6">
        <f>IF(C6,(H6*N6*IF(AND(Inputs!$B$38&lt;&gt;"pvp",Inputs!$B$43&gt;0),((Skills!G6*((R6-1)*IF(Skills!H6&gt;0,Skills!I6/Skills!H6,1)+IF(Skills!H6&gt;0,MIN(Skills!I6,MAX(0,MAX(0,Inputs!$B$43-Summary!$B$67)-((R6-1)*IF(Inputs!$B$38="pvp",15,MAX(0.1,Skills!D6-IF(Skills!E6=TRUE,Inputs!$B$32,0))))))/Skills!H6,1)))/Inputs!$B$43),G6*Q6))*IF(Inputs!$B$38="pvp",1,(1+(Inputs!$B$21+Skills!Q6+Summary!$B$59)/100)*(MIN(Skills!R6,Inputs!$B$37))),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J7*(1+Summary!$B$51/100)*(1+Inputs!$B$15/100)*(1+Inputs!$B$16/100)*(5000/(6000+Inputs!$B$42*(1-Inputs!$B$19/100)))*(1+(Inputs!$B$24+Summary!$B$65)/100)*(1+1.0*IF(C15=TRUE,F15,0)/100)*(1+(IF(Skills!A7="EIGHT_LEGS_EASTON",Inputs!$B$17,Inputs!$B$18))/100)*(Summary!$B$57*I7)</f>
        <v/>
      </c>
      <c r="L7">
        <f>K7*(MIN(Inputs!$B$22,Inputs!$B$23)/100+Inputs!$B$23/100)/2</f>
        <v/>
      </c>
      <c r="M7">
        <f>L7*(1+(Inputs!$B$10+Summary!$B$64)/100)</f>
        <v/>
      </c>
      <c r="N7">
        <f>L7*(1-MIN((Inputs!$B$9+Summary!$B$58),100)/100)+M7*(MIN((Inputs!$B$9+Summary!$B$58),100)/100)</f>
        <v/>
      </c>
      <c r="O7">
        <f>(1-Summary!$B$55)*T7+Summary!$B$55*V7</f>
        <v/>
      </c>
      <c r="P7">
        <f>IF(Summary!$B$3=0,0,O7/Summary!$B$3)</f>
        <v/>
      </c>
      <c r="Q7">
        <f>IFERROR(1/IF(Inputs!$B$38="pvp",15,MAX(0.1,Skills!D7-IF(Skills!E7=TRUE,Inputs!$B$32,0))),0)</f>
        <v/>
      </c>
      <c r="R7">
        <f>IF(AND(Inputs!$B$38&lt;&gt;"pvp",Inputs!$B$43&gt;0),IF(MAX(0,Inputs!$B$43-Summary!$B$67)&lt;=0,0,(INT(MAX(0,Inputs!$B$43-Summary!$B$67)/IF(Inputs!$B$38="pvp",15,MAX(0.1,Skills!D7-IF(Skills!E7=TRUE,Inputs!$B$32,0))))+1)),0)</f>
        <v/>
      </c>
      <c r="S7">
        <f>IFERROR(O7/N7,0)</f>
        <v/>
      </c>
      <c r="T7">
        <f>IF(C7,(H7*N7*IF(AND(Inputs!$B$38&lt;&gt;"pvp",Inputs!$B$43&gt;0),((Skills!G7*((R7-1)*IF(Skills!H7&gt;0,Skills!I7/Skills!H7,1)+IF(Skills!H7&gt;0,MIN(Skills!I7,MAX(0,MAX(0,Inputs!$B$43-Summary!$B$67)-((R7-1)*IF(Inputs!$B$38="pvp",15,MAX(0.1,Skills!D7-IF(Skills!E7=TRUE,Inputs!$B$32,0))))))/Skills!H7,1)))/Inputs!$B$43),G7*Q7))*IF(Inputs!$B$38="pvp",1,1+(Inputs!$B$20+Skills!P7+Summary!$B$59)/100),0)</f>
        <v/>
      </c>
      <c r="V7">
        <f>IF(C7,(H7*N7*IF(AND(Inputs!$B$38&lt;&gt;"pvp",Inputs!$B$43&gt;0),((Skills!G7*((R7-1)*IF(Skills!H7&gt;0,Skills!I7/Skills!H7,1)+IF(Skills!H7&gt;0,MIN(Skills!I7,MAX(0,MAX(0,Inputs!$B$43-Summary!$B$67)-((R7-1)*IF(Inputs!$B$38="pvp",15,MAX(0.1,Skills!D7-IF(Skills!E7=TRUE,Inputs!$B$32,0))))))/Skills!H7,1)))/Inputs!$B$43),G7*Q7))*IF(Inputs!$B$38="pvp",1,(1+(Inputs!$B$21+Skills!Q7+Summary!$B$59)/100)*(MIN(Skills!R7,Inputs!$B$37))),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J8*(1+Summary!$B$51/100)*(1+Inputs!$B$15/100)*(1+Inputs!$B$16/100)*(5000/(6000+Inputs!$B$42*(1-Inputs!$B$19/100)))*(1+(Inputs!$B$24+Summary!$B$65)/100)*(1+(IF(Skills!A8="EIGHT_LEGS_EASTON",Inputs!$B$17,Inputs!$B$18))/100)*(Summary!$B$57*I8)</f>
        <v/>
      </c>
      <c r="L8">
        <f>K8*(MIN(Inputs!$B$22,Inputs!$B$23)/100+Inputs!$B$23/100)/2</f>
        <v/>
      </c>
      <c r="M8">
        <f>L8*(1+(Inputs!$B$10+Summary!$B$64)/100)</f>
        <v/>
      </c>
      <c r="N8">
        <f>L8*(1-MIN((Inputs!$B$9+Summary!$B$58),100)/100)+M8*(MIN((Inputs!$B$9+Summary!$B$58),100)/100)</f>
        <v/>
      </c>
      <c r="O8">
        <f>(1-Summary!$B$55)*T8+Summary!$B$55*V8</f>
        <v/>
      </c>
      <c r="P8">
        <f>IF(Summary!$B$3=0,0,O8/Summary!$B$3)</f>
        <v/>
      </c>
      <c r="Q8">
        <f>IFERROR(1/IF(Inputs!$B$38="pvp",15,MAX(0.1,Skills!D8-IF(Skills!E8=TRUE,Inputs!$B$32,0))),0)</f>
        <v/>
      </c>
      <c r="R8">
        <f>IF(AND(Inputs!$B$38&lt;&gt;"pvp",Inputs!$B$43&gt;0),IF(MAX(0,Inputs!$B$43-Summary!$B$67)&lt;=0,0,(INT(MAX(0,Inputs!$B$43-Summary!$B$67)/IF(Inputs!$B$38="pvp",15,MAX(0.1,Skills!D8-IF(Skills!E8=TRUE,Inputs!$B$32,0))))+1)),0)</f>
        <v/>
      </c>
      <c r="S8">
        <f>IFERROR(O8/N8,0)</f>
        <v/>
      </c>
      <c r="T8">
        <f>IF(C8,(H8*N8*IF(AND(Inputs!$B$38&lt;&gt;"pvp",Inputs!$B$43&gt;0),((Skills!G8*((R8-1)*IF(Skills!H8&gt;0,Skills!I8/Skills!H8,1)+IF(Skills!H8&gt;0,MIN(Skills!I8,MAX(0,MAX(0,Inputs!$B$43-Summary!$B$67)-((R8-1)*IF(Inputs!$B$38="pvp",15,MAX(0.1,Skills!D8-IF(Skills!E8=TRUE,Inputs!$B$32,0))))))/Skills!H8,1)))/Inputs!$B$43),G8*Q8))*IF(Inputs!$B$38="pvp",1,1+(Inputs!$B$20+Skills!P8+Summary!$B$59)/100),0)</f>
        <v/>
      </c>
      <c r="V8">
        <f>IF(C8,(H8*N8*IF(AND(Inputs!$B$38&lt;&gt;"pvp",Inputs!$B$43&gt;0),((Skills!G8*((R8-1)*IF(Skills!H8&gt;0,Skills!I8/Skills!H8,1)+IF(Skills!H8&gt;0,MIN(Skills!I8,MAX(0,MAX(0,Inputs!$B$43-Summary!$B$67)-((R8-1)*IF(Inputs!$B$38="pvp",15,MAX(0.1,Skills!D8-IF(Skills!E8=TRUE,Inputs!$B$32,0))))))/Skills!H8,1)))/Inputs!$B$43),G8*Q8))*IF(Inputs!$B$38="pvp",1,(1+(Inputs!$B$21+Skills!Q8+Summary!$B$59)/100)*(MIN(Skills!R8,Inputs!$B$37))),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J9*(1+Summary!$B$51/100)*(1+Inputs!$B$15/100)*(1+Inputs!$B$16/100)*(5000/(6000+Inputs!$B$42*(1-Inputs!$B$19/100)))*(1+(Inputs!$B$24+Summary!$B$65)/100)*(1+(IF(Skills!A9="EIGHT_LEGS_EASTON",Inputs!$B$17,Inputs!$B$18))/100)*(Summary!$B$57*I9)</f>
        <v/>
      </c>
      <c r="L9">
        <f>K9*(MIN(Inputs!$B$22,Inputs!$B$23)/100+Inputs!$B$23/100)/2</f>
        <v/>
      </c>
      <c r="M9">
        <f>L9*(1+(Inputs!$B$10+Summary!$B$64)/100)</f>
        <v/>
      </c>
      <c r="N9">
        <f>L9*(1-MIN((Inputs!$B$9+Summary!$B$58),100)/100)+M9*(MIN((Inputs!$B$9+Summary!$B$58),100)/100)</f>
        <v/>
      </c>
      <c r="O9">
        <f>(1-Summary!$B$55)*T9+Summary!$B$55*V9</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c r="T9">
        <f>IF(C9,(H9*N9*IF(AND(Inputs!$B$38&lt;&gt;"pvp",Inputs!$B$43&gt;0),((Skills!G9*((R9-1)*IF(Skills!H9&gt;0,Skills!I9/Skills!H9,1)+IF(Skills!H9&gt;0,MIN(Skills!I9,MAX(0,MAX(0,Inputs!$B$43-Summary!$B$67)-((R9-1)*IF(Inputs!$B$38="pvp",15,MAX(0.1,Skills!D9-IF(Skills!E9=TRUE,Inputs!$B$32,0))))))/Skills!H9,1)))/Inputs!$B$43),G9*Q9))*IF(Inputs!$B$38="pvp",1,1+(Inputs!$B$20+Skills!P9+Summary!$B$59)/100),0)</f>
        <v/>
      </c>
      <c r="V9">
        <f>IF(C9,(H9*N9*IF(AND(Inputs!$B$38&lt;&gt;"pvp",Inputs!$B$43&gt;0),((Skills!G9*((R9-1)*IF(Skills!H9&gt;0,Skills!I9/Skills!H9,1)+IF(Skills!H9&gt;0,MIN(Skills!I9,MAX(0,MAX(0,Inputs!$B$43-Summary!$B$67)-((R9-1)*IF(Inputs!$B$38="pvp",15,MAX(0.1,Skills!D9-IF(Skills!E9=TRUE,Inputs!$B$32,0))))))/Skills!H9,1)))/Inputs!$B$43),G9*Q9))*IF(Inputs!$B$38="pvp",1,(1+(Inputs!$B$21+Skills!Q9+Summary!$B$59)/100)*(MIN(Skills!R9,Inputs!$B$37))),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J10*(1+Summary!$B$51/100)*(1+Inputs!$B$15/100)*(1+Inputs!$B$16/100)*(5000/(6000+Inputs!$B$42*(1-Inputs!$B$19/100)))*(1+(Inputs!$B$24+Summary!$B$65)/100)*(1+(IF(Skills!A10="EIGHT_LEGS_EASTON",Inputs!$B$17,Inputs!$B$18))/100)*(Summary!$B$57*I10)</f>
        <v/>
      </c>
      <c r="L10">
        <f>K10*(MIN(Inputs!$B$22,Inputs!$B$23)/100+Inputs!$B$23/100)/2</f>
        <v/>
      </c>
      <c r="M10">
        <f>L10*(1+(Inputs!$B$10+Summary!$B$64)/100)</f>
        <v/>
      </c>
      <c r="N10">
        <f>L10*(1-MIN((Inputs!$B$9+Summary!$B$58),100)/100)+M10*(MIN((Inputs!$B$9+Summary!$B$58),100)/100)</f>
        <v/>
      </c>
      <c r="O10">
        <f>(1-Summary!$B$55)*T10+Summary!$B$55*V10</f>
        <v/>
      </c>
      <c r="P10">
        <f>IF(Summary!$B$3=0,0,O10/Summary!$B$3)</f>
        <v/>
      </c>
      <c r="Q10">
        <f>IFERROR(1/IF(Inputs!$B$38="pvp",15,MAX(0.1,Skills!D10-IF(Skills!E10=TRUE,Inputs!$B$32,0))),0)</f>
        <v/>
      </c>
      <c r="R10">
        <f>IF(AND(Inputs!$B$38&lt;&gt;"pvp",Inputs!$B$43&gt;0),IF(MAX(0,Inputs!$B$43-Summary!$B$67)&lt;=0,0,(INT(MAX(0,Inputs!$B$43-Summary!$B$67)/IF(Inputs!$B$38="pvp",15,MAX(0.1,Skills!D10-IF(Skills!E10=TRUE,Inputs!$B$32,0))))+1)),0)</f>
        <v/>
      </c>
      <c r="S10">
        <f>IFERROR(O10/N10,0)</f>
        <v/>
      </c>
      <c r="T10">
        <f>IF(C10,(H10*N10*IF(AND(Inputs!$B$38&lt;&gt;"pvp",Inputs!$B$43&gt;0),((Skills!G10*((R10-1)*IF(Skills!H10&gt;0,Skills!I10/Skills!H10,1)+IF(Skills!H10&gt;0,MIN(Skills!I10,MAX(0,MAX(0,Inputs!$B$43-Summary!$B$67)-((R10-1)*IF(Inputs!$B$38="pvp",15,MAX(0.1,Skills!D10-IF(Skills!E10=TRUE,Inputs!$B$32,0))))))/Skills!H10,1)))/Inputs!$B$43),G10*Q10))*IF(Inputs!$B$38="pvp",1,1+(Inputs!$B$20+Skills!P10+Summary!$B$59)/100),0)</f>
        <v/>
      </c>
      <c r="V10">
        <f>IF(C10,(H10*N10*IF(AND(Inputs!$B$38&lt;&gt;"pvp",Inputs!$B$43&gt;0),((Skills!G10*((R10-1)*IF(Skills!H10&gt;0,Skills!I10/Skills!H10,1)+IF(Skills!H10&gt;0,MIN(Skills!I10,MAX(0,MAX(0,Inputs!$B$43-Summary!$B$67)-((R10-1)*IF(Inputs!$B$38="pvp",15,MAX(0.1,Skills!D10-IF(Skills!E10=TRUE,Inputs!$B$32,0))))))/Skills!H10,1)))/Inputs!$B$43),G10*Q10))*IF(Inputs!$B$38="pvp",1,(1+(Inputs!$B$21+Skills!Q10+Summary!$B$59)/100)*(MIN(Skills!R10,Inputs!$B$37))),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J11*(1+Summary!$B$51/100)*(1+Inputs!$B$15/100)*(1+Inputs!$B$16/100)*(5000/(6000+Inputs!$B$42*(1-Inputs!$B$19/100)))*(1+(Inputs!$B$24+Summary!$B$65)/100)*(1+(IF(Skills!A11="EIGHT_LEGS_EASTON",Inputs!$B$17,Inputs!$B$18))/100)*(Summary!$B$57*I11)</f>
        <v/>
      </c>
      <c r="L11">
        <f>K11*(MIN(Inputs!$B$22,Inputs!$B$23)/100+Inputs!$B$23/100)/2</f>
        <v/>
      </c>
      <c r="M11">
        <f>L11*(1+(Inputs!$B$10+Summary!$B$64)/100)</f>
        <v/>
      </c>
      <c r="N11">
        <f>L11*(1-MIN((Inputs!$B$9+Summary!$B$58),100)/100)+M11*(MIN((Inputs!$B$9+Summary!$B$58),100)/100)</f>
        <v/>
      </c>
      <c r="O11">
        <f>(1-Summary!$B$55)*T11+Summary!$B$55*V11</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c r="T11">
        <f>IF(C11,(H11*N11*IF(AND(Inputs!$B$38&lt;&gt;"pvp",Inputs!$B$43&gt;0),((Skills!G11*((R11-1)*IF(Skills!H11&gt;0,Skills!I11/Skills!H11,1)+IF(Skills!H11&gt;0,MIN(Skills!I11,MAX(0,MAX(0,Inputs!$B$43-Summary!$B$67)-((R11-1)*IF(Inputs!$B$38="pvp",15,MAX(0.1,Skills!D11-IF(Skills!E11=TRUE,Inputs!$B$32,0))))))/Skills!H11,1)))/Inputs!$B$43),G11*Q11))*IF(Inputs!$B$38="pvp",1,1+(Inputs!$B$20+Skills!P11+Summary!$B$59)/100),0)</f>
        <v/>
      </c>
      <c r="V11">
        <f>IF(C11,(H11*N11*IF(AND(Inputs!$B$38&lt;&gt;"pvp",Inputs!$B$43&gt;0),((Skills!G11*((R11-1)*IF(Skills!H11&gt;0,Skills!I11/Skills!H11,1)+IF(Skills!H11&gt;0,MIN(Skills!I11,MAX(0,MAX(0,Inputs!$B$43-Summary!$B$67)-((R11-1)*IF(Inputs!$B$38="pvp",15,MAX(0.1,Skills!D11-IF(Skills!E11=TRUE,Inputs!$B$32,0))))))/Skills!H11,1)))/Inputs!$B$43),G11*Q11))*IF(Inputs!$B$38="pvp",1,(1+(Inputs!$B$21+Skills!Q11+Summary!$B$59)/100)*(MIN(Skills!R11,Inputs!$B$37))),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J12*(1+Summary!$B$51/100)*(1+Inputs!$B$15/100)*(1+Inputs!$B$16/100)*(5000/(6000+Inputs!$B$42*(1-Inputs!$B$19/100)))*(1+(Inputs!$B$24+Summary!$B$65)/100)*(1+(IF(Skills!A12="EIGHT_LEGS_EASTON",Inputs!$B$17,Inputs!$B$18))/100)*(Summary!$B$57*I12)</f>
        <v/>
      </c>
      <c r="L12">
        <f>K12*(MIN(Inputs!$B$22,Inputs!$B$23)/100+Inputs!$B$23/100)/2</f>
        <v/>
      </c>
      <c r="M12">
        <f>L12*(1+(Inputs!$B$10+Summary!$B$64)/100)</f>
        <v/>
      </c>
      <c r="N12">
        <f>L12*(1-MIN((Inputs!$B$9+Summary!$B$58),100)/100)+M12*(MIN((Inputs!$B$9+Summary!$B$58),100)/100)</f>
        <v/>
      </c>
      <c r="O12">
        <f>(1-Summary!$B$55)*T12+Summary!$B$55*V12</f>
        <v/>
      </c>
      <c r="P12">
        <f>IF(Summary!$B$3=0,0,O12/Summary!$B$3)</f>
        <v/>
      </c>
      <c r="Q12">
        <f>IFERROR(1/IF(Inputs!$B$38="pvp",15,MAX(0.1,Skills!D12-IF(Skills!E12=TRUE,Inputs!$B$32,0))),0)</f>
        <v/>
      </c>
      <c r="R12">
        <f>IF(AND(Inputs!$B$38&lt;&gt;"pvp",Inputs!$B$43&gt;0),IF(MAX(0,Inputs!$B$43-Summary!$B$67)&lt;=0,0,(INT(MAX(0,Inputs!$B$43-Summary!$B$67)/IF(Inputs!$B$38="pvp",15,MAX(0.1,Skills!D12-IF(Skills!E12=TRUE,Inputs!$B$32,0))))+1)),0)</f>
        <v/>
      </c>
      <c r="S12">
        <f>IFERROR(O12/N12,0)</f>
        <v/>
      </c>
      <c r="T12">
        <f>IF(C12,(H12*N12*IF(AND(Inputs!$B$38&lt;&gt;"pvp",Inputs!$B$43&gt;0),((Skills!G12*((R12-1)*IF(Skills!H12&gt;0,Skills!I12/Skills!H12,1)+IF(Skills!H12&gt;0,MIN(Skills!I12,MAX(0,MAX(0,Inputs!$B$43-Summary!$B$67)-((R12-1)*IF(Inputs!$B$38="pvp",15,MAX(0.1,Skills!D12-IF(Skills!E12=TRUE,Inputs!$B$32,0))))))/Skills!H12,1)))/Inputs!$B$43),G12*Q12))*IF(Inputs!$B$38="pvp",1,1+(Inputs!$B$20+Skills!P12+Summary!$B$59)/100),0)</f>
        <v/>
      </c>
      <c r="V12">
        <f>IF(C12,(H12*N12*IF(AND(Inputs!$B$38&lt;&gt;"pvp",Inputs!$B$43&gt;0),((Skills!G12*((R12-1)*IF(Skills!H12&gt;0,Skills!I12/Skills!H12,1)+IF(Skills!H12&gt;0,MIN(Skills!I12,MAX(0,MAX(0,Inputs!$B$43-Summary!$B$67)-((R12-1)*IF(Inputs!$B$38="pvp",15,MAX(0.1,Skills!D12-IF(Skills!E12=TRUE,Inputs!$B$32,0))))))/Skills!H12,1)))/Inputs!$B$43),G12*Q12))*IF(Inputs!$B$38="pvp",1,(1+(Inputs!$B$21+Skills!Q12+Summary!$B$59)/100)*(MIN(Skills!R12,Inputs!$B$37))),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J13*(1+Summary!$B$51/100)*(1+Inputs!$B$15/100)*(1+Inputs!$B$16/100)*(5000/(6000+Inputs!$B$42*(1-Inputs!$B$19/100)))*(1+(Inputs!$B$24+Summary!$B$65)/100)*(1+(IF(Skills!A13="EIGHT_LEGS_EASTON",Inputs!$B$17,Inputs!$B$18))/100)*(Summary!$B$57*I13)</f>
        <v/>
      </c>
      <c r="L13">
        <f>K13*(MIN(Inputs!$B$22,Inputs!$B$23)/100+Inputs!$B$23/100)/2</f>
        <v/>
      </c>
      <c r="M13">
        <f>L13*(1+(Inputs!$B$10+Summary!$B$64)/100)</f>
        <v/>
      </c>
      <c r="N13">
        <f>L13*(1-MIN((Inputs!$B$9+Summary!$B$58),100)/100)+M13*(MIN((Inputs!$B$9+Summary!$B$58),100)/100)</f>
        <v/>
      </c>
      <c r="O13">
        <f>(1-Summary!$B$55)*T13+Summary!$B$55*V13</f>
        <v/>
      </c>
      <c r="P13">
        <f>IF(Summary!$B$3=0,0,O13/Summary!$B$3)</f>
        <v/>
      </c>
      <c r="Q13">
        <f>IFERROR(1/IF(Inputs!$B$38="pvp",15,MAX(0.1,Skills!D13-IF(Skills!E13=TRUE,Inputs!$B$32,0))),0)</f>
        <v/>
      </c>
      <c r="R13">
        <f>IF(AND(Inputs!$B$38&lt;&gt;"pvp",Inputs!$B$43&gt;0),IF(MAX(0,Inputs!$B$43-Summary!$B$67)&lt;=0,0,(INT(MAX(0,Inputs!$B$43-Summary!$B$67)/IF(Inputs!$B$38="pvp",15,MAX(0.1,Skills!D13-IF(Skills!E13=TRUE,Inputs!$B$32,0))))+1)),0)</f>
        <v/>
      </c>
      <c r="S13">
        <f>IFERROR(O13/N13,0)</f>
        <v/>
      </c>
      <c r="T13">
        <f>IF(C13,(H13*N13*IF(AND(Inputs!$B$38&lt;&gt;"pvp",Inputs!$B$43&gt;0),((Skills!G13*((R13-1)*IF(Skills!H13&gt;0,Skills!I13/Skills!H13,1)+IF(Skills!H13&gt;0,MIN(Skills!I13,MAX(0,MAX(0,Inputs!$B$43-Summary!$B$67)-((R13-1)*IF(Inputs!$B$38="pvp",15,MAX(0.1,Skills!D13-IF(Skills!E13=TRUE,Inputs!$B$32,0))))))/Skills!H13,1)))/Inputs!$B$43),G13*Q13))*IF(Inputs!$B$38="pvp",1,1+(Inputs!$B$20+Skills!P13+Summary!$B$59)/100),0)</f>
        <v/>
      </c>
      <c r="V13">
        <f>IF(C13,(H13*N13*IF(AND(Inputs!$B$38&lt;&gt;"pvp",Inputs!$B$43&gt;0),((Skills!G13*((R13-1)*IF(Skills!H13&gt;0,Skills!I13/Skills!H13,1)+IF(Skills!H13&gt;0,MIN(Skills!I13,MAX(0,MAX(0,Inputs!$B$43-Summary!$B$67)-((R13-1)*IF(Inputs!$B$38="pvp",15,MAX(0.1,Skills!D13-IF(Skills!E13=TRUE,Inputs!$B$32,0))))))/Skills!H13,1)))/Inputs!$B$43),G13*Q13))*IF(Inputs!$B$38="pvp",1,(1+(Inputs!$B$21+Skills!Q13+Summary!$B$59)/100)*(MIN(Skills!R13,Inputs!$B$37))),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J14*(1+Summary!$B$51/100)*(1+Inputs!$B$15/100)*(1+Inputs!$B$16/100)*(5000/(6000+Inputs!$B$42*(1-Inputs!$B$19/100)))*(1+(Inputs!$B$24+Summary!$B$65)/100)*(1+(IF(Skills!A14="EIGHT_LEGS_EASTON",Inputs!$B$17,Inputs!$B$18))/100)*(Summary!$B$57*I14)</f>
        <v/>
      </c>
      <c r="L14">
        <f>K14*(MIN(Inputs!$B$22,Inputs!$B$23)/100+Inputs!$B$23/100)/2</f>
        <v/>
      </c>
      <c r="M14">
        <f>L14*(1+(Inputs!$B$10+Summary!$B$64)/100)</f>
        <v/>
      </c>
      <c r="N14">
        <f>L14*(1-MIN((Inputs!$B$9+Summary!$B$58),100)/100)+M14*(MIN((Inputs!$B$9+Summary!$B$58),100)/100)</f>
        <v/>
      </c>
      <c r="O14">
        <f>(1-Summary!$B$55)*T14+Summary!$B$55*V14</f>
        <v/>
      </c>
      <c r="P14">
        <f>IF(Summary!$B$3=0,0,O14/Summary!$B$3)</f>
        <v/>
      </c>
      <c r="Q14" t="n">
        <v>0</v>
      </c>
      <c r="R14" t="n">
        <v>0</v>
      </c>
      <c r="S14">
        <f>IFERROR(O14/N14,0)</f>
        <v/>
      </c>
      <c r="T14">
        <f>IF(C14,(H14*N14*(Summary!$B$63+IF(AND(Inputs!$B$38&lt;&gt;"pvp",Inputs!$B$43&gt;0),((Skills!G8*((R8-1)*IF(Skills!H8&gt;0,Skills!I8/Skills!H8,1)+IF(Skills!H8&gt;0,MIN(Skills!I8,MAX(0,MAX(0,Inputs!$B$43-Summary!$B$67)-((R8-1)*IF(Inputs!$B$38="pvp",15,MAX(0.1,Skills!D8-IF(Skills!E8=TRUE,Inputs!$B$32,0))))))/Skills!H8,1)))/Inputs!$B$43),G8*Q8)+IF(AND(Inputs!$B$38&lt;&gt;"pvp",Inputs!$B$43&gt;0),((Skills!G11*((R11-1)*IF(Skills!H11&gt;0,Skills!I11/Skills!H11,1)+IF(Skills!H11&gt;0,MIN(Skills!I11,MAX(0,MAX(0,Inputs!$B$43-Summary!$B$67)-((R11-1)*IF(Inputs!$B$38="pvp",15,MAX(0.1,Skills!D11-IF(Skills!E11=TRUE,Inputs!$B$32,0))))))/Skills!H11,1)))/Inputs!$B$43),G11*Q11)))*IF(Inputs!$B$38="pvp",1,1+(Inputs!$B$20+Skills!P14+Summary!$B$59)/100),0)</f>
        <v/>
      </c>
      <c r="V14">
        <f>IF(C14,(H14*N14*(Summary!$B$63+IF(AND(Inputs!$B$38&lt;&gt;"pvp",Inputs!$B$43&gt;0),((Skills!G8*((R8-1)*IF(Skills!H8&gt;0,Skills!I8/Skills!H8,1)+IF(Skills!H8&gt;0,MIN(Skills!I8,MAX(0,MAX(0,Inputs!$B$43-Summary!$B$67)-((R8-1)*IF(Inputs!$B$38="pvp",15,MAX(0.1,Skills!D8-IF(Skills!E8=TRUE,Inputs!$B$32,0))))))/Skills!H8,1)))/Inputs!$B$43),G8*Q8)+IF(AND(Inputs!$B$38&lt;&gt;"pvp",Inputs!$B$43&gt;0),((Skills!G11*((R11-1)*IF(Skills!H11&gt;0,Skills!I11/Skills!H11,1)+IF(Skills!H11&gt;0,MIN(Skills!I11,MAX(0,MAX(0,Inputs!$B$43-Summary!$B$67)-((R11-1)*IF(Inputs!$B$38="pvp",15,MAX(0.1,Skills!D11-IF(Skills!E11=TRUE,Inputs!$B$32,0))))))/Skills!H11,1)))/Inputs!$B$43),G11*Q11)))*IF(Inputs!$B$38="pvp",1,(1+(Inputs!$B$21+Skills!Q14+Summary!$B$59)/100)*(MIN(Skills!R14,Inputs!$B$37))),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(1-Summary!$B$55)*T17+Summary!$B$55*V17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(1-Summary!$B$55)*T18+Summary!$B$55*V18</f>
        <v/>
      </c>
      <c r="P18">
        <f>IF(Summary!$B$3=0,0,O18/Summary!$B$3)</f>
        <v/>
      </c>
      <c r="Q18" t="n">
        <v>0</v>
      </c>
      <c r="R18" t="n">
        <v>0</v>
      </c>
      <c r="S18">
        <f>IFERROR(O18/N18,0)</f>
        <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(1-Summary!$B$55)*T19+Summary!$B$55*V19</f>
        <v/>
      </c>
      <c r="P19">
        <f>IF(Summary!$B$3=0,0,O19/Summary!$B$3)</f>
        <v/>
      </c>
      <c r="Q19" t="n">
        <v>0</v>
      </c>
      <c r="R19" t="n">
        <v>0</v>
      </c>
      <c r="S19">
        <f>IFERROR(O19/N19,0)</f>
        <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(1-Summary!$B$55)*T20+Summary!$B$55*V20</f>
        <v/>
      </c>
      <c r="P20">
        <f>IF(Summary!$B$3=0,0,O20/Summary!$B$3)</f>
        <v/>
      </c>
      <c r="Q20" t="n">
        <v>0</v>
      </c>
      <c r="R20" t="n">
        <v>0</v>
      </c>
      <c r="S20">
        <f>IFERROR(O20/N20,0)</f>
        <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(1-Summary!$B$55)*T21+Summary!$B$55*V21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(1-Summary!$B$55)*T22+Summary!$B$55*V22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(1-Summary!$B$55)*T23+Summary!$B$55*V23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(1-Summary!$B$55)*T24+Summary!$B$55*V24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(1-Summary!$B$55)*T25+Summary!$B$55*V25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(1-Summary!$B$55)*T26+Summary!$B$55*V26</f>
        <v/>
      </c>
      <c r="P26">
        <f>IF(Summary!$B$3=0,0,O26/Summary!$B$3)</f>
        <v/>
      </c>
      <c r="Q26" t="n">
        <v>0</v>
      </c>
      <c r="R26" t="n">
        <v>0</v>
      </c>
      <c r="S26">
        <f>IFERROR(O26/N26,0)</f>
        <v/>
      </c>
      <c r="T26" t="n">
        <v>0</v>
      </c>
      <c r="V26" t="n">
        <v>0</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(1-Summary!$B$55)*T27+Summary!$B$55*V27</f>
        <v/>
      </c>
      <c r="P27">
        <f>IF(Summary!$B$3=0,0,O27/Summary!$B$3)</f>
        <v/>
      </c>
      <c r="Q27" t="n">
        <v>0</v>
      </c>
      <c r="R27" t="n">
        <v>0</v>
      </c>
      <c r="S27">
        <f>IFERROR(O27/N27,0)</f>
        <v/>
      </c>
      <c r="T27" t="n">
        <v>0</v>
      </c>
      <c r="V27"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SUM(Calc!O2:O27)</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Calc!B6</f>
        <v/>
      </c>
      <c r="B11">
        <f>Calc!O6</f>
        <v/>
      </c>
      <c r="C11">
        <f>Calc!P6*100</f>
        <v/>
      </c>
    </row>
    <row r="12">
      <c r="A12">
        <f>Calc!B7</f>
        <v/>
      </c>
      <c r="B12">
        <f>Calc!O7</f>
        <v/>
      </c>
      <c r="C12">
        <f>Calc!P7*100</f>
        <v/>
      </c>
    </row>
    <row r="13">
      <c r="A13">
        <f>Calc!B8</f>
        <v/>
      </c>
      <c r="B13">
        <f>Calc!O8</f>
        <v/>
      </c>
      <c r="C13">
        <f>Calc!P8*100</f>
        <v/>
      </c>
    </row>
    <row r="14">
      <c r="A14">
        <f>Calc!B9</f>
        <v/>
      </c>
      <c r="B14">
        <f>Calc!O9</f>
        <v/>
      </c>
      <c r="C14">
        <f>Calc!P9*100</f>
        <v/>
      </c>
    </row>
    <row r="15">
      <c r="A15">
        <f>Calc!B10</f>
        <v/>
      </c>
      <c r="B15">
        <f>Calc!O10</f>
        <v/>
      </c>
      <c r="C15">
        <f>Calc!P10*100</f>
        <v/>
      </c>
    </row>
    <row r="16">
      <c r="A16">
        <f>Calc!B11</f>
        <v/>
      </c>
      <c r="B16">
        <f>Calc!O11</f>
        <v/>
      </c>
      <c r="C16">
        <f>Calc!P11*100</f>
        <v/>
      </c>
    </row>
    <row r="17">
      <c r="A17">
        <f>Calc!B12</f>
        <v/>
      </c>
      <c r="B17">
        <f>Calc!O12</f>
        <v/>
      </c>
      <c r="C17">
        <f>Calc!P12*100</f>
        <v/>
      </c>
    </row>
    <row r="18">
      <c r="A18">
        <f>Calc!B13</f>
        <v/>
      </c>
      <c r="B18">
        <f>Calc!O13</f>
        <v/>
      </c>
      <c r="C18">
        <f>Calc!P13*100</f>
        <v/>
      </c>
    </row>
    <row r="19">
      <c r="A19">
        <f>Calc!B14</f>
        <v/>
      </c>
      <c r="B19">
        <f>Calc!O14</f>
        <v/>
      </c>
      <c r="C19">
        <f>Calc!P14*100</f>
        <v/>
      </c>
    </row>
    <row r="20">
      <c r="A20" s="7" t="inlineStr">
        <is>
          <t>Marginal DPS &amp; Stat Value (see Sensitivity for full detail)</t>
        </is>
      </c>
    </row>
    <row r="22">
      <c r="A22" s="9" t="inlineStr">
        <is>
          <t>Stat</t>
        </is>
      </c>
      <c r="B22" s="9" t="inlineStr">
        <is>
          <t>DPS per +1</t>
        </is>
      </c>
      <c r="C22" s="9" t="inlineStr">
        <is>
          <t>Units per +1% DPS</t>
        </is>
      </c>
    </row>
    <row r="23">
      <c r="A23">
        <f>Sensitivity!A5</f>
        <v/>
      </c>
      <c r="B23">
        <f>Sensitivity!H5</f>
        <v/>
      </c>
      <c r="C23">
        <f>Sensitivity!B5</f>
        <v/>
      </c>
    </row>
    <row r="24">
      <c r="A24">
        <f>Sensitivity!A6</f>
        <v/>
      </c>
      <c r="B24">
        <f>Sensitivity!H6</f>
        <v/>
      </c>
      <c r="C24">
        <f>Sensitivity!B6</f>
        <v/>
      </c>
    </row>
    <row r="25">
      <c r="A25">
        <f>Sensitivity!A7</f>
        <v/>
      </c>
      <c r="B25">
        <f>Sensitivity!H7</f>
        <v/>
      </c>
      <c r="C25">
        <f>Sensitivity!B7</f>
        <v/>
      </c>
    </row>
    <row r="26">
      <c r="A26">
        <f>Sensitivity!A8</f>
        <v/>
      </c>
      <c r="B26">
        <f>Sensitivity!H8</f>
        <v/>
      </c>
      <c r="C26">
        <f>Sensitivity!B8</f>
        <v/>
      </c>
    </row>
    <row r="27">
      <c r="A27">
        <f>Sensitivity!A9</f>
        <v/>
      </c>
      <c r="B27">
        <f>Sensitivity!H9</f>
        <v/>
      </c>
      <c r="C27">
        <f>Sensitivity!B9</f>
        <v/>
      </c>
    </row>
    <row r="28">
      <c r="A28">
        <f>Sensitivity!A10</f>
        <v/>
      </c>
      <c r="B28">
        <f>Sensitivity!H10</f>
        <v/>
      </c>
      <c r="C28">
        <f>Sensitivity!B10</f>
        <v/>
      </c>
    </row>
    <row r="29">
      <c r="A29">
        <f>Sensitivity!A11</f>
        <v/>
      </c>
      <c r="B29">
        <f>Sensitivity!H11</f>
        <v/>
      </c>
      <c r="C29">
        <f>Sensitivity!B11</f>
        <v/>
      </c>
    </row>
    <row r="30">
      <c r="A30">
        <f>Sensitivity!A12</f>
        <v/>
      </c>
      <c r="B30">
        <f>Sensitivity!H12</f>
        <v/>
      </c>
      <c r="C30">
        <f>Sensitivity!B12</f>
        <v/>
      </c>
    </row>
    <row r="31">
      <c r="A31">
        <f>Sensitivity!A13</f>
        <v/>
      </c>
      <c r="B31">
        <f>Sensitivity!H13</f>
        <v/>
      </c>
      <c r="C31">
        <f>Sensitivity!B13</f>
        <v/>
      </c>
    </row>
    <row r="32">
      <c r="A32">
        <f>Sensitivity!A14</f>
        <v/>
      </c>
      <c r="B32">
        <f>Sensitivity!H14</f>
        <v/>
      </c>
      <c r="C32">
        <f>Sensitivity!B14</f>
        <v/>
      </c>
    </row>
    <row r="33">
      <c r="A33">
        <f>Sensitivity!A15</f>
        <v/>
      </c>
      <c r="B33">
        <f>Sensitivity!H15</f>
        <v/>
      </c>
      <c r="C33">
        <f>Sensitivity!B15</f>
        <v/>
      </c>
    </row>
    <row r="34">
      <c r="A34">
        <f>Sensitivity!A16</f>
        <v/>
      </c>
      <c r="B34">
        <f>Sensitivity!H16</f>
        <v/>
      </c>
      <c r="C34">
        <f>Sensitivity!B16</f>
        <v/>
      </c>
    </row>
    <row r="35">
      <c r="A35">
        <f>Sensitivity!A17</f>
        <v/>
      </c>
      <c r="B35">
        <f>Sensitivity!H17</f>
        <v/>
      </c>
      <c r="C35">
        <f>Sensitivity!B17</f>
        <v/>
      </c>
    </row>
    <row r="36">
      <c r="A36">
        <f>Sensitivity!A18</f>
        <v/>
      </c>
      <c r="B36">
        <f>Sensitivity!H18</f>
        <v/>
      </c>
      <c r="C36">
        <f>Sensitivity!B18</f>
        <v/>
      </c>
    </row>
    <row r="37">
      <c r="A37">
        <f>Sensitivity!A19</f>
        <v/>
      </c>
      <c r="B37">
        <f>Sensitivity!H19</f>
        <v/>
      </c>
      <c r="C37">
        <f>Sensitivity!B19</f>
        <v/>
      </c>
    </row>
    <row r="38">
      <c r="A38">
        <f>Sensitivity!A20</f>
        <v/>
      </c>
      <c r="B38">
        <f>Sensitivity!H20</f>
        <v/>
      </c>
      <c r="C38">
        <f>Sensitivity!B20</f>
        <v/>
      </c>
    </row>
    <row r="39">
      <c r="A39">
        <f>Sensitivity!A21</f>
        <v/>
      </c>
      <c r="B39">
        <f>Sensitivity!H21</f>
        <v/>
      </c>
      <c r="C39">
        <f>Sensitivity!B21</f>
        <v/>
      </c>
    </row>
    <row r="40">
      <c r="A40">
        <f>Sensitivity!A22</f>
        <v/>
      </c>
      <c r="B40">
        <f>Sensitivity!H22</f>
        <v/>
      </c>
      <c r="C40">
        <f>Sensitivity!B22</f>
        <v/>
      </c>
    </row>
    <row r="41">
      <c r="A41">
        <f>Sensitivity!A23</f>
        <v/>
      </c>
      <c r="B41">
        <f>Sensitivity!H23</f>
        <v/>
      </c>
      <c r="C41">
        <f>Sensitivity!B23</f>
        <v/>
      </c>
    </row>
    <row r="42">
      <c r="A42">
        <f>Sensitivity!A24</f>
        <v/>
      </c>
      <c r="B42">
        <f>Sensitivity!H24</f>
        <v/>
      </c>
      <c r="C42">
        <f>Sensitivity!B24</f>
        <v/>
      </c>
    </row>
    <row r="43">
      <c r="A43">
        <f>Sensitivity!A25</f>
        <v/>
      </c>
      <c r="B43">
        <f>Sensitivity!H25</f>
        <v/>
      </c>
      <c r="C43">
        <f>Sensitivity!B25</f>
        <v/>
      </c>
    </row>
    <row r="44">
      <c r="A44">
        <f>Sensitivity!A26</f>
        <v/>
      </c>
      <c r="B44">
        <f>Sensitivity!H26</f>
        <v/>
      </c>
      <c r="C44">
        <f>Sensitivity!B26</f>
        <v/>
      </c>
    </row>
    <row r="45">
      <c r="A45">
        <f>Sensitivity!A27</f>
        <v/>
      </c>
      <c r="B45">
        <f>Sensitivity!H27</f>
        <v/>
      </c>
      <c r="C45">
        <f>Sensitivity!B27</f>
        <v/>
      </c>
    </row>
    <row r="46">
      <c r="A46">
        <f>Sensitivity!A28</f>
        <v/>
      </c>
      <c r="B46">
        <f>Sensitivity!H28</f>
        <v/>
      </c>
      <c r="C46">
        <f>Sensitivity!B28</f>
        <v/>
      </c>
    </row>
    <row r="47">
      <c r="A47">
        <f>Sensitivity!A29</f>
        <v/>
      </c>
      <c r="B47">
        <f>Sensitivity!H29</f>
        <v/>
      </c>
      <c r="C47">
        <f>Sensitivity!B29</f>
        <v/>
      </c>
    </row>
    <row r="48">
      <c r="A48">
        <f>Sensitivity!A30</f>
        <v/>
      </c>
      <c r="B48">
        <f>Sensitivity!H30</f>
        <v/>
      </c>
      <c r="C48">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(Eight-Legs Easton)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Eight-Legs Easton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(Roll of the Dice's dice component only)</t>
        </is>
      </c>
      <c r="B57">
        <f>1+(((Calc!C17=TRUE)*Calc!F17))/100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Corsair has no Nimble-Feet-style live AS buff, same as Buccaneer)</t>
        </is>
      </c>
      <c r="B60" t="n">
        <v>0</v>
      </c>
    </row>
    <row r="61">
      <c r="A61" t="inlineStr">
        <is>
          <t>Actions Per Second</t>
        </is>
      </c>
      <c r="B61">
        <f>1+MIN(150,150*(1-(1-Inputs!$B$11/150)*(1-B60/150)))/100</f>
        <v/>
      </c>
    </row>
    <row r="62">
      <c r="A62" t="inlineStr">
        <is>
          <t>Skill + Buff Cast Rate (subtracted from Eight-Legs Easton, 1/s)</t>
        </is>
      </c>
      <c r="B62">
        <f>IF(AND(Inputs!$B$38&lt;&gt;"pvp",Inputs!$B$43&gt;0),SUMPRODUCT((Skills!E2:E27=TRUE)*(Calc!C2:C27=TRUE)*Calc!R2:R27*Skills!F2:F27)/Inputs!$B$43,SUMPRODUCT((Skills!E2:E27=TRUE)*(Calc!C2:C27=TRUE)*Calc!Q2:Q27*Skills!F2:F27))</f>
        <v/>
      </c>
    </row>
    <row r="63">
      <c r="A63" t="inlineStr">
        <is>
          <t>Eight-Legs Easton (Basic Attack) Casts Per Second</t>
        </is>
      </c>
      <c r="B63">
        <f>MAX(0,B61-B62)</f>
        <v/>
      </c>
    </row>
    <row r="64">
      <c r="A64" t="inlineStr">
        <is>
          <t>Global Critical Damage Bonus % (unused — no live Crit-Damage-buff source exists)</t>
        </is>
      </c>
      <c r="B64" t="n">
        <v>0</v>
      </c>
    </row>
    <row r="65">
      <c r="A65" t="inlineStr">
        <is>
          <t>Global Final Damage Bonus % (Jolly Roger only)</t>
        </is>
      </c>
      <c r="B65">
        <f>((Calc!C18=TRUE)*Calc!F18)</f>
        <v/>
      </c>
    </row>
    <row r="66">
      <c r="A66" t="inlineStr">
        <is>
          <t>Eight-Legs Easton (Basic Attack) DPS</t>
        </is>
      </c>
      <c r="B66">
        <f>Calc!O2</f>
        <v/>
      </c>
    </row>
    <row r="67">
      <c r="A67" t="inlineStr">
        <is>
          <t>Buff-Casting Startup Delay (s, before first damage-skill cast; fixed-duration only)</t>
        </is>
      </c>
      <c r="B67">
        <f>IF(AND(Inputs!$B$38&lt;&gt;"pvp",Inputs!$B$43&gt;0),SUMPRODUCT((Skills!T2:T27&gt;0)*(Skills!E2:E27=TRUE)*(Calc!C2:C27=TRUE))/B61,0)</f>
        <v/>
      </c>
    </row>
    <row r="68">
      <c r="A68" t="inlineStr">
        <is>
          <t>Boss-Only Total DPS (Sensitivity baseline)</t>
        </is>
      </c>
      <c r="B68">
        <f>SUM(Calc!T2:T27)</f>
        <v/>
      </c>
    </row>
    <row r="69">
      <c r="A69" t="inlineStr">
        <is>
          <t>Normal-Only Total DPS (Sensitivity baseline)</t>
        </is>
      </c>
      <c r="B69">
        <f>SUM(Calc!V2:V27)</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5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B73</f>
        <v/>
      </c>
      <c r="H5">
        <f>Summary!$B$3*(((1-Summary!$B$55)*IFERROR(B71/Summary!$B$68,1)+Summary!$B$55*IFERROR(B72/Summary!$B$69,1))-1)</f>
        <v/>
      </c>
      <c r="I5">
        <f>((1-Summary!$B$55)*IFERROR(B71/Summary!$B$68,1)+Summary!$B$55*IFERROR(B72/Summary!$B$69,1))*100</f>
        <v/>
      </c>
    </row>
    <row r="6">
      <c r="A6" t="inlineStr">
        <is>
          <t>DEX %</t>
        </is>
      </c>
      <c r="B6">
        <f>IFERROR(1/(I6-100),"n/a")</f>
        <v/>
      </c>
      <c r="C6" t="inlineStr">
        <is>
          <t>pct</t>
        </is>
      </c>
      <c r="D6">
        <f>Inputs!$B$13</f>
        <v/>
      </c>
      <c r="E6">
        <f>(Inputs!$B$13+1)</f>
        <v/>
      </c>
      <c r="F6">
        <f>Summary!$B$3</f>
        <v/>
      </c>
      <c r="G6">
        <f>B116</f>
        <v/>
      </c>
      <c r="H6">
        <f>Summary!$B$3*(((1-Summary!$B$55)*IFERROR(B114/Summary!$B$68,1)+Summary!$B$55*IFERROR(B115/Summary!$B$69,1))-1)</f>
        <v/>
      </c>
      <c r="I6">
        <f>((1-Summary!$B$55)*IFERROR(B114/Summary!$B$68,1)+Summary!$B$55*IFERROR(B115/Summary!$B$69,1))*100</f>
        <v/>
      </c>
    </row>
    <row r="7">
      <c r="A7" t="inlineStr">
        <is>
          <t>STR</t>
        </is>
      </c>
      <c r="B7">
        <f>IFERROR(1/(I7-100),"n/a")</f>
        <v/>
      </c>
      <c r="C7" t="inlineStr">
        <is>
          <t>flat</t>
        </is>
      </c>
      <c r="D7">
        <f>Inputs!$B$14</f>
        <v/>
      </c>
      <c r="E7">
        <f>(Inputs!$B$14+1)</f>
        <v/>
      </c>
      <c r="F7">
        <f>Summary!$B$3</f>
        <v/>
      </c>
      <c r="G7">
        <f>B159</f>
        <v/>
      </c>
      <c r="H7">
        <f>Summary!$B$3*(((1-Summary!$B$55)*IFERROR(B157/Summary!$B$68,1)+Summary!$B$55*IFERROR(B158/Summary!$B$69,1))-1)</f>
        <v/>
      </c>
      <c r="I7">
        <f>((1-Summary!$B$55)*IFERROR(B157/Summary!$B$68,1)+Summary!$B$55*IFERROR(B158/Summary!$B$69,1))*100</f>
        <v/>
      </c>
    </row>
    <row r="8">
      <c r="A8" t="inlineStr">
        <is>
          <t>DAMAGE %</t>
        </is>
      </c>
      <c r="B8">
        <f>IFERROR(1/(I8-100),"n/a")</f>
        <v/>
      </c>
      <c r="C8" t="inlineStr">
        <is>
          <t>pct</t>
        </is>
      </c>
      <c r="D8">
        <f>Inputs!$B$15</f>
        <v/>
      </c>
      <c r="E8">
        <f>(Inputs!$B$15+1)</f>
        <v/>
      </c>
      <c r="F8">
        <f>Summary!$B$3</f>
        <v/>
      </c>
      <c r="G8">
        <f>B202</f>
        <v/>
      </c>
      <c r="H8">
        <f>Summary!$B$3*(((1-Summary!$B$55)*IFERROR(B200/Summary!$B$68,1)+Summary!$B$55*IFERROR(B201/Summary!$B$69,1))-1)</f>
        <v/>
      </c>
      <c r="I8">
        <f>((1-Summary!$B$55)*IFERROR(B200/Summary!$B$68,1)+Summary!$B$55*IFERROR(B201/Summary!$B$69,1))*100</f>
        <v/>
      </c>
    </row>
    <row r="9">
      <c r="A9" t="inlineStr">
        <is>
          <t>DAMAGE_AMP %</t>
        </is>
      </c>
      <c r="B9">
        <f>IFERROR(1/(I9-100),"n/a")</f>
        <v/>
      </c>
      <c r="C9" t="inlineStr">
        <is>
          <t>pct</t>
        </is>
      </c>
      <c r="D9">
        <f>Inputs!$B$16</f>
        <v/>
      </c>
      <c r="E9">
        <f>(Inputs!$B$16+1)</f>
        <v/>
      </c>
      <c r="F9">
        <f>Summary!$B$3</f>
        <v/>
      </c>
      <c r="G9">
        <f>B245</f>
        <v/>
      </c>
      <c r="H9">
        <f>Summary!$B$3*(((1-Summary!$B$55)*IFERROR(B243/Summary!$B$68,1)+Summary!$B$55*IFERROR(B244/Summary!$B$69,1))-1)</f>
        <v/>
      </c>
      <c r="I9">
        <f>((1-Summary!$B$55)*IFERROR(B243/Summary!$B$68,1)+Summary!$B$55*IFERROR(B244/Summary!$B$69,1))*100</f>
        <v/>
      </c>
    </row>
    <row r="10">
      <c r="A10" t="inlineStr">
        <is>
          <t>BOSS_DAMAGE %</t>
        </is>
      </c>
      <c r="B10">
        <f>IFERROR(1/(I10-100),"n/a")</f>
        <v/>
      </c>
      <c r="C10" t="inlineStr">
        <is>
          <t>pct</t>
        </is>
      </c>
      <c r="D10">
        <f>Inputs!$B$20</f>
        <v/>
      </c>
      <c r="E10">
        <f>(Inputs!$B$20+1)</f>
        <v/>
      </c>
      <c r="F10">
        <f>Summary!$B$3</f>
        <v/>
      </c>
      <c r="G10">
        <f>B288</f>
        <v/>
      </c>
      <c r="H10">
        <f>Summary!$B$3*(((1-Summary!$B$55)*IFERROR(B286/Summary!$B$68,1)+Summary!$B$55*IFERROR(B287/Summary!$B$69,1))-1)</f>
        <v/>
      </c>
      <c r="I10">
        <f>((1-Summary!$B$55)*IFERROR(B286/Summary!$B$68,1)+Summary!$B$55*IFERROR(B287/Summary!$B$69,1))*100</f>
        <v/>
      </c>
    </row>
    <row r="11">
      <c r="A11" t="inlineStr">
        <is>
          <t>NORMAL_DAMAGE %</t>
        </is>
      </c>
      <c r="B11">
        <f>IFERROR(1/(I11-100),"n/a")</f>
        <v/>
      </c>
      <c r="C11" t="inlineStr">
        <is>
          <t>pct</t>
        </is>
      </c>
      <c r="D11">
        <f>Inputs!$B$21</f>
        <v/>
      </c>
      <c r="E11">
        <f>(Inputs!$B$21+1)</f>
        <v/>
      </c>
      <c r="F11">
        <f>Summary!$B$3</f>
        <v/>
      </c>
      <c r="G11">
        <f>B331</f>
        <v/>
      </c>
      <c r="H11">
        <f>Summary!$B$3*(((1-Summary!$B$55)*IFERROR(B329/Summary!$B$68,1)+Summary!$B$55*IFERROR(B330/Summary!$B$69,1))-1)</f>
        <v/>
      </c>
      <c r="I11">
        <f>((1-Summary!$B$55)*IFERROR(B329/Summary!$B$68,1)+Summary!$B$55*IFERROR(B330/Summary!$B$69,1))*100</f>
        <v/>
      </c>
    </row>
    <row r="12">
      <c r="A12" t="inlineStr">
        <is>
          <t>FINAL_DAMAGE % (multiplicative source)</t>
        </is>
      </c>
      <c r="B12">
        <f>IFERROR(1/(I12-100),"n/a")</f>
        <v/>
      </c>
      <c r="C12" t="inlineStr">
        <is>
          <t>mult</t>
        </is>
      </c>
      <c r="D12">
        <f>Inputs!$B$24</f>
        <v/>
      </c>
      <c r="E12">
        <f>((((1+Inputs!$B$24/100)*(1.01))-1)*100)</f>
        <v/>
      </c>
      <c r="F12">
        <f>Summary!$B$3</f>
        <v/>
      </c>
      <c r="G12">
        <f>B374</f>
        <v/>
      </c>
      <c r="H12">
        <f>Summary!$B$3*(((1-Summary!$B$55)*IFERROR(B372/Summary!$B$68,1)+Summary!$B$55*IFERROR(B373/Summary!$B$69,1))-1)</f>
        <v/>
      </c>
      <c r="I12">
        <f>((1-Summary!$B$55)*IFERROR(B372/Summary!$B$68,1)+Summary!$B$55*IFERROR(B373/Summary!$B$69,1))*100</f>
        <v/>
      </c>
    </row>
    <row r="13">
      <c r="A13" t="inlineStr">
        <is>
          <t>MIN_DAMAGE %</t>
        </is>
      </c>
      <c r="B13">
        <f>IFERROR(1/(I13-100),"n/a")</f>
        <v/>
      </c>
      <c r="C13" t="inlineStr">
        <is>
          <t>pct</t>
        </is>
      </c>
      <c r="D13">
        <f>Inputs!$B$22</f>
        <v/>
      </c>
      <c r="E13">
        <f>(Inputs!$B$22+1)</f>
        <v/>
      </c>
      <c r="F13">
        <f>Summary!$B$3</f>
        <v/>
      </c>
      <c r="G13">
        <f>B417</f>
        <v/>
      </c>
      <c r="H13">
        <f>Summary!$B$3*(((1-Summary!$B$55)*IFERROR(B415/Summary!$B$68,1)+Summary!$B$55*IFERROR(B416/Summary!$B$69,1))-1)</f>
        <v/>
      </c>
      <c r="I13">
        <f>((1-Summary!$B$55)*IFERROR(B415/Summary!$B$68,1)+Summary!$B$55*IFERROR(B416/Summary!$B$69,1))*100</f>
        <v/>
      </c>
    </row>
    <row r="14">
      <c r="A14" t="inlineStr">
        <is>
          <t>MAX_DAMAGE %</t>
        </is>
      </c>
      <c r="B14">
        <f>IFERROR(1/(I14-100),"n/a")</f>
        <v/>
      </c>
      <c r="C14" t="inlineStr">
        <is>
          <t>pct</t>
        </is>
      </c>
      <c r="D14">
        <f>Inputs!$B$23</f>
        <v/>
      </c>
      <c r="E14">
        <f>(Inputs!$B$23+1)</f>
        <v/>
      </c>
      <c r="F14">
        <f>Summary!$B$3</f>
        <v/>
      </c>
      <c r="G14">
        <f>B460</f>
        <v/>
      </c>
      <c r="H14">
        <f>Summary!$B$3*(((1-Summary!$B$55)*IFERROR(B458/Summary!$B$68,1)+Summary!$B$55*IFERROR(B459/Summary!$B$69,1))-1)</f>
        <v/>
      </c>
      <c r="I14">
        <f>((1-Summary!$B$55)*IFERROR(B458/Summary!$B$68,1)+Summary!$B$55*IFERROR(B459/Summary!$B$69,1))*100</f>
        <v/>
      </c>
    </row>
    <row r="15">
      <c r="A15" t="inlineStr">
        <is>
          <t>CRIT_RATE %</t>
        </is>
      </c>
      <c r="B15">
        <f>IFERROR(1/(I15-100),"n/a")</f>
        <v/>
      </c>
      <c r="C15" t="inlineStr">
        <is>
          <t>pct</t>
        </is>
      </c>
      <c r="D15">
        <f>Inputs!$B$9</f>
        <v/>
      </c>
      <c r="E15">
        <f>(Inputs!$B$9+1)</f>
        <v/>
      </c>
      <c r="F15">
        <f>Summary!$B$3</f>
        <v/>
      </c>
      <c r="G15">
        <f>B503</f>
        <v/>
      </c>
      <c r="H15">
        <f>Summary!$B$3*(((1-Summary!$B$55)*IFERROR(B501/Summary!$B$68,1)+Summary!$B$55*IFERROR(B502/Summary!$B$69,1))-1)</f>
        <v/>
      </c>
      <c r="I15">
        <f>((1-Summary!$B$55)*IFERROR(B501/Summary!$B$68,1)+Summary!$B$55*IFERROR(B502/Summary!$B$69,1))*100</f>
        <v/>
      </c>
    </row>
    <row r="16">
      <c r="A16" t="inlineStr">
        <is>
          <t>CRIT_DAMAGE %</t>
        </is>
      </c>
      <c r="B16">
        <f>IFERROR(1/(I16-100),"n/a")</f>
        <v/>
      </c>
      <c r="C16" t="inlineStr">
        <is>
          <t>pct</t>
        </is>
      </c>
      <c r="D16">
        <f>Inputs!$B$10</f>
        <v/>
      </c>
      <c r="E16">
        <f>(Inputs!$B$10+1)</f>
        <v/>
      </c>
      <c r="F16">
        <f>Summary!$B$3</f>
        <v/>
      </c>
      <c r="G16">
        <f>B546</f>
        <v/>
      </c>
      <c r="H16">
        <f>Summary!$B$3*(((1-Summary!$B$55)*IFERROR(B544/Summary!$B$68,1)+Summary!$B$55*IFERROR(B545/Summary!$B$69,1))-1)</f>
        <v/>
      </c>
      <c r="I16">
        <f>((1-Summary!$B$55)*IFERROR(B544/Summary!$B$68,1)+Summary!$B$55*IFERROR(B545/Summary!$B$69,1))*100</f>
        <v/>
      </c>
    </row>
    <row r="17">
      <c r="A17" t="inlineStr">
        <is>
          <t>ATTACK_SPEED % (diminishing returns, factor 150)</t>
        </is>
      </c>
      <c r="B17">
        <f>IFERROR(1/(I17-100),"n/a")</f>
        <v/>
      </c>
      <c r="C17" t="inlineStr">
        <is>
          <t>dr150</t>
        </is>
      </c>
      <c r="D17">
        <f>Inputs!$B$11</f>
        <v/>
      </c>
      <c r="E17">
        <f>((1-(1-Inputs!$B$11/150)*(1-1/150))*150)</f>
        <v/>
      </c>
      <c r="F17">
        <f>Summary!$B$3</f>
        <v/>
      </c>
      <c r="G17">
        <f>B589</f>
        <v/>
      </c>
      <c r="H17">
        <f>Summary!$B$3*(((1-Summary!$B$55)*IFERROR(B587/Summary!$B$68,1)+Summary!$B$55*IFERROR(B588/Summary!$B$69,1))-1)</f>
        <v/>
      </c>
      <c r="I17">
        <f>((1-Summary!$B$55)*IFERROR(B587/Summary!$B$68,1)+Summary!$B$55*IFERROR(B588/Summary!$B$69,1))*100</f>
        <v/>
      </c>
    </row>
    <row r="18">
      <c r="A18" t="inlineStr">
        <is>
          <t>DEF_PEN % (diminishing returns, factor 100)</t>
        </is>
      </c>
      <c r="B18">
        <f>IFERROR(1/(I18-100),"n/a")</f>
        <v/>
      </c>
      <c r="C18" t="inlineStr">
        <is>
          <t>dr100</t>
        </is>
      </c>
      <c r="D18">
        <f>Inputs!$B$19</f>
        <v/>
      </c>
      <c r="E18">
        <f>((1-(1-Inputs!$B$19/100)*(1-1/100))*100)</f>
        <v/>
      </c>
      <c r="F18">
        <f>Summary!$B$3</f>
        <v/>
      </c>
      <c r="G18">
        <f>B632</f>
        <v/>
      </c>
      <c r="H18">
        <f>Summary!$B$3*(((1-Summary!$B$55)*IFERROR(B630/Summary!$B$68,1)+Summary!$B$55*IFERROR(B631/Summary!$B$69,1))-1)</f>
        <v/>
      </c>
      <c r="I18">
        <f>((1-Summary!$B$55)*IFERROR(B630/Summary!$B$68,1)+Summary!$B$55*IFERROR(B631/Summary!$B$69,1))*100</f>
        <v/>
      </c>
    </row>
    <row r="19">
      <c r="A19" t="inlineStr">
        <is>
          <t>BASIC_ATTACK_DAMAGE %</t>
        </is>
      </c>
      <c r="B19">
        <f>IFERROR(1/(I19-100),"n/a")</f>
        <v/>
      </c>
      <c r="C19" t="inlineStr">
        <is>
          <t>pct</t>
        </is>
      </c>
      <c r="D19">
        <f>Inputs!$B$17</f>
        <v/>
      </c>
      <c r="E19">
        <f>(Inputs!$B$17+1)</f>
        <v/>
      </c>
      <c r="F19">
        <f>Summary!$B$3</f>
        <v/>
      </c>
      <c r="G19">
        <f>B675</f>
        <v/>
      </c>
      <c r="H19">
        <f>Summary!$B$3*(((1-Summary!$B$55)*IFERROR(B673/Summary!$B$68,1)+Summary!$B$55*IFERROR(B674/Summary!$B$69,1))-1)</f>
        <v/>
      </c>
      <c r="I19">
        <f>((1-Summary!$B$55)*IFERROR(B673/Summary!$B$68,1)+Summary!$B$55*IFERROR(B674/Summary!$B$69,1))*100</f>
        <v/>
      </c>
    </row>
    <row r="20">
      <c r="A20" t="inlineStr">
        <is>
          <t>SKILL_DAMAGE %</t>
        </is>
      </c>
      <c r="B20">
        <f>IFERROR(1/(I20-100),"n/a")</f>
        <v/>
      </c>
      <c r="C20" t="inlineStr">
        <is>
          <t>pct</t>
        </is>
      </c>
      <c r="D20">
        <f>Inputs!$B$18</f>
        <v/>
      </c>
      <c r="E20">
        <f>(Inputs!$B$18+1)</f>
        <v/>
      </c>
      <c r="F20">
        <f>Summary!$B$3</f>
        <v/>
      </c>
      <c r="G20">
        <f>B718</f>
        <v/>
      </c>
      <c r="H20">
        <f>Summary!$B$3*(((1-Summary!$B$55)*IFERROR(B716/Summary!$B$68,1)+Summary!$B$55*IFERROR(B717/Summary!$B$69,1))-1)</f>
        <v/>
      </c>
      <c r="I20">
        <f>((1-Summary!$B$55)*IFERROR(B716/Summary!$B$68,1)+Summary!$B$55*IFERROR(B717/Summary!$B$69,1))*100</f>
        <v/>
      </c>
    </row>
    <row r="21">
      <c r="A21" t="inlineStr">
        <is>
          <t>Skill Level Bonus — 1st Job</t>
        </is>
      </c>
      <c r="B21">
        <f>IFERROR(1/(I21-100),"n/a")</f>
        <v/>
      </c>
      <c r="C21" t="inlineStr">
        <is>
          <t>level</t>
        </is>
      </c>
      <c r="D21">
        <f>Inputs!$B$25</f>
        <v/>
      </c>
      <c r="E21">
        <f>(Inputs!$B$25+1)</f>
        <v/>
      </c>
      <c r="F21">
        <f>Summary!$B$3</f>
        <v/>
      </c>
      <c r="G21">
        <f>B761</f>
        <v/>
      </c>
      <c r="H21">
        <f>Summary!$B$3*(((1-Summary!$B$55)*IFERROR(B759/Summary!$B$68,1)+Summary!$B$55*IFERROR(B760/Summary!$B$69,1))-1)</f>
        <v/>
      </c>
      <c r="I21">
        <f>((1-Summary!$B$55)*IFERROR(B759/Summary!$B$68,1)+Summary!$B$55*IFERROR(B760/Summary!$B$69,1))*100</f>
        <v/>
      </c>
    </row>
    <row r="22">
      <c r="A22" t="inlineStr">
        <is>
          <t>Skill Level Bonus — 2nd Job</t>
        </is>
      </c>
      <c r="B22">
        <f>IFERROR(1/(I22-100),"n/a")</f>
        <v/>
      </c>
      <c r="C22" t="inlineStr">
        <is>
          <t>level</t>
        </is>
      </c>
      <c r="D22">
        <f>Inputs!$B$26</f>
        <v/>
      </c>
      <c r="E22">
        <f>(Inputs!$B$26+1)</f>
        <v/>
      </c>
      <c r="F22">
        <f>Summary!$B$3</f>
        <v/>
      </c>
      <c r="G22">
        <f>B804</f>
        <v/>
      </c>
      <c r="H22">
        <f>Summary!$B$3*(((1-Summary!$B$55)*IFERROR(B802/Summary!$B$68,1)+Summary!$B$55*IFERROR(B803/Summary!$B$69,1))-1)</f>
        <v/>
      </c>
      <c r="I22">
        <f>((1-Summary!$B$55)*IFERROR(B802/Summary!$B$68,1)+Summary!$B$55*IFERROR(B803/Summary!$B$69,1))*100</f>
        <v/>
      </c>
    </row>
    <row r="23">
      <c r="A23" t="inlineStr">
        <is>
          <t>Skill Level Bonus — 3rd Job</t>
        </is>
      </c>
      <c r="B23">
        <f>IFERROR(1/(I23-100),"n/a")</f>
        <v/>
      </c>
      <c r="C23" t="inlineStr">
        <is>
          <t>level</t>
        </is>
      </c>
      <c r="D23">
        <f>Inputs!$B$27</f>
        <v/>
      </c>
      <c r="E23">
        <f>(Inputs!$B$27+1)</f>
        <v/>
      </c>
      <c r="F23">
        <f>Summary!$B$3</f>
        <v/>
      </c>
      <c r="G23">
        <f>B847</f>
        <v/>
      </c>
      <c r="H23">
        <f>Summary!$B$3*(((1-Summary!$B$55)*IFERROR(B845/Summary!$B$68,1)+Summary!$B$55*IFERROR(B846/Summary!$B$69,1))-1)</f>
        <v/>
      </c>
      <c r="I23">
        <f>((1-Summary!$B$55)*IFERROR(B845/Summary!$B$68,1)+Summary!$B$55*IFERROR(B846/Summary!$B$69,1))*100</f>
        <v/>
      </c>
    </row>
    <row r="24">
      <c r="A24" t="inlineStr">
        <is>
          <t>Skill Level Bonus — 4th Job</t>
        </is>
      </c>
      <c r="B24">
        <f>IFERROR(1/(I24-100),"n/a")</f>
        <v/>
      </c>
      <c r="C24" t="inlineStr">
        <is>
          <t>level</t>
        </is>
      </c>
      <c r="D24">
        <f>Inputs!$B$28</f>
        <v/>
      </c>
      <c r="E24">
        <f>(Inputs!$B$28+1)</f>
        <v/>
      </c>
      <c r="F24">
        <f>Summary!$B$3</f>
        <v/>
      </c>
      <c r="G24">
        <f>B890</f>
        <v/>
      </c>
      <c r="H24">
        <f>Summary!$B$3*(((1-Summary!$B$55)*IFERROR(B888/Summary!$B$68,1)+Summary!$B$55*IFERROR(B889/Summary!$B$69,1))-1)</f>
        <v/>
      </c>
      <c r="I24">
        <f>((1-Summary!$B$55)*IFERROR(B888/Summary!$B$68,1)+Summary!$B$55*IFERROR(B889/Summary!$B$69,1))*100</f>
        <v/>
      </c>
    </row>
    <row r="25">
      <c r="A25" t="inlineStr">
        <is>
          <t>Skill Level Bonus — All Skills</t>
        </is>
      </c>
      <c r="B25">
        <f>IFERROR(1/(I25-100),"n/a")</f>
        <v/>
      </c>
      <c r="C25" t="inlineStr">
        <is>
          <t>level</t>
        </is>
      </c>
      <c r="D25">
        <f>Inputs!$B$29</f>
        <v/>
      </c>
      <c r="E25">
        <f>(Inputs!$B$29+1)</f>
        <v/>
      </c>
      <c r="F25">
        <f>Summary!$B$3</f>
        <v/>
      </c>
      <c r="G25">
        <f>B933</f>
        <v/>
      </c>
      <c r="H25">
        <f>Summary!$B$3*(((1-Summary!$B$55)*IFERROR(B931/Summary!$B$68,1)+Summary!$B$55*IFERROR(B932/Summary!$B$69,1))-1)</f>
        <v/>
      </c>
      <c r="I25">
        <f>((1-Summary!$B$55)*IFERROR(B931/Summary!$B$68,1)+Summary!$B$55*IFERROR(B932/Summary!$B$69,1))*100</f>
        <v/>
      </c>
    </row>
    <row r="26">
      <c r="A26" t="inlineStr">
        <is>
          <t>Flat ATTACK</t>
        </is>
      </c>
      <c r="B26">
        <f>IFERROR(1/(I26-100),"n/a")</f>
        <v/>
      </c>
      <c r="C26" t="inlineStr">
        <is>
          <t>flat</t>
        </is>
      </c>
      <c r="D26">
        <f>Inputs!$B$6</f>
        <v/>
      </c>
      <c r="E26">
        <f>(Inputs!$B$6+1)</f>
        <v/>
      </c>
      <c r="F26">
        <f>Summary!$B$3</f>
        <v/>
      </c>
      <c r="G26">
        <f>B976</f>
        <v/>
      </c>
      <c r="H26">
        <f>Summary!$B$3*(((1-Summary!$B$55)*IFERROR(B974/Summary!$B$68,1)+Summary!$B$55*IFERROR(B975/Summary!$B$69,1))-1)</f>
        <v/>
      </c>
      <c r="I26">
        <f>((1-Summary!$B$55)*IFERROR(B974/Summary!$B$68,1)+Summary!$B$55*IFERROR(B975/Summary!$B$69,1))*100</f>
        <v/>
      </c>
    </row>
    <row r="27">
      <c r="A27" t="inlineStr">
        <is>
          <t>ATTACK %</t>
        </is>
      </c>
      <c r="B27">
        <f>IFERROR(1/(I27-100),"n/a")</f>
        <v/>
      </c>
      <c r="C27" t="inlineStr">
        <is>
          <t>pct</t>
        </is>
      </c>
      <c r="D27">
        <f>Inputs!$B$7</f>
        <v/>
      </c>
      <c r="E27">
        <f>(Inputs!$B$7+1)</f>
        <v/>
      </c>
      <c r="F27">
        <f>Summary!$B$3</f>
        <v/>
      </c>
      <c r="G27">
        <f>B1019</f>
        <v/>
      </c>
      <c r="H27">
        <f>Summary!$B$3*(((1-Summary!$B$55)*IFERROR(B1017/Summary!$B$68,1)+Summary!$B$55*IFERROR(B1018/Summary!$B$69,1))-1)</f>
        <v/>
      </c>
      <c r="I27">
        <f>((1-Summary!$B$55)*IFERROR(B1017/Summary!$B$68,1)+Summary!$B$55*IFERROR(B1018/Summary!$B$69,1))*100</f>
        <v/>
      </c>
    </row>
    <row r="28">
      <c r="A28" t="inlineStr">
        <is>
          <t>Skill Cooldown Decrease (seconds)</t>
        </is>
      </c>
      <c r="B28">
        <f>IFERROR(1/(I28-100),"n/a")</f>
        <v/>
      </c>
      <c r="C28" t="inlineStr">
        <is>
          <t>flat</t>
        </is>
      </c>
      <c r="D28">
        <f>Inputs!$B$32</f>
        <v/>
      </c>
      <c r="E28">
        <f>(Inputs!$B$32+1)</f>
        <v/>
      </c>
      <c r="F28">
        <f>Summary!$B$3</f>
        <v/>
      </c>
      <c r="G28">
        <f>B1062</f>
        <v/>
      </c>
      <c r="H28">
        <f>Summary!$B$3*(((1-Summary!$B$55)*IFERROR(B1060/Summary!$B$68,1)+Summary!$B$55*IFERROR(B1061/Summary!$B$69,1))-1)</f>
        <v/>
      </c>
      <c r="I28">
        <f>((1-Summary!$B$55)*IFERROR(B1060/Summary!$B$68,1)+Summary!$B$55*IFERROR(B1061/Summary!$B$69,1))*100</f>
        <v/>
      </c>
    </row>
    <row r="29">
      <c r="A29" t="inlineStr">
        <is>
          <t>Basic Attack Target Increase (flat)</t>
        </is>
      </c>
      <c r="B29">
        <f>IFERROR(1/(I29-100),"n/a")</f>
        <v/>
      </c>
      <c r="C29" t="inlineStr">
        <is>
          <t>flat</t>
        </is>
      </c>
      <c r="D29">
        <f>Inputs!$B$33</f>
        <v/>
      </c>
      <c r="E29">
        <f>(Inputs!$B$33+1)</f>
        <v/>
      </c>
      <c r="F29">
        <f>Summary!$B$3</f>
        <v/>
      </c>
      <c r="G29">
        <f>B1105</f>
        <v/>
      </c>
      <c r="H29">
        <f>Summary!$B$3*(((1-Summary!$B$55)*IFERROR(B1103/Summary!$B$68,1)+Summary!$B$55*IFERROR(B1104/Summary!$B$69,1))-1)</f>
        <v/>
      </c>
      <c r="I29">
        <f>((1-Summary!$B$55)*IFERROR(B1103/Summary!$B$68,1)+Summary!$B$55*IFERROR(B1104/Summary!$B$69,1))*100</f>
        <v/>
      </c>
    </row>
    <row r="30">
      <c r="A30" t="inlineStr">
        <is>
          <t>Buff Duration Increase %</t>
        </is>
      </c>
      <c r="B30">
        <f>IFERROR(1/(I30-100),"n/a")</f>
        <v/>
      </c>
      <c r="C30" t="inlineStr">
        <is>
          <t>pct</t>
        </is>
      </c>
      <c r="D30">
        <f>Inputs!$B$34</f>
        <v/>
      </c>
      <c r="E30">
        <f>(Inputs!$B$34+1)</f>
        <v/>
      </c>
      <c r="F30">
        <f>Summary!$B$3</f>
        <v/>
      </c>
      <c r="G30">
        <f>B1148</f>
        <v/>
      </c>
      <c r="H30">
        <f>Summary!$B$3*(((1-Summary!$B$55)*IFERROR(B1146/Summary!$B$68,1)+Summary!$B$55*IFERROR(B1147/Summary!$B$69,1))-1)</f>
        <v/>
      </c>
      <c r="I30">
        <f>((1-Summary!$B$55)*IFERROR(B1146/Summary!$B$68,1)+Summary!$B$55*IFERROR(B1147/Summary!$B$69,1))*100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nputs!$B$16/100)*(5000/(6000+Inputs!$B$42*(1-(Inputs!$B$19+0)/100)))*(1+(Inputs!$B$24+((C59=TRUE)*(F59-Calc!F26))+B69)/100)*(1+(IF(Skills!A2="EIGHT_LEGS_EASTON",Inputs!$B$17+((C56=TRUE)*(F56-Calc!F23))+((C60=TRUE)*(F60-Calc!F27)),Inputs!$B$18+0))/100)*((1+(((C50=TRUE)*F50)+((C57=TRUE)*(F57-Calc!F24)))/100)*I35)</f>
        <v/>
      </c>
      <c r="L35">
        <f>K35*(MIN(Inputs!$B$22+((C55=TRUE)*(F55-Calc!F22)),Inputs!$B$23+0)/100+(Inputs!$B$23+0)/100)/2</f>
        <v/>
      </c>
      <c r="M35">
        <f>L35*(1+(Inputs!$B$10+((C58=TRUE)*(F58-Calc!F25))+B68)/100)</f>
        <v/>
      </c>
      <c r="N35">
        <f>L35*(1-MIN((Inputs!$B$9+((C52=TRUE)*(F52-Calc!F19))+B63),100)/100)+M35*(MIN((Inputs!$B$9+((C52=TRUE)*(F52-Calc!F19))+B63),100)/100)</f>
        <v/>
      </c>
      <c r="O35">
        <f>(1-Summary!$B$55)*T35+Summary!$B$55*V35</f>
        <v/>
      </c>
      <c r="P35">
        <f>IF(B73=0,0,O35/B73)</f>
        <v/>
      </c>
      <c r="Q35" t="n">
        <v>0</v>
      </c>
      <c r="R35" t="n">
        <v>0</v>
      </c>
      <c r="S35">
        <f>IFERROR(O35/N35,0)</f>
        <v/>
      </c>
      <c r="T35">
        <f>IF(C35,(Skills!G2*N35*B67)*IF(Inputs!$B$38="pvp",1,1+(Inputs!$B$20+0+Skills!P2)/100),0)</f>
        <v/>
      </c>
      <c r="U35">
        <f>MAX(0,(Inputs!$B$3-100)*3)+Inputs!$B$28+Inputs!$B$29</f>
        <v/>
      </c>
      <c r="V35">
        <f>IF(C35,(Skills!G2*N35*B67)*IF(Inputs!$B$38="pvp",1,(1+(Inputs!$B$21+Skills!Q2)/100)*(MIN((6+Inputs!$B$33),Inputs!$B$37))),0)</f>
        <v/>
      </c>
    </row>
    <row r="36">
      <c r="A36">
        <f>Skills!A3</f>
        <v/>
      </c>
      <c r="B36">
        <f>Skills!B3</f>
        <v/>
      </c>
      <c r="C36">
        <f>Inputs!$B$3&gt;=35</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((Inputs!$B$6*(1+Inputs!$B$7/100))+((((Inputs!$B$12+1)*(1+Inputs!$B$13/100))-(Inputs!$B$12*(1+Inputs!$B$13/100)))+0.25*(Inputs!$B$14-Inputs!$B$14))*(1+Inputs!$B$7/100))*(F36/100)</f>
        <v/>
      </c>
      <c r="K36">
        <f>J36*(1+(((Inputs!$B$12+1)*(1+Inputs!$B$13/100))*0.01+Inputs!$B$14*0.0025)/100)*(1+Inputs!$B$15/100)*(1+Inputs!$B$16/100)*(5000/(6000+Inputs!$B$42*(1-(Inputs!$B$19+0)/100)))*(1+(Inputs!$B$24+((C59=TRUE)*(F59-Calc!F26))+B69)/100)*(1+4.0*IF(C48=TRUE,F48,0)/100)*(1+(IF(Skills!A3="EIGHT_LEGS_EASTON",Inputs!$B$17+((C56=TRUE)*(F56-Calc!F23))+((C60=TRUE)*(F60-Calc!F27)),Inputs!$B$18+0))/100)*((1+(((C50=TRUE)*F50)+((C57=TRUE)*(F57-Calc!F24)))/100)*I36)</f>
        <v/>
      </c>
      <c r="L36">
        <f>K36*(MIN(Inputs!$B$22+((C55=TRUE)*(F55-Calc!F22)),Inputs!$B$23+0)/100+(Inputs!$B$23+0)/100)/2</f>
        <v/>
      </c>
      <c r="M36">
        <f>L36*(1+(Inputs!$B$10+((C58=TRUE)*(F58-Calc!F25))+B68)/100)</f>
        <v/>
      </c>
      <c r="N36">
        <f>L36*(1-MIN((Inputs!$B$9+((C52=TRUE)*(F52-Calc!F19))+B63),100)/100)+M36*(MIN((Inputs!$B$9+((C52=TRUE)*(F52-Calc!F19))+B63),100)/100)</f>
        <v/>
      </c>
      <c r="O36">
        <f>(1-Summary!$B$55)*T36+Summary!$B$55*V36</f>
        <v/>
      </c>
      <c r="P36">
        <f>IF(B73=0,0,O36/B73)</f>
        <v/>
      </c>
      <c r="Q36">
        <f>IFERROR(1/IF(Inputs!$B$38="pvp",15,MAX(0.1,Skills!D3-IF(Skills!E3=TRUE,Inputs!$B$32,0))),0)</f>
        <v/>
      </c>
      <c r="R36">
        <f>IF(AND(Inputs!$B$38&lt;&gt;"pvp",Inputs!$B$43&gt;0),IF(MAX(0,Inputs!$B$43-B70)&lt;=0,0,(INT(MAX(0,Inputs!$B$43-B70)/IF(Inputs!$B$38="pvp",15,MAX(0.1,Skills!D3-IF(Skills!E3=TRUE,Inputs!$B$32,0))))+1)),0)</f>
        <v/>
      </c>
      <c r="S36">
        <f>IFERROR(O36/N36,0)</f>
        <v/>
      </c>
      <c r="T36">
        <f>IF(C36,(H36*N36*IF(AND(Inputs!$B$38&lt;&gt;"pvp",Inputs!$B$43&gt;0),((Skills!G3*((R36-1)*IF(Skills!H3&gt;0,Skills!I3/Skills!H3,1)+IF(Skills!H3&gt;0,MIN(Skills!I3,MAX(0,MAX(0,Inputs!$B$43-B70)-((R36-1)*IF(Inputs!$B$38="pvp",15,MAX(0.1,Skills!D3-IF(Skills!E3=TRUE,Inputs!$B$32,0))))))/Skills!H3,1)))/Inputs!$B$43),G36*Q36))*IF(Inputs!$B$38="pvp",1,1+(Inputs!$B$20+0+Skills!P3)/100),0)</f>
        <v/>
      </c>
      <c r="U36">
        <f>INDEX(FactorTable!$B$2:$Y$301, MATCH(ROUND(MIN(300,MAX(1,U35)),0), FactorTable!$A$2:$A$301,0), 22)</f>
        <v/>
      </c>
      <c r="V36">
        <f>IF(C36,(H36*N36*IF(AND(Inputs!$B$38&lt;&gt;"pvp",Inputs!$B$43&gt;0),((Skills!G3*((R36-1)*IF(Skills!H3&gt;0,Skills!I3/Skills!H3,1)+IF(Skills!H3&gt;0,MIN(Skills!I3,MAX(0,MAX(0,Inputs!$B$43-B70)-((R36-1)*IF(Inputs!$B$38="pvp",15,MAX(0.1,Skills!D3-IF(Skills!E3=TRUE,Inputs!$B$32,0))))))/Skills!H3,1)))/Inputs!$B$43),G36*Q36))*IF(Inputs!$B$38="pvp",1,(1+(Inputs!$B$21+Skills!Q3)/100)*(MIN(Skills!R3,Inputs!$B$37))),0)</f>
        <v/>
      </c>
    </row>
    <row r="37">
      <c r="A37">
        <f>Skills!A4</f>
        <v/>
      </c>
      <c r="B37">
        <f>Skills!B4</f>
        <v/>
      </c>
      <c r="C37">
        <f>Inputs!$B$3&gt;=40</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((Inputs!$B$6*(1+Inputs!$B$7/100))+((((Inputs!$B$12+1)*(1+Inputs!$B$13/100))-(Inputs!$B$12*(1+Inputs!$B$13/100)))+0.25*(Inputs!$B$14-Inputs!$B$14))*(1+Inputs!$B$7/100))*(F37/100)</f>
        <v/>
      </c>
      <c r="K37">
        <f>J37*(1+(((Inputs!$B$12+1)*(1+Inputs!$B$13/100))*0.01+Inputs!$B$14*0.0025)/100)*(1+Inputs!$B$15/100)*(1+Inputs!$B$16/100)*(5000/(6000+Inputs!$B$42*(1-(Inputs!$B$19+0)/100)))*(1+(Inputs!$B$24+((C59=TRUE)*(F59-Calc!F26))+B69)/100)*(1+1.0*IF(C49=TRUE,F49,0)/100)*(1+(IF(Skills!A4="EIGHT_LEGS_EASTON",Inputs!$B$17+((C56=TRUE)*(F56-Calc!F23))+((C60=TRUE)*(F60-Calc!F27)),Inputs!$B$18+0))/100)*((1+(((C50=TRUE)*F50)+((C57=TRUE)*(F57-Calc!F24)))/100)*I37)</f>
        <v/>
      </c>
      <c r="L37">
        <f>K37*(MIN(Inputs!$B$22+((C55=TRUE)*(F55-Calc!F22)),Inputs!$B$23+0)/100+(Inputs!$B$23+0)/100)/2</f>
        <v/>
      </c>
      <c r="M37">
        <f>L37*(1+(Inputs!$B$10+((C58=TRUE)*(F58-Calc!F25))+B68)/100)</f>
        <v/>
      </c>
      <c r="N37">
        <f>L37*(1-MIN((Inputs!$B$9+((C52=TRUE)*(F52-Calc!F19))+B63),100)/100)+M37*(MIN((Inputs!$B$9+((C52=TRUE)*(F52-Calc!F19))+B63),100)/100)</f>
        <v/>
      </c>
      <c r="O37">
        <f>(1-Summary!$B$55)*T37+Summary!$B$55*V37</f>
        <v/>
      </c>
      <c r="P37">
        <f>IF(B73=0,0,O37/B73)</f>
        <v/>
      </c>
      <c r="Q37">
        <f>IFERROR(1/IF(Inputs!$B$38="pvp",15,MAX(0.1,Skills!D4-IF(Skills!E4=TRUE,Inputs!$B$32,0))),0)</f>
        <v/>
      </c>
      <c r="R37">
        <f>IF(AND(Inputs!$B$38&lt;&gt;"pvp",Inputs!$B$43&gt;0),IF(MAX(0,Inputs!$B$43-B70)&lt;=0,0,(INT(MAX(0,Inputs!$B$43-B70)/IF(Inputs!$B$38="pvp",15,MAX(0.1,Skills!D4-IF(Skills!E4=TRUE,Inputs!$B$32,0))))+1)),0)</f>
        <v/>
      </c>
      <c r="S37">
        <f>IFERROR(O37/N37,0)</f>
        <v/>
      </c>
      <c r="T37">
        <f>IF(C37,(H37*N37*IF(AND(Inputs!$B$38&lt;&gt;"pvp",Inputs!$B$43&gt;0),((Skills!G4*((R37-1)*IF(Skills!H4&gt;0,Skills!I4/Skills!H4,1)+IF(Skills!H4&gt;0,MIN(Skills!I4,MAX(0,MAX(0,Inputs!$B$43-B70)-((R37-1)*IF(Inputs!$B$38="pvp",15,MAX(0.1,Skills!D4-IF(Skills!E4=TRUE,Inputs!$B$32,0))))))/Skills!H4,1)))/Inputs!$B$43),G37*Q37))*IF(Inputs!$B$38="pvp",1,1+(Inputs!$B$20+0+Skills!P4)/100),0)</f>
        <v/>
      </c>
      <c r="U37">
        <f>290*U36/1000</f>
        <v/>
      </c>
      <c r="V37">
        <f>IF(C37,(H37*N37*IF(AND(Inputs!$B$38&lt;&gt;"pvp",Inputs!$B$43&gt;0),((Skills!G4*((R37-1)*IF(Skills!H4&gt;0,Skills!I4/Skills!H4,1)+IF(Skills!H4&gt;0,MIN(Skills!I4,MAX(0,MAX(0,Inputs!$B$43-B70)-((R37-1)*IF(Inputs!$B$38="pvp",15,MAX(0.1,Skills!D4-IF(Skills!E4=TRUE,Inputs!$B$32,0))))))/Skills!H4,1)))/Inputs!$B$43),G37*Q37))*IF(Inputs!$B$38="pvp",1,(1+(Inputs!$B$21+Skills!Q4)/100)*(MIN(Skills!R4,Inputs!$B$37))),0)</f>
        <v/>
      </c>
    </row>
    <row r="38">
      <c r="A38">
        <f>Skills!A5</f>
        <v/>
      </c>
      <c r="B38">
        <f>Skills!B5</f>
        <v/>
      </c>
      <c r="C38">
        <f>Inputs!$B$3&gt;=45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nputs!$B$16/100)*(5000/(6000+Inputs!$B$42*(1-(Inputs!$B$19+0)/100)))*(1+(Inputs!$B$24+((C59=TRUE)*(F59-Calc!F26))+B69)/100)*(1+0.4*IF(C49=TRUE,F49,0)/100)*(1+(IF(Skills!A5="EIGHT_LEGS_EASTON",Inputs!$B$17+((C56=TRUE)*(F56-Calc!F23))+((C60=TRUE)*(F60-Calc!F27)),Inputs!$B$18+0))/100)*((1+(((C50=TRUE)*F50)+((C57=TRUE)*(F57-Calc!F24)))/100)*I38)</f>
        <v/>
      </c>
      <c r="L38">
        <f>K38*(MIN(Inputs!$B$22+((C55=TRUE)*(F55-Calc!F22)),Inputs!$B$23+0)/100+(Inputs!$B$23+0)/100)/2</f>
        <v/>
      </c>
      <c r="M38">
        <f>L38*(1+(Inputs!$B$10+((C58=TRUE)*(F58-Calc!F25))+B68)/100)</f>
        <v/>
      </c>
      <c r="N38">
        <f>L38*(1-MIN((Inputs!$B$9+((C52=TRUE)*(F52-Calc!F19))+B63),100)/100)+M38*(MIN((Inputs!$B$9+((C52=TRUE)*(F52-Calc!F19))+B63),100)/100)</f>
        <v/>
      </c>
      <c r="O38">
        <f>(1-Summary!$B$55)*T38+Summary!$B$55*V38</f>
        <v/>
      </c>
      <c r="P38">
        <f>IF(B73=0,0,O38/B73)</f>
        <v/>
      </c>
      <c r="Q38">
        <f>IFERROR(1/IF(Inputs!$B$38="pvp",15,MAX(0.1,Skills!D5-IF(Skills!E5=TRUE,Inputs!$B$32,0))),0)</f>
        <v/>
      </c>
      <c r="R38">
        <f>IF(AND(Inputs!$B$38&lt;&gt;"pvp",Inputs!$B$43&gt;0),IF(MAX(0,Inputs!$B$43-B70)&lt;=0,0,(INT(MAX(0,Inputs!$B$43-B70)/IF(Inputs!$B$38="pvp",15,MAX(0.1,Skills!D5-IF(Skills!E5=TRUE,Inputs!$B$32,0))))+1)),0)</f>
        <v/>
      </c>
      <c r="S38">
        <f>IFERROR(O38/N38,0)</f>
        <v/>
      </c>
      <c r="T38">
        <f>IF(C38,(H38*N38*IF(AND(Inputs!$B$38&lt;&gt;"pvp",Inputs!$B$43&gt;0),((Skills!G5*((R38-1)*IF(Skills!H5&gt;0,Skills!I5/Skills!H5,1)+IF(Skills!H5&gt;0,MIN(Skills!I5,MAX(0,MAX(0,Inputs!$B$43-B70)-((R38-1)*IF(Inputs!$B$38="pvp",15,MAX(0.1,Skills!D5-IF(Skills!E5=TRUE,Inputs!$B$32,0))))))/Skills!H5,1)))/Inputs!$B$43),G38*Q38))*IF(Inputs!$B$38="pvp",1,1+(Inputs!$B$20+0+Skills!P5)/100),0)</f>
        <v/>
      </c>
      <c r="V38">
        <f>IF(C38,(H38*N38*IF(AND(Inputs!$B$38&lt;&gt;"pvp",Inputs!$B$43&gt;0),((Skills!G5*((R38-1)*IF(Skills!H5&gt;0,Skills!I5/Skills!H5,1)+IF(Skills!H5&gt;0,MIN(Skills!I5,MAX(0,MAX(0,Inputs!$B$43-B70)-((R38-1)*IF(Inputs!$B$38="pvp",15,MAX(0.1,Skills!D5-IF(Skills!E5=TRUE,Inputs!$B$32,0))))))/Skills!H5,1)))/Inputs!$B$43),G38*Q38))*IF(Inputs!$B$38="pvp",1,(1+(Inputs!$B$21+Skills!Q5)/100)*(MIN(Skills!R5,Inputs!$B$37))),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nputs!$B$16/100)*(5000/(6000+Inputs!$B$42*(1-(Inputs!$B$19+0)/100)))*(1+(Inputs!$B$24+((C59=TRUE)*(F59-Calc!F26))+B69)/100)*(1+2.0*IF(C48=TRUE,F48,0)/100)*(1+(IF(Skills!A6="EIGHT_LEGS_EASTON",Inputs!$B$17+((C56=TRUE)*(F56-Calc!F23))+((C60=TRUE)*(F60-Calc!F27)),Inputs!$B$18+0))/100)*((1+(((C50=TRUE)*F50)+((C57=TRUE)*(F57-Calc!F24)))/100)*I39)</f>
        <v/>
      </c>
      <c r="L39">
        <f>K39*(MIN(Inputs!$B$22+((C55=TRUE)*(F55-Calc!F22)),Inputs!$B$23+0)/100+(Inputs!$B$23+0)/100)/2</f>
        <v/>
      </c>
      <c r="M39">
        <f>L39*(1+(Inputs!$B$10+((C58=TRUE)*(F58-Calc!F25))+B68)/100)</f>
        <v/>
      </c>
      <c r="N39">
        <f>L39*(1-MIN((Inputs!$B$9+((C52=TRUE)*(F52-Calc!F19))+B63),100)/100)+M39*(MIN((Inputs!$B$9+((C52=TRUE)*(F52-Calc!F19))+B63),100)/100)</f>
        <v/>
      </c>
      <c r="O39">
        <f>(1-Summary!$B$55)*T39+Summary!$B$55*V39</f>
        <v/>
      </c>
      <c r="P39">
        <f>IF(B73=0,0,O39/B73)</f>
        <v/>
      </c>
      <c r="Q39">
        <f>IFERROR(1/IF(Inputs!$B$38="pvp",15,MAX(0.1,Skills!D6-IF(Skills!E6=TRUE,Inputs!$B$32,0))),0)</f>
        <v/>
      </c>
      <c r="R39">
        <f>IF(AND(Inputs!$B$38&lt;&gt;"pvp",Inputs!$B$43&gt;0),IF(MAX(0,Inputs!$B$43-B70)&lt;=0,0,(INT(MAX(0,Inputs!$B$43-B70)/IF(Inputs!$B$38="pvp",15,MAX(0.1,Skills!D6-IF(Skills!E6=TRUE,Inputs!$B$32,0))))+1)),0)</f>
        <v/>
      </c>
      <c r="S39">
        <f>IFERROR(O39/N39,0)</f>
        <v/>
      </c>
      <c r="T39">
        <f>IF(C39,(H39*N39*IF(AND(Inputs!$B$38&lt;&gt;"pvp",Inputs!$B$43&gt;0),((Skills!G6*((R39-1)*IF(Skills!H6&gt;0,Skills!I6/Skills!H6,1)+IF(Skills!H6&gt;0,MIN(Skills!I6,MAX(0,MAX(0,Inputs!$B$43-B70)-((R39-1)*IF(Inputs!$B$38="pvp",15,MAX(0.1,Skills!D6-IF(Skills!E6=TRUE,Inputs!$B$32,0))))))/Skills!H6,1)))/Inputs!$B$43),G39*Q39))*IF(Inputs!$B$38="pvp",1,1+(Inputs!$B$20+0+Skills!P6)/100),0)</f>
        <v/>
      </c>
      <c r="V39">
        <f>IF(C39,(H39*N39*IF(AND(Inputs!$B$38&lt;&gt;"pvp",Inputs!$B$43&gt;0),((Skills!G6*((R39-1)*IF(Skills!H6&gt;0,Skills!I6/Skills!H6,1)+IF(Skills!H6&gt;0,MIN(Skills!I6,MAX(0,MAX(0,Inputs!$B$43-B70)-((R39-1)*IF(Inputs!$B$38="pvp",15,MAX(0.1,Skills!D6-IF(Skills!E6=TRUE,Inputs!$B$32,0))))))/Skills!H6,1)))/Inputs!$B$43),G39*Q39))*IF(Inputs!$B$38="pvp",1,(1+(Inputs!$B$21+Skills!Q6)/100)*(MIN(Skills!R6,Inputs!$B$37))),0)</f>
        <v/>
      </c>
    </row>
    <row r="40">
      <c r="A40">
        <f>Skills!A7</f>
        <v/>
      </c>
      <c r="B40">
        <f>Skills!B7</f>
        <v/>
      </c>
      <c r="C40">
        <f>Inputs!$B$3&gt;=66</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nputs!$B$16/100)*(5000/(6000+Inputs!$B$42*(1-(Inputs!$B$19+0)/100)))*(1+(Inputs!$B$24+((C59=TRUE)*(F59-Calc!F26))+B69)/100)*(1+1.0*IF(C48=TRUE,F48,0)/100)*(1+(IF(Skills!A7="EIGHT_LEGS_EASTON",Inputs!$B$17+((C56=TRUE)*(F56-Calc!F23))+((C60=TRUE)*(F60-Calc!F27)),Inputs!$B$18+0))/100)*((1+(((C50=TRUE)*F50)+((C57=TRUE)*(F57-Calc!F24)))/100)*I40)</f>
        <v/>
      </c>
      <c r="L40">
        <f>K40*(MIN(Inputs!$B$22+((C55=TRUE)*(F55-Calc!F22)),Inputs!$B$23+0)/100+(Inputs!$B$23+0)/100)/2</f>
        <v/>
      </c>
      <c r="M40">
        <f>L40*(1+(Inputs!$B$10+((C58=TRUE)*(F58-Calc!F25))+B68)/100)</f>
        <v/>
      </c>
      <c r="N40">
        <f>L40*(1-MIN((Inputs!$B$9+((C52=TRUE)*(F52-Calc!F19))+B63),100)/100)+M40*(MIN((Inputs!$B$9+((C52=TRUE)*(F52-Calc!F19))+B63),100)/100)</f>
        <v/>
      </c>
      <c r="O40">
        <f>(1-Summary!$B$55)*T40+Summary!$B$55*V40</f>
        <v/>
      </c>
      <c r="P40">
        <f>IF(B73=0,0,O40/B73)</f>
        <v/>
      </c>
      <c r="Q40">
        <f>IFERROR(1/IF(Inputs!$B$38="pvp",15,MAX(0.1,Skills!D7-IF(Skills!E7=TRUE,Inputs!$B$32,0))),0)</f>
        <v/>
      </c>
      <c r="R40">
        <f>IF(AND(Inputs!$B$38&lt;&gt;"pvp",Inputs!$B$43&gt;0),IF(MAX(0,Inputs!$B$43-B70)&lt;=0,0,(INT(MAX(0,Inputs!$B$43-B70)/IF(Inputs!$B$38="pvp",15,MAX(0.1,Skills!D7-IF(Skills!E7=TRUE,Inputs!$B$32,0))))+1)),0)</f>
        <v/>
      </c>
      <c r="S40">
        <f>IFERROR(O40/N40,0)</f>
        <v/>
      </c>
      <c r="T40">
        <f>IF(C40,(H40*N40*IF(AND(Inputs!$B$38&lt;&gt;"pvp",Inputs!$B$43&gt;0),((Skills!G7*((R40-1)*IF(Skills!H7&gt;0,Skills!I7/Skills!H7,1)+IF(Skills!H7&gt;0,MIN(Skills!I7,MAX(0,MAX(0,Inputs!$B$43-B70)-((R40-1)*IF(Inputs!$B$38="pvp",15,MAX(0.1,Skills!D7-IF(Skills!E7=TRUE,Inputs!$B$32,0))))))/Skills!H7,1)))/Inputs!$B$43),G40*Q40))*IF(Inputs!$B$38="pvp",1,1+(Inputs!$B$20+0+Skills!P7)/100),0)</f>
        <v/>
      </c>
      <c r="V40">
        <f>IF(C40,(H40*N40*IF(AND(Inputs!$B$38&lt;&gt;"pvp",Inputs!$B$43&gt;0),((Skills!G7*((R40-1)*IF(Skills!H7&gt;0,Skills!I7/Skills!H7,1)+IF(Skills!H7&gt;0,MIN(Skills!I7,MAX(0,MAX(0,Inputs!$B$43-B70)-((R40-1)*IF(Inputs!$B$38="pvp",15,MAX(0.1,Skills!D7-IF(Skills!E7=TRUE,Inputs!$B$32,0))))))/Skills!H7,1)))/Inputs!$B$43),G40*Q40))*IF(Inputs!$B$38="pvp",1,(1+(Inputs!$B$21+Skills!Q7)/100)*(MIN(Skills!R7,Inputs!$B$37))),0)</f>
        <v/>
      </c>
    </row>
    <row r="41">
      <c r="A41">
        <f>Skills!A8</f>
        <v/>
      </c>
      <c r="B41">
        <f>Skills!B8</f>
        <v/>
      </c>
      <c r="C41">
        <f>Inputs!$B$3&gt;=100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nputs!$B$16/100)*(5000/(6000+Inputs!$B$42*(1-(Inputs!$B$19+0)/100)))*(1+(Inputs!$B$24+((C59=TRUE)*(F59-Calc!F26))+B69)/100)*(1+(IF(Skills!A8="EIGHT_LEGS_EASTON",Inputs!$B$17+((C56=TRUE)*(F56-Calc!F23))+((C60=TRUE)*(F60-Calc!F27)),Inputs!$B$18+0))/100)*((1+(((C50=TRUE)*F50)+((C57=TRUE)*(F57-Calc!F24)))/100)*I41)</f>
        <v/>
      </c>
      <c r="L41">
        <f>K41*(MIN(Inputs!$B$22+((C55=TRUE)*(F55-Calc!F22)),Inputs!$B$23+0)/100+(Inputs!$B$23+0)/100)/2</f>
        <v/>
      </c>
      <c r="M41">
        <f>L41*(1+(Inputs!$B$10+((C58=TRUE)*(F58-Calc!F25))+B68)/100)</f>
        <v/>
      </c>
      <c r="N41">
        <f>L41*(1-MIN((Inputs!$B$9+((C52=TRUE)*(F52-Calc!F19))+B63),100)/100)+M41*(MIN((Inputs!$B$9+((C52=TRUE)*(F52-Calc!F19))+B63),100)/100)</f>
        <v/>
      </c>
      <c r="O41">
        <f>(1-Summary!$B$55)*T41+Summary!$B$55*V41</f>
        <v/>
      </c>
      <c r="P41">
        <f>IF(B73=0,0,O41/B73)</f>
        <v/>
      </c>
      <c r="Q41">
        <f>IFERROR(1/IF(Inputs!$B$38="pvp",15,MAX(0.1,Skills!D8-IF(Skills!E8=TRUE,Inputs!$B$32,0))),0)</f>
        <v/>
      </c>
      <c r="R41">
        <f>IF(AND(Inputs!$B$38&lt;&gt;"pvp",Inputs!$B$43&gt;0),IF(MAX(0,Inputs!$B$43-B70)&lt;=0,0,(INT(MAX(0,Inputs!$B$43-B70)/IF(Inputs!$B$38="pvp",15,MAX(0.1,Skills!D8-IF(Skills!E8=TRUE,Inputs!$B$32,0))))+1)),0)</f>
        <v/>
      </c>
      <c r="S41">
        <f>IFERROR(O41/N41,0)</f>
        <v/>
      </c>
      <c r="T41">
        <f>IF(C41,(H41*N41*IF(AND(Inputs!$B$38&lt;&gt;"pvp",Inputs!$B$43&gt;0),((Skills!G8*((R41-1)*IF(Skills!H8&gt;0,Skills!I8/Skills!H8,1)+IF(Skills!H8&gt;0,MIN(Skills!I8,MAX(0,MAX(0,Inputs!$B$43-B70)-((R41-1)*IF(Inputs!$B$38="pvp",15,MAX(0.1,Skills!D8-IF(Skills!E8=TRUE,Inputs!$B$32,0))))))/Skills!H8,1)))/Inputs!$B$43),G41*Q41))*IF(Inputs!$B$38="pvp",1,1+(Inputs!$B$20+0+Skills!P8)/100),0)</f>
        <v/>
      </c>
      <c r="V41">
        <f>IF(C41,(H41*N41*IF(AND(Inputs!$B$38&lt;&gt;"pvp",Inputs!$B$43&gt;0),((Skills!G8*((R41-1)*IF(Skills!H8&gt;0,Skills!I8/Skills!H8,1)+IF(Skills!H8&gt;0,MIN(Skills!I8,MAX(0,MAX(0,Inputs!$B$43-B70)-((R41-1)*IF(Inputs!$B$38="pvp",15,MAX(0.1,Skills!D8-IF(Skills!E8=TRUE,Inputs!$B$32,0))))))/Skills!H8,1)))/Inputs!$B$43),G41*Q41))*IF(Inputs!$B$38="pvp",1,(1+(Inputs!$B$21+Skills!Q8)/100)*(MIN(Skills!R8,Inputs!$B$37))),0)</f>
        <v/>
      </c>
    </row>
    <row r="42">
      <c r="A42">
        <f>Skills!A9</f>
        <v/>
      </c>
      <c r="B42">
        <f>Skills!B9</f>
        <v/>
      </c>
      <c r="C42">
        <f>Inputs!$B$3&gt;=103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nputs!$B$16/100)*(5000/(6000+Inputs!$B$42*(1-(Inputs!$B$19+0)/100)))*(1+(Inputs!$B$24+((C59=TRUE)*(F59-Calc!F26))+B69)/100)*(1+(IF(Skills!A9="EIGHT_LEGS_EASTON",Inputs!$B$17+((C56=TRUE)*(F56-Calc!F23))+((C60=TRUE)*(F60-Calc!F27)),Inputs!$B$18+0))/100)*((1+(((C50=TRUE)*F50)+((C57=TRUE)*(F57-Calc!F24)))/100)*I42)</f>
        <v/>
      </c>
      <c r="L42">
        <f>K42*(MIN(Inputs!$B$22+((C55=TRUE)*(F55-Calc!F22)),Inputs!$B$23+0)/100+(Inputs!$B$23+0)/100)/2</f>
        <v/>
      </c>
      <c r="M42">
        <f>L42*(1+(Inputs!$B$10+((C58=TRUE)*(F58-Calc!F25))+B68)/100)</f>
        <v/>
      </c>
      <c r="N42">
        <f>L42*(1-MIN((Inputs!$B$9+((C52=TRUE)*(F52-Calc!F19))+B63),100)/100)+M42*(MIN((Inputs!$B$9+((C52=TRUE)*(F52-Calc!F19))+B63),100)/100)</f>
        <v/>
      </c>
      <c r="O42">
        <f>(1-Summary!$B$55)*T42+Summary!$B$55*V42</f>
        <v/>
      </c>
      <c r="P42">
        <f>IF(B73=0,0,O42/B73)</f>
        <v/>
      </c>
      <c r="Q42">
        <f>IFERROR(1/IF(Inputs!$B$38="pvp",15,MAX(0.1,Skills!D9-IF(Skills!E9=TRUE,Inputs!$B$32,0))),0)</f>
        <v/>
      </c>
      <c r="R42">
        <f>IF(AND(Inputs!$B$38&lt;&gt;"pvp",Inputs!$B$43&gt;0),IF(MAX(0,Inputs!$B$43-B70)&lt;=0,0,(INT(MAX(0,Inputs!$B$43-B70)/IF(Inputs!$B$38="pvp",15,MAX(0.1,Skills!D9-IF(Skills!E9=TRUE,Inputs!$B$32,0))))+1)),0)</f>
        <v/>
      </c>
      <c r="S42">
        <f>IFERROR(O42/N42,0)</f>
        <v/>
      </c>
      <c r="T42">
        <f>IF(C42,(H42*N42*IF(AND(Inputs!$B$38&lt;&gt;"pvp",Inputs!$B$43&gt;0),((Skills!G9*((R42-1)*IF(Skills!H9&gt;0,Skills!I9/Skills!H9,1)+IF(Skills!H9&gt;0,MIN(Skills!I9,MAX(0,MAX(0,Inputs!$B$43-B70)-((R42-1)*IF(Inputs!$B$38="pvp",15,MAX(0.1,Skills!D9-IF(Skills!E9=TRUE,Inputs!$B$32,0))))))/Skills!H9,1)))/Inputs!$B$43),G42*Q42))*IF(Inputs!$B$38="pvp",1,1+(Inputs!$B$20+0+Skills!P9)/100),0)</f>
        <v/>
      </c>
      <c r="V42">
        <f>IF(C42,(H42*N42*IF(AND(Inputs!$B$38&lt;&gt;"pvp",Inputs!$B$43&gt;0),((Skills!G9*((R42-1)*IF(Skills!H9&gt;0,Skills!I9/Skills!H9,1)+IF(Skills!H9&gt;0,MIN(Skills!I9,MAX(0,MAX(0,Inputs!$B$43-B70)-((R42-1)*IF(Inputs!$B$38="pvp",15,MAX(0.1,Skills!D9-IF(Skills!E9=TRUE,Inputs!$B$32,0))))))/Skills!H9,1)))/Inputs!$B$43),G42*Q42))*IF(Inputs!$B$38="pvp",1,(1+(Inputs!$B$21+Skills!Q9)/100)*(MIN(Skills!R9,Inputs!$B$37))),0)</f>
        <v/>
      </c>
    </row>
    <row r="43">
      <c r="A43">
        <f>Skills!A10</f>
        <v/>
      </c>
      <c r="B43">
        <f>Skills!B10</f>
        <v/>
      </c>
      <c r="C43">
        <f>Inputs!$B$3&gt;=113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nputs!$B$16/100)*(5000/(6000+Inputs!$B$42*(1-(Inputs!$B$19+0)/100)))*(1+(Inputs!$B$24+((C59=TRUE)*(F59-Calc!F26))+B69)/100)*(1+(IF(Skills!A10="EIGHT_LEGS_EASTON",Inputs!$B$17+((C56=TRUE)*(F56-Calc!F23))+((C60=TRUE)*(F60-Calc!F27)),Inputs!$B$18+0))/100)*((1+(((C50=TRUE)*F50)+((C57=TRUE)*(F57-Calc!F24)))/100)*I43)</f>
        <v/>
      </c>
      <c r="L43">
        <f>K43*(MIN(Inputs!$B$22+((C55=TRUE)*(F55-Calc!F22)),Inputs!$B$23+0)/100+(Inputs!$B$23+0)/100)/2</f>
        <v/>
      </c>
      <c r="M43">
        <f>L43*(1+(Inputs!$B$10+((C58=TRUE)*(F58-Calc!F25))+B68)/100)</f>
        <v/>
      </c>
      <c r="N43">
        <f>L43*(1-MIN((Inputs!$B$9+((C52=TRUE)*(F52-Calc!F19))+B63),100)/100)+M43*(MIN((Inputs!$B$9+((C52=TRUE)*(F52-Calc!F19))+B63),100)/100)</f>
        <v/>
      </c>
      <c r="O43">
        <f>(1-Summary!$B$55)*T43+Summary!$B$55*V43</f>
        <v/>
      </c>
      <c r="P43">
        <f>IF(B73=0,0,O43/B73)</f>
        <v/>
      </c>
      <c r="Q43">
        <f>IFERROR(1/IF(Inputs!$B$38="pvp",15,MAX(0.1,Skills!D10-IF(Skills!E10=TRUE,Inputs!$B$32,0))),0)</f>
        <v/>
      </c>
      <c r="R43">
        <f>IF(AND(Inputs!$B$38&lt;&gt;"pvp",Inputs!$B$43&gt;0),IF(MAX(0,Inputs!$B$43-B70)&lt;=0,0,(INT(MAX(0,Inputs!$B$43-B70)/IF(Inputs!$B$38="pvp",15,MAX(0.1,Skills!D10-IF(Skills!E10=TRUE,Inputs!$B$32,0))))+1)),0)</f>
        <v/>
      </c>
      <c r="S43">
        <f>IFERROR(O43/N43,0)</f>
        <v/>
      </c>
      <c r="T43">
        <f>IF(C43,(H43*N43*IF(AND(Inputs!$B$38&lt;&gt;"pvp",Inputs!$B$43&gt;0),((Skills!G10*((R43-1)*IF(Skills!H10&gt;0,Skills!I10/Skills!H10,1)+IF(Skills!H10&gt;0,MIN(Skills!I10,MAX(0,MAX(0,Inputs!$B$43-B70)-((R43-1)*IF(Inputs!$B$38="pvp",15,MAX(0.1,Skills!D10-IF(Skills!E10=TRUE,Inputs!$B$32,0))))))/Skills!H10,1)))/Inputs!$B$43),G43*Q43))*IF(Inputs!$B$38="pvp",1,1+(Inputs!$B$20+0+Skills!P10)/100),0)</f>
        <v/>
      </c>
      <c r="V43">
        <f>IF(C43,(H43*N43*IF(AND(Inputs!$B$38&lt;&gt;"pvp",Inputs!$B$43&gt;0),((Skills!G10*((R43-1)*IF(Skills!H10&gt;0,Skills!I10/Skills!H10,1)+IF(Skills!H10&gt;0,MIN(Skills!I10,MAX(0,MAX(0,Inputs!$B$43-B70)-((R43-1)*IF(Inputs!$B$38="pvp",15,MAX(0.1,Skills!D10-IF(Skills!E10=TRUE,Inputs!$B$32,0))))))/Skills!H10,1)))/Inputs!$B$43),G43*Q43))*IF(Inputs!$B$38="pvp",1,(1+(Inputs!$B$21+Skills!Q10)/100)*(MIN(Skills!R10,Inputs!$B$37))),0)</f>
        <v/>
      </c>
    </row>
    <row r="44">
      <c r="A44">
        <f>Skills!A11</f>
        <v/>
      </c>
      <c r="B44">
        <f>Skills!B11</f>
        <v/>
      </c>
      <c r="C44">
        <f>Inputs!$B$3&gt;=107</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nputs!$B$16/100)*(5000/(6000+Inputs!$B$42*(1-(Inputs!$B$19+0)/100)))*(1+(Inputs!$B$24+((C59=TRUE)*(F59-Calc!F26))+B69)/100)*(1+(IF(Skills!A11="EIGHT_LEGS_EASTON",Inputs!$B$17+((C56=TRUE)*(F56-Calc!F23))+((C60=TRUE)*(F60-Calc!F27)),Inputs!$B$18+0))/100)*((1+(((C50=TRUE)*F50)+((C57=TRUE)*(F57-Calc!F24)))/100)*I44)</f>
        <v/>
      </c>
      <c r="L44">
        <f>K44*(MIN(Inputs!$B$22+((C55=TRUE)*(F55-Calc!F22)),Inputs!$B$23+0)/100+(Inputs!$B$23+0)/100)/2</f>
        <v/>
      </c>
      <c r="M44">
        <f>L44*(1+(Inputs!$B$10+((C58=TRUE)*(F58-Calc!F25))+B68)/100)</f>
        <v/>
      </c>
      <c r="N44">
        <f>L44*(1-MIN((Inputs!$B$9+((C52=TRUE)*(F52-Calc!F19))+B63),100)/100)+M44*(MIN((Inputs!$B$9+((C52=TRUE)*(F52-Calc!F19))+B63),100)/100)</f>
        <v/>
      </c>
      <c r="O44">
        <f>(1-Summary!$B$55)*T44+Summary!$B$55*V44</f>
        <v/>
      </c>
      <c r="P44">
        <f>IF(B73=0,0,O44/B73)</f>
        <v/>
      </c>
      <c r="Q44">
        <f>IFERROR(1/IF(Inputs!$B$38="pvp",15,MAX(0.1,Skills!D11-IF(Skills!E11=TRUE,Inputs!$B$32,0))),0)</f>
        <v/>
      </c>
      <c r="R44">
        <f>IF(AND(Inputs!$B$38&lt;&gt;"pvp",Inputs!$B$43&gt;0),IF(MAX(0,Inputs!$B$43-B70)&lt;=0,0,(INT(MAX(0,Inputs!$B$43-B70)/IF(Inputs!$B$38="pvp",15,MAX(0.1,Skills!D11-IF(Skills!E11=TRUE,Inputs!$B$32,0))))+1)),0)</f>
        <v/>
      </c>
      <c r="S44">
        <f>IFERROR(O44/N44,0)</f>
        <v/>
      </c>
      <c r="T44">
        <f>IF(C44,(H44*N44*IF(AND(Inputs!$B$38&lt;&gt;"pvp",Inputs!$B$43&gt;0),((Skills!G11*((R44-1)*IF(Skills!H11&gt;0,Skills!I11/Skills!H11,1)+IF(Skills!H11&gt;0,MIN(Skills!I11,MAX(0,MAX(0,Inputs!$B$43-B70)-((R44-1)*IF(Inputs!$B$38="pvp",15,MAX(0.1,Skills!D11-IF(Skills!E11=TRUE,Inputs!$B$32,0))))))/Skills!H11,1)))/Inputs!$B$43),G44*Q44))*IF(Inputs!$B$38="pvp",1,1+(Inputs!$B$20+0+Skills!P11)/100),0)</f>
        <v/>
      </c>
      <c r="V44">
        <f>IF(C44,(H44*N44*IF(AND(Inputs!$B$38&lt;&gt;"pvp",Inputs!$B$43&gt;0),((Skills!G11*((R44-1)*IF(Skills!H11&gt;0,Skills!I11/Skills!H11,1)+IF(Skills!H11&gt;0,MIN(Skills!I11,MAX(0,MAX(0,Inputs!$B$43-B70)-((R44-1)*IF(Inputs!$B$38="pvp",15,MAX(0.1,Skills!D11-IF(Skills!E11=TRUE,Inputs!$B$32,0))))))/Skills!H11,1)))/Inputs!$B$43),G44*Q44))*IF(Inputs!$B$38="pvp",1,(1+(Inputs!$B$21+Skills!Q11)/100)*(MIN(Skills!R11,Inputs!$B$37))),0)</f>
        <v/>
      </c>
    </row>
    <row r="45">
      <c r="A45">
        <f>Skills!A12</f>
        <v/>
      </c>
      <c r="B45">
        <f>Skills!B12</f>
        <v/>
      </c>
      <c r="C45">
        <f>Inputs!$B$3&gt;=110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f>((Inputs!$B$6*(1+Inputs!$B$7/100))+((((Inputs!$B$12+1)*(1+Inputs!$B$13/100))-(Inputs!$B$12*(1+Inputs!$B$13/100)))+0.25*(Inputs!$B$14-Inputs!$B$14))*(1+Inputs!$B$7/100))*(F45/100)</f>
        <v/>
      </c>
      <c r="K45">
        <f>J45*(1+(((Inputs!$B$12+1)*(1+Inputs!$B$13/100))*0.01+Inputs!$B$14*0.0025)/100)*(1+Inputs!$B$15/100)*(1+Inputs!$B$16/100)*(5000/(6000+Inputs!$B$42*(1-(Inputs!$B$19+0)/100)))*(1+(Inputs!$B$24+((C59=TRUE)*(F59-Calc!F26))+B69)/100)*(1+(IF(Skills!A12="EIGHT_LEGS_EASTON",Inputs!$B$17+((C56=TRUE)*(F56-Calc!F23))+((C60=TRUE)*(F60-Calc!F27)),Inputs!$B$18+0))/100)*((1+(((C50=TRUE)*F50)+((C57=TRUE)*(F57-Calc!F24)))/100)*I45)</f>
        <v/>
      </c>
      <c r="L45">
        <f>K45*(MIN(Inputs!$B$22+((C55=TRUE)*(F55-Calc!F22)),Inputs!$B$23+0)/100+(Inputs!$B$23+0)/100)/2</f>
        <v/>
      </c>
      <c r="M45">
        <f>L45*(1+(Inputs!$B$10+((C58=TRUE)*(F58-Calc!F25))+B68)/100)</f>
        <v/>
      </c>
      <c r="N45">
        <f>L45*(1-MIN((Inputs!$B$9+((C52=TRUE)*(F52-Calc!F19))+B63),100)/100)+M45*(MIN((Inputs!$B$9+((C52=TRUE)*(F52-Calc!F19))+B63),100)/100)</f>
        <v/>
      </c>
      <c r="O45">
        <f>(1-Summary!$B$55)*T45+Summary!$B$55*V45</f>
        <v/>
      </c>
      <c r="P45">
        <f>IF(B73=0,0,O45/B73)</f>
        <v/>
      </c>
      <c r="Q45">
        <f>IFERROR(1/IF(Inputs!$B$38="pvp",15,MAX(0.1,Skills!D12-IF(Skills!E12=TRUE,Inputs!$B$32,0))),0)</f>
        <v/>
      </c>
      <c r="R45">
        <f>IF(AND(Inputs!$B$38&lt;&gt;"pvp",Inputs!$B$43&gt;0),IF(MAX(0,Inputs!$B$43-B70)&lt;=0,0,(INT(MAX(0,Inputs!$B$43-B70)/IF(Inputs!$B$38="pvp",15,MAX(0.1,Skills!D12-IF(Skills!E12=TRUE,Inputs!$B$32,0))))+1)),0)</f>
        <v/>
      </c>
      <c r="S45">
        <f>IFERROR(O45/N45,0)</f>
        <v/>
      </c>
      <c r="T45">
        <f>IF(C45,(H45*N45*IF(AND(Inputs!$B$38&lt;&gt;"pvp",Inputs!$B$43&gt;0),((Skills!G12*((R45-1)*IF(Skills!H12&gt;0,Skills!I12/Skills!H12,1)+IF(Skills!H12&gt;0,MIN(Skills!I12,MAX(0,MAX(0,Inputs!$B$43-B70)-((R45-1)*IF(Inputs!$B$38="pvp",15,MAX(0.1,Skills!D12-IF(Skills!E12=TRUE,Inputs!$B$32,0))))))/Skills!H12,1)))/Inputs!$B$43),G45*Q45))*IF(Inputs!$B$38="pvp",1,1+(Inputs!$B$20+0+Skills!P12)/100),0)</f>
        <v/>
      </c>
      <c r="V45">
        <f>IF(C45,(H45*N45*IF(AND(Inputs!$B$38&lt;&gt;"pvp",Inputs!$B$43&gt;0),((Skills!G12*((R45-1)*IF(Skills!H12&gt;0,Skills!I12/Skills!H12,1)+IF(Skills!H12&gt;0,MIN(Skills!I12,MAX(0,MAX(0,Inputs!$B$43-B70)-((R45-1)*IF(Inputs!$B$38="pvp",15,MAX(0.1,Skills!D12-IF(Skills!E12=TRUE,Inputs!$B$32,0))))))/Skills!H12,1)))/Inputs!$B$43),G45*Q45))*IF(Inputs!$B$38="pvp",1,(1+(Inputs!$B$21+Skills!Q12)/100)*(MIN(Skills!R12,Inputs!$B$37))),0)</f>
        <v/>
      </c>
    </row>
    <row r="46">
      <c r="A46">
        <f>Skills!A13</f>
        <v/>
      </c>
      <c r="B46">
        <f>Skills!B13</f>
        <v/>
      </c>
      <c r="C46">
        <f>Inputs!$B$3&gt;=110</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f>((Inputs!$B$6*(1+Inputs!$B$7/100))+((((Inputs!$B$12+1)*(1+Inputs!$B$13/100))-(Inputs!$B$12*(1+Inputs!$B$13/100)))+0.25*(Inputs!$B$14-Inputs!$B$14))*(1+Inputs!$B$7/100))*(F46/100)</f>
        <v/>
      </c>
      <c r="K46">
        <f>J46*(1+(((Inputs!$B$12+1)*(1+Inputs!$B$13/100))*0.01+Inputs!$B$14*0.0025)/100)*(1+Inputs!$B$15/100)*(1+Inputs!$B$16/100)*(5000/(6000+Inputs!$B$42*(1-(Inputs!$B$19+0)/100)))*(1+(Inputs!$B$24+((C59=TRUE)*(F59-Calc!F26))+B69)/100)*(1+(IF(Skills!A13="EIGHT_LEGS_EASTON",Inputs!$B$17+((C56=TRUE)*(F56-Calc!F23))+((C60=TRUE)*(F60-Calc!F27)),Inputs!$B$18+0))/100)*((1+(((C50=TRUE)*F50)+((C57=TRUE)*(F57-Calc!F24)))/100)*I46)</f>
        <v/>
      </c>
      <c r="L46">
        <f>K46*(MIN(Inputs!$B$22+((C55=TRUE)*(F55-Calc!F22)),Inputs!$B$23+0)/100+(Inputs!$B$23+0)/100)/2</f>
        <v/>
      </c>
      <c r="M46">
        <f>L46*(1+(Inputs!$B$10+((C58=TRUE)*(F58-Calc!F25))+B68)/100)</f>
        <v/>
      </c>
      <c r="N46">
        <f>L46*(1-MIN((Inputs!$B$9+((C52=TRUE)*(F52-Calc!F19))+B63),100)/100)+M46*(MIN((Inputs!$B$9+((C52=TRUE)*(F52-Calc!F19))+B63),100)/100)</f>
        <v/>
      </c>
      <c r="O46">
        <f>(1-Summary!$B$55)*T46+Summary!$B$55*V46</f>
        <v/>
      </c>
      <c r="P46">
        <f>IF(B73=0,0,O46/B73)</f>
        <v/>
      </c>
      <c r="Q46">
        <f>IFERROR(1/IF(Inputs!$B$38="pvp",15,MAX(0.1,Skills!D13-IF(Skills!E13=TRUE,Inputs!$B$32,0))),0)</f>
        <v/>
      </c>
      <c r="R46">
        <f>IF(AND(Inputs!$B$38&lt;&gt;"pvp",Inputs!$B$43&gt;0),IF(MAX(0,Inputs!$B$43-B70)&lt;=0,0,(INT(MAX(0,Inputs!$B$43-B70)/IF(Inputs!$B$38="pvp",15,MAX(0.1,Skills!D13-IF(Skills!E13=TRUE,Inputs!$B$32,0))))+1)),0)</f>
        <v/>
      </c>
      <c r="S46">
        <f>IFERROR(O46/N46,0)</f>
        <v/>
      </c>
      <c r="T46">
        <f>IF(C46,(H46*N46*IF(AND(Inputs!$B$38&lt;&gt;"pvp",Inputs!$B$43&gt;0),((Skills!G13*((R46-1)*IF(Skills!H13&gt;0,Skills!I13/Skills!H13,1)+IF(Skills!H13&gt;0,MIN(Skills!I13,MAX(0,MAX(0,Inputs!$B$43-B70)-((R46-1)*IF(Inputs!$B$38="pvp",15,MAX(0.1,Skills!D13-IF(Skills!E13=TRUE,Inputs!$B$32,0))))))/Skills!H13,1)))/Inputs!$B$43),G46*Q46))*IF(Inputs!$B$38="pvp",1,1+(Inputs!$B$20+0+Skills!P13)/100),0)</f>
        <v/>
      </c>
      <c r="V46">
        <f>IF(C46,(H46*N46*IF(AND(Inputs!$B$38&lt;&gt;"pvp",Inputs!$B$43&gt;0),((Skills!G13*((R46-1)*IF(Skills!H13&gt;0,Skills!I13/Skills!H13,1)+IF(Skills!H13&gt;0,MIN(Skills!I13,MAX(0,MAX(0,Inputs!$B$43-B70)-((R46-1)*IF(Inputs!$B$38="pvp",15,MAX(0.1,Skills!D13-IF(Skills!E13=TRUE,Inputs!$B$32,0))))))/Skills!H13,1)))/Inputs!$B$43),G46*Q46))*IF(Inputs!$B$38="pvp",1,(1+(Inputs!$B$21+Skills!Q13)/100)*(MIN(Skills!R13,Inputs!$B$37))),0)</f>
        <v/>
      </c>
    </row>
    <row r="47">
      <c r="A47">
        <f>Skills!A14</f>
        <v/>
      </c>
      <c r="B47">
        <f>Skills!B14</f>
        <v/>
      </c>
      <c r="C47">
        <f>Inputs!$B$3&gt;=125</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f>((Inputs!$B$6*(1+Inputs!$B$7/100))+((((Inputs!$B$12+1)*(1+Inputs!$B$13/100))-(Inputs!$B$12*(1+Inputs!$B$13/100)))+0.25*(Inputs!$B$14-Inputs!$B$14))*(1+Inputs!$B$7/100))*(F47/100)</f>
        <v/>
      </c>
      <c r="K47">
        <f>J47*(1+(((Inputs!$B$12+1)*(1+Inputs!$B$13/100))*0.01+Inputs!$B$14*0.0025)/100)*(1+Inputs!$B$15/100)*(1+Inputs!$B$16/100)*(5000/(6000+Inputs!$B$42*(1-(Inputs!$B$19+0)/100)))*(1+(Inputs!$B$24+((C59=TRUE)*(F59-Calc!F26))+B69)/100)*(1+(IF(Skills!A14="EIGHT_LEGS_EASTON",Inputs!$B$17+((C56=TRUE)*(F56-Calc!F23))+((C60=TRUE)*(F60-Calc!F27)),Inputs!$B$18+0))/100)*((1+(((C50=TRUE)*F50)+((C57=TRUE)*(F57-Calc!F24)))/100)*I47)</f>
        <v/>
      </c>
      <c r="L47">
        <f>K47*(MIN(Inputs!$B$22+((C55=TRUE)*(F55-Calc!F22)),Inputs!$B$23+0)/100+(Inputs!$B$23+0)/100)/2</f>
        <v/>
      </c>
      <c r="M47">
        <f>L47*(1+(Inputs!$B$10+((C58=TRUE)*(F58-Calc!F25))+B68)/100)</f>
        <v/>
      </c>
      <c r="N47">
        <f>L47*(1-MIN((Inputs!$B$9+((C52=TRUE)*(F52-Calc!F19))+B63),100)/100)+M47*(MIN((Inputs!$B$9+((C52=TRUE)*(F52-Calc!F19))+B63),100)/100)</f>
        <v/>
      </c>
      <c r="O47">
        <f>(1-Summary!$B$55)*T47+Summary!$B$55*V47</f>
        <v/>
      </c>
      <c r="P47">
        <f>IF(B73=0,0,O47/B73)</f>
        <v/>
      </c>
      <c r="Q47" t="n">
        <v>0</v>
      </c>
      <c r="R47" t="n">
        <v>0</v>
      </c>
      <c r="S47">
        <f>IFERROR(O47/N47,0)</f>
        <v/>
      </c>
      <c r="T47">
        <f>IF(C47,(H47*N47*(B67+IF(AND(Inputs!$B$38&lt;&gt;"pvp",Inputs!$B$43&gt;0),((Skills!G8*((R41-1)*IF(Skills!H8&gt;0,Skills!I8/Skills!H8,1)+IF(Skills!H8&gt;0,MIN(Skills!I8,MAX(0,MAX(0,Inputs!$B$43-B70)-((R41-1)*IF(Inputs!$B$38="pvp",15,MAX(0.1,Skills!D8-IF(Skills!E8=TRUE,Inputs!$B$32,0))))))/Skills!H8,1)))/Inputs!$B$43),G41*Q41)+IF(AND(Inputs!$B$38&lt;&gt;"pvp",Inputs!$B$43&gt;0),((Skills!G11*((R44-1)*IF(Skills!H11&gt;0,Skills!I11/Skills!H11,1)+IF(Skills!H11&gt;0,MIN(Skills!I11,MAX(0,MAX(0,Inputs!$B$43-B70)-((R44-1)*IF(Inputs!$B$38="pvp",15,MAX(0.1,Skills!D11-IF(Skills!E11=TRUE,Inputs!$B$32,0))))))/Skills!H11,1)))/Inputs!$B$43),G44*Q44)))*IF(Inputs!$B$38="pvp",1,1+(Inputs!$B$20+0+Skills!P14)/100),0)</f>
        <v/>
      </c>
      <c r="V47">
        <f>IF(C47,(H47*N47*(B67+IF(AND(Inputs!$B$38&lt;&gt;"pvp",Inputs!$B$43&gt;0),((Skills!G8*((R41-1)*IF(Skills!H8&gt;0,Skills!I8/Skills!H8,1)+IF(Skills!H8&gt;0,MIN(Skills!I8,MAX(0,MAX(0,Inputs!$B$43-B70)-((R41-1)*IF(Inputs!$B$38="pvp",15,MAX(0.1,Skills!D8-IF(Skills!E8=TRUE,Inputs!$B$32,0))))))/Skills!H8,1)))/Inputs!$B$43),G41*Q41)+IF(AND(Inputs!$B$38&lt;&gt;"pvp",Inputs!$B$43&gt;0),((Skills!G11*((R44-1)*IF(Skills!H11&gt;0,Skills!I11/Skills!H11,1)+IF(Skills!H11&gt;0,MIN(Skills!I11,MAX(0,MAX(0,Inputs!$B$43-B70)-((R44-1)*IF(Inputs!$B$38="pvp",15,MAX(0.1,Skills!D11-IF(Skills!E11=TRUE,Inputs!$B$32,0))))))/Skills!H11,1)))/Inputs!$B$43),G44*Q44)))*IF(Inputs!$B$38="pvp",1,(1+(Inputs!$B$21+Skills!Q14)/100)*(MIN(Skills!R14,Inputs!$B$37))),0)</f>
        <v/>
      </c>
    </row>
    <row r="48">
      <c r="A48">
        <f>Skills!A15</f>
        <v/>
      </c>
      <c r="B48">
        <f>Skills!B15</f>
        <v/>
      </c>
      <c r="C48">
        <f>Inputs!$B$3&gt;=100</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t="inlineStr"/>
      <c r="H48" t="inlineStr"/>
      <c r="I48" t="inlineStr">
        <is>
          <t>1</t>
        </is>
      </c>
      <c r="J48" t="inlineStr"/>
      <c r="K48" t="inlineStr"/>
      <c r="L48" t="inlineStr"/>
      <c r="M48" t="inlineStr"/>
      <c r="N48" t="inlineStr"/>
      <c r="O48" t="inlineStr"/>
      <c r="P48" t="inlineStr"/>
      <c r="Q48" t="inlineStr"/>
      <c r="R48" t="inlineStr"/>
      <c r="S48" t="inlineStr"/>
    </row>
    <row r="49">
      <c r="A49">
        <f>Skills!A16</f>
        <v/>
      </c>
      <c r="B49">
        <f>Skills!B16</f>
        <v/>
      </c>
      <c r="C49">
        <f>Inputs!$B$3&gt;=120</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t="inlineStr"/>
      <c r="H49" t="inlineStr"/>
      <c r="I49" t="inlineStr">
        <is>
          <t>1</t>
        </is>
      </c>
      <c r="J49" t="inlineStr"/>
      <c r="K49" t="inlineStr"/>
      <c r="L49" t="inlineStr"/>
      <c r="M49" t="inlineStr"/>
      <c r="N49" t="inlineStr"/>
      <c r="O49" t="inlineStr"/>
      <c r="P49" t="inlineStr"/>
      <c r="Q49" t="inlineStr"/>
      <c r="R49" t="inlineStr"/>
      <c r="S49" t="inlineStr"/>
    </row>
    <row r="50">
      <c r="A50">
        <f>Skills!A17</f>
        <v/>
      </c>
      <c r="B50">
        <f>Skills!B17</f>
        <v/>
      </c>
      <c r="C50">
        <f>Inputs!$B$3&gt;=66</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f>(1-Summary!$B$55)*T50+Summary!$B$55*V50</f>
        <v/>
      </c>
      <c r="P50">
        <f>IF(B73=0,0,O50/B73)</f>
        <v/>
      </c>
      <c r="Q50" t="n">
        <v>0</v>
      </c>
      <c r="R50" t="n">
        <v>0</v>
      </c>
      <c r="S50">
        <f>IFERROR(O50/N50,0)</f>
        <v/>
      </c>
      <c r="T50" t="n">
        <v>0</v>
      </c>
      <c r="V50" t="n">
        <v>0</v>
      </c>
    </row>
    <row r="51">
      <c r="A51">
        <f>Skills!A18</f>
        <v/>
      </c>
      <c r="B51">
        <f>Skills!B18</f>
        <v/>
      </c>
      <c r="C51">
        <f>Inputs!$B$3&gt;=115</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f>(1-Summary!$B$55)*T51+Summary!$B$55*V51</f>
        <v/>
      </c>
      <c r="P51">
        <f>IF(B73=0,0,O51/B73)</f>
        <v/>
      </c>
      <c r="Q51" t="n">
        <v>0</v>
      </c>
      <c r="R51" t="n">
        <v>0</v>
      </c>
      <c r="S51">
        <f>IFERROR(O51/N51,0)</f>
        <v/>
      </c>
      <c r="T51" t="n">
        <v>0</v>
      </c>
      <c r="V51" t="n">
        <v>0</v>
      </c>
    </row>
    <row r="52">
      <c r="A52">
        <f>Skills!A19</f>
        <v/>
      </c>
      <c r="B52">
        <f>Skills!B19</f>
        <v/>
      </c>
      <c r="C52">
        <f>Inputs!$B$3&gt;=15</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f>(1-Summary!$B$55)*T52+Summary!$B$55*V52</f>
        <v/>
      </c>
      <c r="P52">
        <f>IF(B73=0,0,O52/B73)</f>
        <v/>
      </c>
      <c r="Q52" t="n">
        <v>0</v>
      </c>
      <c r="R52" t="n">
        <v>0</v>
      </c>
      <c r="S52">
        <f>IFERROR(O52/N52,0)</f>
        <v/>
      </c>
      <c r="T52" t="n">
        <v>0</v>
      </c>
      <c r="V52" t="n">
        <v>0</v>
      </c>
    </row>
    <row r="53">
      <c r="A53">
        <f>Skills!A20</f>
        <v/>
      </c>
      <c r="B53">
        <f>Skills!B20</f>
        <v/>
      </c>
      <c r="C53">
        <f>Inputs!$B$3&gt;=10</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f>(1-Summary!$B$55)*T53+Summary!$B$55*V53</f>
        <v/>
      </c>
      <c r="P53">
        <f>IF(B73=0,0,O53/B73)</f>
        <v/>
      </c>
      <c r="Q53" t="n">
        <v>0</v>
      </c>
      <c r="R53" t="n">
        <v>0</v>
      </c>
      <c r="S53">
        <f>IFERROR(O53/N53,0)</f>
        <v/>
      </c>
      <c r="T53" t="n">
        <v>0</v>
      </c>
      <c r="V53" t="n">
        <v>0</v>
      </c>
    </row>
    <row r="54">
      <c r="A54">
        <f>Skills!A21</f>
        <v/>
      </c>
      <c r="B54">
        <f>Skills!B21</f>
        <v/>
      </c>
      <c r="C54">
        <f>Inputs!$B$3&gt;=33</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f>(1-Summary!$B$55)*T54+Summary!$B$55*V54</f>
        <v/>
      </c>
      <c r="P54">
        <f>IF(B73=0,0,O54/B73)</f>
        <v/>
      </c>
      <c r="Q54" t="n">
        <v>0</v>
      </c>
      <c r="R54" t="n">
        <v>0</v>
      </c>
      <c r="S54">
        <f>IFERROR(O54/N54,0)</f>
        <v/>
      </c>
      <c r="T54" t="n">
        <v>0</v>
      </c>
      <c r="V54" t="n">
        <v>0</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f>(1-Summary!$B$55)*T55+Summary!$B$55*V55</f>
        <v/>
      </c>
      <c r="P55">
        <f>IF(B73=0,0,O55/B73)</f>
        <v/>
      </c>
      <c r="Q55" t="n">
        <v>0</v>
      </c>
      <c r="R55" t="n">
        <v>0</v>
      </c>
      <c r="S55">
        <f>IFERROR(O55/N55,0)</f>
        <v/>
      </c>
      <c r="T55" t="n">
        <v>0</v>
      </c>
      <c r="V55" t="n">
        <v>0</v>
      </c>
    </row>
    <row r="56">
      <c r="A56">
        <f>Skills!A23</f>
        <v/>
      </c>
      <c r="B56">
        <f>Skills!B23</f>
        <v/>
      </c>
      <c r="C56">
        <f>Inputs!$B$3&gt;=38</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f>(1-Summary!$B$55)*T56+Summary!$B$55*V56</f>
        <v/>
      </c>
      <c r="P56">
        <f>IF(B73=0,0,O56/B73)</f>
        <v/>
      </c>
      <c r="Q56" t="n">
        <v>0</v>
      </c>
      <c r="R56" t="n">
        <v>0</v>
      </c>
      <c r="S56">
        <f>IFERROR(O56/N56,0)</f>
        <v/>
      </c>
      <c r="T56" t="n">
        <v>0</v>
      </c>
      <c r="V56" t="n">
        <v>0</v>
      </c>
    </row>
    <row r="57">
      <c r="A57">
        <f>Skills!A24</f>
        <v/>
      </c>
      <c r="B57">
        <f>Skills!B24</f>
        <v/>
      </c>
      <c r="C57">
        <f>Inputs!$B$3&gt;=40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f>(1-Summary!$B$55)*T57+Summary!$B$55*V57</f>
        <v/>
      </c>
      <c r="P57">
        <f>IF(B73=0,0,O57/B73)</f>
        <v/>
      </c>
      <c r="Q57" t="n">
        <v>0</v>
      </c>
      <c r="R57" t="n">
        <v>0</v>
      </c>
      <c r="S57">
        <f>IFERROR(O57/N57,0)</f>
        <v/>
      </c>
      <c r="T57" t="n">
        <v>0</v>
      </c>
      <c r="V57" t="n">
        <v>0</v>
      </c>
    </row>
    <row r="58">
      <c r="A58">
        <f>Skills!A25</f>
        <v/>
      </c>
      <c r="B58">
        <f>Skills!B25</f>
        <v/>
      </c>
      <c r="C58">
        <f>Inputs!$B$3&gt;=72</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f>(1-Summary!$B$55)*T58+Summary!$B$55*V58</f>
        <v/>
      </c>
      <c r="P58">
        <f>IF(B73=0,0,O58/B73)</f>
        <v/>
      </c>
      <c r="Q58" t="n">
        <v>0</v>
      </c>
      <c r="R58" t="n">
        <v>0</v>
      </c>
      <c r="S58">
        <f>IFERROR(O58/N58,0)</f>
        <v/>
      </c>
      <c r="T58" t="n">
        <v>0</v>
      </c>
      <c r="V58" t="n">
        <v>0</v>
      </c>
    </row>
    <row r="59">
      <c r="A59">
        <f>Skills!A26</f>
        <v/>
      </c>
      <c r="B59">
        <f>Skills!B26</f>
        <v/>
      </c>
      <c r="C59">
        <f>Inputs!$B$3&gt;=75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f>(1-Summary!$B$55)*T59+Summary!$B$55*V59</f>
        <v/>
      </c>
      <c r="P59">
        <f>IF(B73=0,0,O59/B73)</f>
        <v/>
      </c>
      <c r="Q59" t="n">
        <v>0</v>
      </c>
      <c r="R59" t="n">
        <v>0</v>
      </c>
      <c r="S59">
        <f>IFERROR(O59/N59,0)</f>
        <v/>
      </c>
      <c r="T59" t="n">
        <v>0</v>
      </c>
      <c r="V59" t="n">
        <v>0</v>
      </c>
    </row>
    <row r="60">
      <c r="A60">
        <f>Skills!A27</f>
        <v/>
      </c>
      <c r="B60">
        <f>Skills!B27</f>
        <v/>
      </c>
      <c r="C60">
        <f>Inputs!$B$3&gt;=117</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f>(1-Summary!$B$55)*T60+Summary!$B$55*V60</f>
        <v/>
      </c>
      <c r="P60">
        <f>IF(B73=0,0,O60/B73)</f>
        <v/>
      </c>
      <c r="Q60" t="n">
        <v>0</v>
      </c>
      <c r="R60" t="n">
        <v>0</v>
      </c>
      <c r="S60">
        <f>IFERROR(O60/N60,0)</f>
        <v/>
      </c>
      <c r="T60" t="n">
        <v>0</v>
      </c>
      <c r="V60" t="n">
        <v>0</v>
      </c>
    </row>
    <row r="62">
      <c r="A62" t="inlineStr">
        <is>
          <t>Attack% Bucket Multiplier</t>
        </is>
      </c>
      <c r="B62">
        <f>(1+(((C50=TRUE)*F50)+((C57=TRUE)*(F57-Calc!F24)))/100)</f>
        <v/>
      </c>
    </row>
    <row r="63">
      <c r="A63" t="inlineStr">
        <is>
          <t>Global Crit Rate Bonus %</t>
        </is>
      </c>
      <c r="B63" t="n">
        <v>0</v>
      </c>
    </row>
    <row r="64">
      <c r="A64" t="inlineStr">
        <is>
          <t>Attack Speed Buff Bonus % (unused)</t>
        </is>
      </c>
      <c r="B64" t="n">
        <v>0</v>
      </c>
    </row>
    <row r="65">
      <c r="A65" t="inlineStr">
        <is>
          <t>Actions Per Second</t>
        </is>
      </c>
      <c r="B65">
        <f>1+MIN(150,150*(1-(1-(Inputs!$B$11+((C53=TRUE)*(F53-Calc!F20))+((C54=TRUE)*(F54-Calc!F21)))/150)*(1-B64/150)))/100</f>
        <v/>
      </c>
    </row>
    <row r="66">
      <c r="A66" t="inlineStr">
        <is>
          <t>Skill + Buff Cast Rate</t>
        </is>
      </c>
      <c r="B66">
        <f>IF(AND(Inputs!$B$38&lt;&gt;"pvp",Inputs!$B$43&gt;0),SUMPRODUCT((Skills!E2:E27=TRUE)*(C35:C60=TRUE)*R35:R60*Skills!F2:F27)/Inputs!$B$43,SUMPRODUCT((Skills!E2:E27=TRUE)*(C35:C60=TRUE)*Q35:Q60*Skills!F2:F27))</f>
        <v/>
      </c>
    </row>
    <row r="67">
      <c r="A67" t="inlineStr">
        <is>
          <t>Eight-Legs Easton Casts Per Second</t>
        </is>
      </c>
      <c r="B67">
        <f>MAX(0,B65-B66)</f>
        <v/>
      </c>
    </row>
    <row r="68">
      <c r="A68" t="inlineStr">
        <is>
          <t>Global Critical Damage Bonus % (unused)</t>
        </is>
      </c>
      <c r="B68" t="n">
        <v>0</v>
      </c>
    </row>
    <row r="69">
      <c r="A69" t="inlineStr">
        <is>
          <t>Global Final Damage Bonus % (Jolly Roger only)</t>
        </is>
      </c>
      <c r="B69">
        <f>((C51=TRUE)*F51)</f>
        <v/>
      </c>
    </row>
    <row r="70">
      <c r="A70" t="inlineStr">
        <is>
          <t>Buff-Casting Startup Delay (s, fixed-duration only)</t>
        </is>
      </c>
      <c r="B70">
        <f>IF(AND(Inputs!$B$38&lt;&gt;"pvp",Inputs!$B$43&gt;0),SUMPRODUCT((Skills!T2:T27&gt;0)*(Skills!E2:E27=TRUE)*(C35:C60=TRUE))/B65,0)</f>
        <v/>
      </c>
    </row>
    <row r="71">
      <c r="A71" t="inlineStr">
        <is>
          <t>Boss-Only Total DPS (this block's swept value)</t>
        </is>
      </c>
      <c r="B71">
        <f>SUM(T35:T60)</f>
        <v/>
      </c>
    </row>
    <row r="72">
      <c r="A72" t="inlineStr">
        <is>
          <t>Normal-Only Total DPS (this block's swept value)</t>
        </is>
      </c>
      <c r="B72">
        <f>SUM(V35:V60)</f>
        <v/>
      </c>
    </row>
    <row r="73">
      <c r="A73" s="5" t="inlineStr">
        <is>
          <t>TOTAL DPS</t>
        </is>
      </c>
      <c r="B73" s="5">
        <f>SUM(O35:O60)</f>
        <v/>
      </c>
    </row>
    <row r="76">
      <c r="A76" s="5" t="inlineStr">
        <is>
          <t>Stat: DEX %</t>
        </is>
      </c>
    </row>
    <row r="77">
      <c r="A77" s="9" t="inlineStr">
        <is>
          <t>Key</t>
        </is>
      </c>
      <c r="B77" s="9" t="inlineStr">
        <is>
          <t>Name</t>
        </is>
      </c>
      <c r="C77" s="9" t="inlineStr">
        <is>
          <t>Unlocked</t>
        </is>
      </c>
      <c r="D77" s="9" t="inlineStr">
        <is>
          <t>InputLevel</t>
        </is>
      </c>
      <c r="E77" s="9" t="inlineStr">
        <is>
          <t>Factor</t>
        </is>
      </c>
      <c r="F77" s="9" t="inlineStr">
        <is>
          <t>CoefficientPercent</t>
        </is>
      </c>
      <c r="G77" s="9" t="inlineStr">
        <is>
          <t>EffectiveHits</t>
        </is>
      </c>
      <c r="H77" s="9" t="inlineStr">
        <is>
          <t>ProcProbability</t>
        </is>
      </c>
      <c r="I77" s="9" t="inlineStr">
        <is>
          <t>MapleHeroMultiplier</t>
        </is>
      </c>
      <c r="J77" s="9" t="inlineStr">
        <is>
          <t>BaseDamage</t>
        </is>
      </c>
      <c r="K77" s="9" t="inlineStr">
        <is>
          <t>BaseHitDamage</t>
        </is>
      </c>
      <c r="L77" s="9" t="inlineStr">
        <is>
          <t>NonCritAvg</t>
        </is>
      </c>
      <c r="M77" s="9" t="inlineStr">
        <is>
          <t>CritAvg</t>
        </is>
      </c>
      <c r="N77" s="9" t="inlineStr">
        <is>
          <t>ExpectedDamage(perHit)</t>
        </is>
      </c>
      <c r="O77" s="9" t="inlineStr">
        <is>
          <t>DPS</t>
        </is>
      </c>
      <c r="P77" s="9" t="inlineStr">
        <is>
          <t>% of Total</t>
        </is>
      </c>
      <c r="Q77" s="9" t="inlineStr">
        <is>
          <t>InvCooldown</t>
        </is>
      </c>
      <c r="R77" s="9" t="inlineStr">
        <is>
          <t>CastsInFight</t>
        </is>
      </c>
      <c r="S77" s="9" t="inlineStr">
        <is>
          <t>HitRate(perSec)</t>
        </is>
      </c>
      <c r="U77" t="inlineStr">
        <is>
          <t>helpers</t>
        </is>
      </c>
    </row>
    <row r="78">
      <c r="A78">
        <f>Skills!A2</f>
        <v/>
      </c>
      <c r="B78">
        <f>Skills!B2</f>
        <v/>
      </c>
      <c r="C78">
        <f>Inputs!$B$3&gt;=100</f>
        <v/>
      </c>
      <c r="D78" t="inlineStr"/>
      <c r="E78" t="inlineStr"/>
      <c r="F78">
        <f>U80+Skills!O2</f>
        <v/>
      </c>
      <c r="G78">
        <f>Skills!G2*IF(Skills!H2&gt;0,Skills!I2/Skills!H2,1)</f>
        <v/>
      </c>
      <c r="H78">
        <f>1-(1-Skills!J2/100)^Skills!K2</f>
        <v/>
      </c>
      <c r="I78" t="inlineStr">
        <is>
          <t>1</t>
        </is>
      </c>
      <c r="J78">
        <f>((Inputs!$B$6*(1+Inputs!$B$7/100))+(((Inputs!$B$12*(1+(Inputs!$B$13+1)/100))-(Inputs!$B$12*(1+Inputs!$B$13/100)))+0.25*(Inputs!$B$14-Inputs!$B$14))*(1+Inputs!$B$7/100))*(F78/100)</f>
        <v/>
      </c>
      <c r="K78">
        <f>J78*(1+((Inputs!$B$12*(1+(Inputs!$B$13+1)/100))*0.01+Inputs!$B$14*0.0025)/100)*(1+Inputs!$B$15/100)*(1+Inputs!$B$16/100)*(5000/(6000+Inputs!$B$42*(1-(Inputs!$B$19+0)/100)))*(1+(Inputs!$B$24+((C102=TRUE)*(F102-Calc!F26))+B112)/100)*(1+(IF(Skills!A2="EIGHT_LEGS_EASTON",Inputs!$B$17+((C99=TRUE)*(F99-Calc!F23))+((C103=TRUE)*(F103-Calc!F27)),Inputs!$B$18+0))/100)*((1+(((C93=TRUE)*F93)+((C100=TRUE)*(F100-Calc!F24)))/100)*I78)</f>
        <v/>
      </c>
      <c r="L78">
        <f>K78*(MIN(Inputs!$B$22+((C98=TRUE)*(F98-Calc!F22)),Inputs!$B$23+0)/100+(Inputs!$B$23+0)/100)/2</f>
        <v/>
      </c>
      <c r="M78">
        <f>L78*(1+(Inputs!$B$10+((C101=TRUE)*(F101-Calc!F25))+B111)/100)</f>
        <v/>
      </c>
      <c r="N78">
        <f>L78*(1-MIN((Inputs!$B$9+((C95=TRUE)*(F95-Calc!F19))+B106),100)/100)+M78*(MIN((Inputs!$B$9+((C95=TRUE)*(F95-Calc!F19))+B106),100)/100)</f>
        <v/>
      </c>
      <c r="O78">
        <f>(1-Summary!$B$55)*T78+Summary!$B$55*V78</f>
        <v/>
      </c>
      <c r="P78">
        <f>IF(B116=0,0,O78/B116)</f>
        <v/>
      </c>
      <c r="Q78" t="n">
        <v>0</v>
      </c>
      <c r="R78" t="n">
        <v>0</v>
      </c>
      <c r="S78">
        <f>IFERROR(O78/N78,0)</f>
        <v/>
      </c>
      <c r="T78">
        <f>IF(C78,(Skills!G2*N78*B110)*IF(Inputs!$B$38="pvp",1,1+(Inputs!$B$20+0+Skills!P2)/100),0)</f>
        <v/>
      </c>
      <c r="U78">
        <f>MAX(0,(Inputs!$B$3-100)*3)+Inputs!$B$28+Inputs!$B$29</f>
        <v/>
      </c>
      <c r="V78">
        <f>IF(C78,(Skills!G2*N78*B110)*IF(Inputs!$B$38="pvp",1,(1+(Inputs!$B$21+Skills!Q2)/100)*(MIN((6+Inputs!$B$33),Inputs!$B$37))),0)</f>
        <v/>
      </c>
    </row>
    <row r="79">
      <c r="A79">
        <f>Skills!A3</f>
        <v/>
      </c>
      <c r="B79">
        <f>Skills!B3</f>
        <v/>
      </c>
      <c r="C79">
        <f>Inputs!$B$3&gt;=35</f>
        <v/>
      </c>
      <c r="D79">
        <f>IF(Skills!C3=1,60+Inputs!$B$25+Inputs!$B$29,IF(Skills!C3=2,90+Inputs!$B$26+Inputs!$B$29,IF(Skills!C3=3,120+Inputs!$B$27+Inputs!$B$29,MAX(0,(Inputs!$B$3-100)*3)+Inputs!$B$28+Inputs!$B$29)))</f>
        <v/>
      </c>
      <c r="E79">
        <f>INDEX(FactorTable!$B$2:$Y$301, MATCH(ROUND(MIN(300,MAX(1,D79)),0), FactorTable!$A$2:$A$301,0), Skills!M3+1)</f>
        <v/>
      </c>
      <c r="F79">
        <f>IF(Skills!N3=TRUE,(Skills!L3/10)*(E79/1000),Skills!L3/10)+Skills!O3</f>
        <v/>
      </c>
      <c r="G79">
        <f>Skills!G3*IF(Skills!H3&gt;0,Skills!I3/Skills!H3,1)</f>
        <v/>
      </c>
      <c r="H79">
        <f>1-(1-Skills!J3/100)^Skills!K3</f>
        <v/>
      </c>
      <c r="I79" t="inlineStr">
        <is>
          <t>1</t>
        </is>
      </c>
      <c r="J79">
        <f>((Inputs!$B$6*(1+Inputs!$B$7/100))+(((Inputs!$B$12*(1+(Inputs!$B$13+1)/100))-(Inputs!$B$12*(1+Inputs!$B$13/100)))+0.25*(Inputs!$B$14-Inputs!$B$14))*(1+Inputs!$B$7/100))*(F79/100)</f>
        <v/>
      </c>
      <c r="K79">
        <f>J79*(1+((Inputs!$B$12*(1+(Inputs!$B$13+1)/100))*0.01+Inputs!$B$14*0.0025)/100)*(1+Inputs!$B$15/100)*(1+Inputs!$B$16/100)*(5000/(6000+Inputs!$B$42*(1-(Inputs!$B$19+0)/100)))*(1+(Inputs!$B$24+((C102=TRUE)*(F102-Calc!F26))+B112)/100)*(1+4.0*IF(C91=TRUE,F91,0)/100)*(1+(IF(Skills!A3="EIGHT_LEGS_EASTON",Inputs!$B$17+((C99=TRUE)*(F99-Calc!F23))+((C103=TRUE)*(F103-Calc!F27)),Inputs!$B$18+0))/100)*((1+(((C93=TRUE)*F93)+((C100=TRUE)*(F100-Calc!F24)))/100)*I79)</f>
        <v/>
      </c>
      <c r="L79">
        <f>K79*(MIN(Inputs!$B$22+((C98=TRUE)*(F98-Calc!F22)),Inputs!$B$23+0)/100+(Inputs!$B$23+0)/100)/2</f>
        <v/>
      </c>
      <c r="M79">
        <f>L79*(1+(Inputs!$B$10+((C101=TRUE)*(F101-Calc!F25))+B111)/100)</f>
        <v/>
      </c>
      <c r="N79">
        <f>L79*(1-MIN((Inputs!$B$9+((C95=TRUE)*(F95-Calc!F19))+B106),100)/100)+M79*(MIN((Inputs!$B$9+((C95=TRUE)*(F95-Calc!F19))+B106),100)/100)</f>
        <v/>
      </c>
      <c r="O79">
        <f>(1-Summary!$B$55)*T79+Summary!$B$55*V79</f>
        <v/>
      </c>
      <c r="P79">
        <f>IF(B116=0,0,O79/B116)</f>
        <v/>
      </c>
      <c r="Q79">
        <f>IFERROR(1/IF(Inputs!$B$38="pvp",15,MAX(0.1,Skills!D3-IF(Skills!E3=TRUE,Inputs!$B$32,0))),0)</f>
        <v/>
      </c>
      <c r="R79">
        <f>IF(AND(Inputs!$B$38&lt;&gt;"pvp",Inputs!$B$43&gt;0),IF(MAX(0,Inputs!$B$43-B113)&lt;=0,0,(INT(MAX(0,Inputs!$B$43-B113)/IF(Inputs!$B$38="pvp",15,MAX(0.1,Skills!D3-IF(Skills!E3=TRUE,Inputs!$B$32,0))))+1)),0)</f>
        <v/>
      </c>
      <c r="S79">
        <f>IFERROR(O79/N79,0)</f>
        <v/>
      </c>
      <c r="T79">
        <f>IF(C79,(H79*N79*IF(AND(Inputs!$B$38&lt;&gt;"pvp",Inputs!$B$43&gt;0),((Skills!G3*((R79-1)*IF(Skills!H3&gt;0,Skills!I3/Skills!H3,1)+IF(Skills!H3&gt;0,MIN(Skills!I3,MAX(0,MAX(0,Inputs!$B$43-B113)-((R79-1)*IF(Inputs!$B$38="pvp",15,MAX(0.1,Skills!D3-IF(Skills!E3=TRUE,Inputs!$B$32,0))))))/Skills!H3,1)))/Inputs!$B$43),G79*Q79))*IF(Inputs!$B$38="pvp",1,1+(Inputs!$B$20+0+Skills!P3)/100),0)</f>
        <v/>
      </c>
      <c r="U79">
        <f>INDEX(FactorTable!$B$2:$Y$301, MATCH(ROUND(MIN(300,MAX(1,U78)),0), FactorTable!$A$2:$A$301,0), 22)</f>
        <v/>
      </c>
      <c r="V79">
        <f>IF(C79,(H79*N79*IF(AND(Inputs!$B$38&lt;&gt;"pvp",Inputs!$B$43&gt;0),((Skills!G3*((R79-1)*IF(Skills!H3&gt;0,Skills!I3/Skills!H3,1)+IF(Skills!H3&gt;0,MIN(Skills!I3,MAX(0,MAX(0,Inputs!$B$43-B113)-((R79-1)*IF(Inputs!$B$38="pvp",15,MAX(0.1,Skills!D3-IF(Skills!E3=TRUE,Inputs!$B$32,0))))))/Skills!H3,1)))/Inputs!$B$43),G79*Q79))*IF(Inputs!$B$38="pvp",1,(1+(Inputs!$B$21+Skills!Q3)/100)*(MIN(Skills!R3,Inputs!$B$37))),0)</f>
        <v/>
      </c>
    </row>
    <row r="80">
      <c r="A80">
        <f>Skills!A4</f>
        <v/>
      </c>
      <c r="B80">
        <f>Skills!B4</f>
        <v/>
      </c>
      <c r="C80">
        <f>Inputs!$B$3&gt;=40</f>
        <v/>
      </c>
      <c r="D80">
        <f>IF(Skills!C4=1,60+Inputs!$B$25+Inputs!$B$29,IF(Skills!C4=2,90+Inputs!$B$26+Inputs!$B$29,IF(Skills!C4=3,120+Inputs!$B$27+Inputs!$B$29,MAX(0,(Inputs!$B$3-100)*3)+Inputs!$B$28+Inputs!$B$29)))</f>
        <v/>
      </c>
      <c r="E80">
        <f>INDEX(FactorTable!$B$2:$Y$301, MATCH(ROUND(MIN(300,MAX(1,D80)),0), FactorTable!$A$2:$A$301,0), Skills!M4+1)</f>
        <v/>
      </c>
      <c r="F80">
        <f>IF(Skills!N4=TRUE,(Skills!L4/10)*(E80/1000),Skills!L4/10)+Skills!O4</f>
        <v/>
      </c>
      <c r="G80">
        <f>Skills!G4*IF(Skills!H4&gt;0,Skills!I4/Skills!H4,1)</f>
        <v/>
      </c>
      <c r="H80">
        <f>1-(1-Skills!J4/100)^Skills!K4</f>
        <v/>
      </c>
      <c r="I80" t="inlineStr">
        <is>
          <t>1</t>
        </is>
      </c>
      <c r="J80">
        <f>((Inputs!$B$6*(1+Inputs!$B$7/100))+(((Inputs!$B$12*(1+(Inputs!$B$13+1)/100))-(Inputs!$B$12*(1+Inputs!$B$13/100)))+0.25*(Inputs!$B$14-Inputs!$B$14))*(1+Inputs!$B$7/100))*(F80/100)</f>
        <v/>
      </c>
      <c r="K80">
        <f>J80*(1+((Inputs!$B$12*(1+(Inputs!$B$13+1)/100))*0.01+Inputs!$B$14*0.0025)/100)*(1+Inputs!$B$15/100)*(1+Inputs!$B$16/100)*(5000/(6000+Inputs!$B$42*(1-(Inputs!$B$19+0)/100)))*(1+(Inputs!$B$24+((C102=TRUE)*(F102-Calc!F26))+B112)/100)*(1+1.0*IF(C92=TRUE,F92,0)/100)*(1+(IF(Skills!A4="EIGHT_LEGS_EASTON",Inputs!$B$17+((C99=TRUE)*(F99-Calc!F23))+((C103=TRUE)*(F103-Calc!F27)),Inputs!$B$18+0))/100)*((1+(((C93=TRUE)*F93)+((C100=TRUE)*(F100-Calc!F24)))/100)*I80)</f>
        <v/>
      </c>
      <c r="L80">
        <f>K80*(MIN(Inputs!$B$22+((C98=TRUE)*(F98-Calc!F22)),Inputs!$B$23+0)/100+(Inputs!$B$23+0)/100)/2</f>
        <v/>
      </c>
      <c r="M80">
        <f>L80*(1+(Inputs!$B$10+((C101=TRUE)*(F101-Calc!F25))+B111)/100)</f>
        <v/>
      </c>
      <c r="N80">
        <f>L80*(1-MIN((Inputs!$B$9+((C95=TRUE)*(F95-Calc!F19))+B106),100)/100)+M80*(MIN((Inputs!$B$9+((C95=TRUE)*(F95-Calc!F19))+B106),100)/100)</f>
        <v/>
      </c>
      <c r="O80">
        <f>(1-Summary!$B$55)*T80+Summary!$B$55*V80</f>
        <v/>
      </c>
      <c r="P80">
        <f>IF(B116=0,0,O80/B116)</f>
        <v/>
      </c>
      <c r="Q80">
        <f>IFERROR(1/IF(Inputs!$B$38="pvp",15,MAX(0.1,Skills!D4-IF(Skills!E4=TRUE,Inputs!$B$32,0))),0)</f>
        <v/>
      </c>
      <c r="R80">
        <f>IF(AND(Inputs!$B$38&lt;&gt;"pvp",Inputs!$B$43&gt;0),IF(MAX(0,Inputs!$B$43-B113)&lt;=0,0,(INT(MAX(0,Inputs!$B$43-B113)/IF(Inputs!$B$38="pvp",15,MAX(0.1,Skills!D4-IF(Skills!E4=TRUE,Inputs!$B$32,0))))+1)),0)</f>
        <v/>
      </c>
      <c r="S80">
        <f>IFERROR(O80/N80,0)</f>
        <v/>
      </c>
      <c r="T80">
        <f>IF(C80,(H80*N80*IF(AND(Inputs!$B$38&lt;&gt;"pvp",Inputs!$B$43&gt;0),((Skills!G4*((R80-1)*IF(Skills!H4&gt;0,Skills!I4/Skills!H4,1)+IF(Skills!H4&gt;0,MIN(Skills!I4,MAX(0,MAX(0,Inputs!$B$43-B113)-((R80-1)*IF(Inputs!$B$38="pvp",15,MAX(0.1,Skills!D4-IF(Skills!E4=TRUE,Inputs!$B$32,0))))))/Skills!H4,1)))/Inputs!$B$43),G80*Q80))*IF(Inputs!$B$38="pvp",1,1+(Inputs!$B$20+0+Skills!P4)/100),0)</f>
        <v/>
      </c>
      <c r="U80">
        <f>290*U79/1000</f>
        <v/>
      </c>
      <c r="V80">
        <f>IF(C80,(H80*N80*IF(AND(Inputs!$B$38&lt;&gt;"pvp",Inputs!$B$43&gt;0),((Skills!G4*((R80-1)*IF(Skills!H4&gt;0,Skills!I4/Skills!H4,1)+IF(Skills!H4&gt;0,MIN(Skills!I4,MAX(0,MAX(0,Inputs!$B$43-B113)-((R80-1)*IF(Inputs!$B$38="pvp",15,MAX(0.1,Skills!D4-IF(Skills!E4=TRUE,Inputs!$B$32,0))))))/Skills!H4,1)))/Inputs!$B$43),G80*Q80))*IF(Inputs!$B$38="pvp",1,(1+(Inputs!$B$21+Skills!Q4)/100)*(MIN(Skills!R4,Inputs!$B$37))),0)</f>
        <v/>
      </c>
    </row>
    <row r="81">
      <c r="A81">
        <f>Skills!A5</f>
        <v/>
      </c>
      <c r="B81">
        <f>Skills!B5</f>
        <v/>
      </c>
      <c r="C81">
        <f>Inputs!$B$3&gt;=45</f>
        <v/>
      </c>
      <c r="D81">
        <f>IF(Skills!C5=1,60+Inputs!$B$25+Inputs!$B$29,IF(Skills!C5=2,90+Inputs!$B$26+Inputs!$B$29,IF(Skills!C5=3,120+Inputs!$B$27+Inputs!$B$29,MAX(0,(Inputs!$B$3-100)*3)+Inputs!$B$28+Inputs!$B$29)))</f>
        <v/>
      </c>
      <c r="E81">
        <f>INDEX(FactorTable!$B$2:$Y$301, MATCH(ROUND(MIN(300,MAX(1,D81)),0), FactorTable!$A$2:$A$301,0), Skills!M5+1)</f>
        <v/>
      </c>
      <c r="F81">
        <f>IF(Skills!N5=TRUE,(Skills!L5/10)*(E81/1000),Skills!L5/10)+Skills!O5</f>
        <v/>
      </c>
      <c r="G81">
        <f>Skills!G5*IF(Skills!H5&gt;0,Skills!I5/Skills!H5,1)</f>
        <v/>
      </c>
      <c r="H81">
        <f>1-(1-Skills!J5/100)^Skills!K5</f>
        <v/>
      </c>
      <c r="I81" t="inlineStr">
        <is>
          <t>1</t>
        </is>
      </c>
      <c r="J81">
        <f>((Inputs!$B$6*(1+Inputs!$B$7/100))+(((Inputs!$B$12*(1+(Inputs!$B$13+1)/100))-(Inputs!$B$12*(1+Inputs!$B$13/100)))+0.25*(Inputs!$B$14-Inputs!$B$14))*(1+Inputs!$B$7/100))*(F81/100)</f>
        <v/>
      </c>
      <c r="K81">
        <f>J81*(1+((Inputs!$B$12*(1+(Inputs!$B$13+1)/100))*0.01+Inputs!$B$14*0.0025)/100)*(1+Inputs!$B$15/100)*(1+Inputs!$B$16/100)*(5000/(6000+Inputs!$B$42*(1-(Inputs!$B$19+0)/100)))*(1+(Inputs!$B$24+((C102=TRUE)*(F102-Calc!F26))+B112)/100)*(1+0.4*IF(C92=TRUE,F92,0)/100)*(1+(IF(Skills!A5="EIGHT_LEGS_EASTON",Inputs!$B$17+((C99=TRUE)*(F99-Calc!F23))+((C103=TRUE)*(F103-Calc!F27)),Inputs!$B$18+0))/100)*((1+(((C93=TRUE)*F93)+((C100=TRUE)*(F100-Calc!F24)))/100)*I81)</f>
        <v/>
      </c>
      <c r="L81">
        <f>K81*(MIN(Inputs!$B$22+((C98=TRUE)*(F98-Calc!F22)),Inputs!$B$23+0)/100+(Inputs!$B$23+0)/100)/2</f>
        <v/>
      </c>
      <c r="M81">
        <f>L81*(1+(Inputs!$B$10+((C101=TRUE)*(F101-Calc!F25))+B111)/100)</f>
        <v/>
      </c>
      <c r="N81">
        <f>L81*(1-MIN((Inputs!$B$9+((C95=TRUE)*(F95-Calc!F19))+B106),100)/100)+M81*(MIN((Inputs!$B$9+((C95=TRUE)*(F95-Calc!F19))+B106),100)/100)</f>
        <v/>
      </c>
      <c r="O81">
        <f>(1-Summary!$B$55)*T81+Summary!$B$55*V81</f>
        <v/>
      </c>
      <c r="P81">
        <f>IF(B116=0,0,O81/B116)</f>
        <v/>
      </c>
      <c r="Q81">
        <f>IFERROR(1/IF(Inputs!$B$38="pvp",15,MAX(0.1,Skills!D5-IF(Skills!E5=TRUE,Inputs!$B$32,0))),0)</f>
        <v/>
      </c>
      <c r="R81">
        <f>IF(AND(Inputs!$B$38&lt;&gt;"pvp",Inputs!$B$43&gt;0),IF(MAX(0,Inputs!$B$43-B113)&lt;=0,0,(INT(MAX(0,Inputs!$B$43-B113)/IF(Inputs!$B$38="pvp",15,MAX(0.1,Skills!D5-IF(Skills!E5=TRUE,Inputs!$B$32,0))))+1)),0)</f>
        <v/>
      </c>
      <c r="S81">
        <f>IFERROR(O81/N81,0)</f>
        <v/>
      </c>
      <c r="T81">
        <f>IF(C81,(H81*N81*IF(AND(Inputs!$B$38&lt;&gt;"pvp",Inputs!$B$43&gt;0),((Skills!G5*((R81-1)*IF(Skills!H5&gt;0,Skills!I5/Skills!H5,1)+IF(Skills!H5&gt;0,MIN(Skills!I5,MAX(0,MAX(0,Inputs!$B$43-B113)-((R81-1)*IF(Inputs!$B$38="pvp",15,MAX(0.1,Skills!D5-IF(Skills!E5=TRUE,Inputs!$B$32,0))))))/Skills!H5,1)))/Inputs!$B$43),G81*Q81))*IF(Inputs!$B$38="pvp",1,1+(Inputs!$B$20+0+Skills!P5)/100),0)</f>
        <v/>
      </c>
      <c r="V81">
        <f>IF(C81,(H81*N81*IF(AND(Inputs!$B$38&lt;&gt;"pvp",Inputs!$B$43&gt;0),((Skills!G5*((R81-1)*IF(Skills!H5&gt;0,Skills!I5/Skills!H5,1)+IF(Skills!H5&gt;0,MIN(Skills!I5,MAX(0,MAX(0,Inputs!$B$43-B113)-((R81-1)*IF(Inputs!$B$38="pvp",15,MAX(0.1,Skills!D5-IF(Skills!E5=TRUE,Inputs!$B$32,0))))))/Skills!H5,1)))/Inputs!$B$43),G81*Q81))*IF(Inputs!$B$38="pvp",1,(1+(Inputs!$B$21+Skills!Q5)/100)*(MIN(Skills!R5,Inputs!$B$37))),0)</f>
        <v/>
      </c>
    </row>
    <row r="82">
      <c r="A82">
        <f>Skills!A6</f>
        <v/>
      </c>
      <c r="B82">
        <f>Skills!B6</f>
        <v/>
      </c>
      <c r="C82">
        <f>Inputs!$B$3&gt;=63</f>
        <v/>
      </c>
      <c r="D82">
        <f>IF(Skills!C6=1,60+Inputs!$B$25+Inputs!$B$29,IF(Skills!C6=2,90+Inputs!$B$26+Inputs!$B$29,IF(Skills!C6=3,120+Inputs!$B$27+Inputs!$B$29,MAX(0,(Inputs!$B$3-100)*3)+Inputs!$B$28+Inputs!$B$29)))</f>
        <v/>
      </c>
      <c r="E82">
        <f>INDEX(FactorTable!$B$2:$Y$301, MATCH(ROUND(MIN(300,MAX(1,D82)),0), FactorTable!$A$2:$A$301,0), Skills!M6+1)</f>
        <v/>
      </c>
      <c r="F82">
        <f>IF(Skills!N6=TRUE,(Skills!L6/10)*(E82/1000),Skills!L6/10)+Skills!O6</f>
        <v/>
      </c>
      <c r="G82">
        <f>Skills!G6*IF(Skills!H6&gt;0,Skills!I6/Skills!H6,1)</f>
        <v/>
      </c>
      <c r="H82">
        <f>1-(1-Skills!J6/100)^Skills!K6</f>
        <v/>
      </c>
      <c r="I82" t="inlineStr">
        <is>
          <t>1</t>
        </is>
      </c>
      <c r="J82">
        <f>((Inputs!$B$6*(1+Inputs!$B$7/100))+(((Inputs!$B$12*(1+(Inputs!$B$13+1)/100))-(Inputs!$B$12*(1+Inputs!$B$13/100)))+0.25*(Inputs!$B$14-Inputs!$B$14))*(1+Inputs!$B$7/100))*(F82/100)</f>
        <v/>
      </c>
      <c r="K82">
        <f>J82*(1+((Inputs!$B$12*(1+(Inputs!$B$13+1)/100))*0.01+Inputs!$B$14*0.0025)/100)*(1+Inputs!$B$15/100)*(1+Inputs!$B$16/100)*(5000/(6000+Inputs!$B$42*(1-(Inputs!$B$19+0)/100)))*(1+(Inputs!$B$24+((C102=TRUE)*(F102-Calc!F26))+B112)/100)*(1+2.0*IF(C91=TRUE,F91,0)/100)*(1+(IF(Skills!A6="EIGHT_LEGS_EASTON",Inputs!$B$17+((C99=TRUE)*(F99-Calc!F23))+((C103=TRUE)*(F103-Calc!F27)),Inputs!$B$18+0))/100)*((1+(((C93=TRUE)*F93)+((C100=TRUE)*(F100-Calc!F24)))/100)*I82)</f>
        <v/>
      </c>
      <c r="L82">
        <f>K82*(MIN(Inputs!$B$22+((C98=TRUE)*(F98-Calc!F22)),Inputs!$B$23+0)/100+(Inputs!$B$23+0)/100)/2</f>
        <v/>
      </c>
      <c r="M82">
        <f>L82*(1+(Inputs!$B$10+((C101=TRUE)*(F101-Calc!F25))+B111)/100)</f>
        <v/>
      </c>
      <c r="N82">
        <f>L82*(1-MIN((Inputs!$B$9+((C95=TRUE)*(F95-Calc!F19))+B106),100)/100)+M82*(MIN((Inputs!$B$9+((C95=TRUE)*(F95-Calc!F19))+B106),100)/100)</f>
        <v/>
      </c>
      <c r="O82">
        <f>(1-Summary!$B$55)*T82+Summary!$B$55*V82</f>
        <v/>
      </c>
      <c r="P82">
        <f>IF(B116=0,0,O82/B116)</f>
        <v/>
      </c>
      <c r="Q82">
        <f>IFERROR(1/IF(Inputs!$B$38="pvp",15,MAX(0.1,Skills!D6-IF(Skills!E6=TRUE,Inputs!$B$32,0))),0)</f>
        <v/>
      </c>
      <c r="R82">
        <f>IF(AND(Inputs!$B$38&lt;&gt;"pvp",Inputs!$B$43&gt;0),IF(MAX(0,Inputs!$B$43-B113)&lt;=0,0,(INT(MAX(0,Inputs!$B$43-B113)/IF(Inputs!$B$38="pvp",15,MAX(0.1,Skills!D6-IF(Skills!E6=TRUE,Inputs!$B$32,0))))+1)),0)</f>
        <v/>
      </c>
      <c r="S82">
        <f>IFERROR(O82/N82,0)</f>
        <v/>
      </c>
      <c r="T82">
        <f>IF(C82,(H82*N82*IF(AND(Inputs!$B$38&lt;&gt;"pvp",Inputs!$B$43&gt;0),((Skills!G6*((R82-1)*IF(Skills!H6&gt;0,Skills!I6/Skills!H6,1)+IF(Skills!H6&gt;0,MIN(Skills!I6,MAX(0,MAX(0,Inputs!$B$43-B113)-((R82-1)*IF(Inputs!$B$38="pvp",15,MAX(0.1,Skills!D6-IF(Skills!E6=TRUE,Inputs!$B$32,0))))))/Skills!H6,1)))/Inputs!$B$43),G82*Q82))*IF(Inputs!$B$38="pvp",1,1+(Inputs!$B$20+0+Skills!P6)/100),0)</f>
        <v/>
      </c>
      <c r="V82">
        <f>IF(C82,(H82*N82*IF(AND(Inputs!$B$38&lt;&gt;"pvp",Inputs!$B$43&gt;0),((Skills!G6*((R82-1)*IF(Skills!H6&gt;0,Skills!I6/Skills!H6,1)+IF(Skills!H6&gt;0,MIN(Skills!I6,MAX(0,MAX(0,Inputs!$B$43-B113)-((R82-1)*IF(Inputs!$B$38="pvp",15,MAX(0.1,Skills!D6-IF(Skills!E6=TRUE,Inputs!$B$32,0))))))/Skills!H6,1)))/Inputs!$B$43),G82*Q82))*IF(Inputs!$B$38="pvp",1,(1+(Inputs!$B$21+Skills!Q6)/100)*(MIN(Skills!R6,Inputs!$B$37))),0)</f>
        <v/>
      </c>
    </row>
    <row r="83">
      <c r="A83">
        <f>Skills!A7</f>
        <v/>
      </c>
      <c r="B83">
        <f>Skills!B7</f>
        <v/>
      </c>
      <c r="C83">
        <f>Inputs!$B$3&gt;=66</f>
        <v/>
      </c>
      <c r="D83">
        <f>IF(Skills!C7=1,60+Inputs!$B$25+Inputs!$B$29,IF(Skills!C7=2,90+Inputs!$B$26+Inputs!$B$29,IF(Skills!C7=3,120+Inputs!$B$27+Inputs!$B$29,MAX(0,(Inputs!$B$3-100)*3)+Inputs!$B$28+Inputs!$B$29)))</f>
        <v/>
      </c>
      <c r="E83">
        <f>INDEX(FactorTable!$B$2:$Y$301, MATCH(ROUND(MIN(300,MAX(1,D83)),0), FactorTable!$A$2:$A$301,0), Skills!M7+1)</f>
        <v/>
      </c>
      <c r="F83">
        <f>IF(Skills!N7=TRUE,(Skills!L7/10)*(E83/1000),Skills!L7/10)+Skills!O7</f>
        <v/>
      </c>
      <c r="G83">
        <f>Skills!G7*IF(Skills!H7&gt;0,Skills!I7/Skills!H7,1)</f>
        <v/>
      </c>
      <c r="H83">
        <f>1-(1-Skills!J7/100)^Skills!K7</f>
        <v/>
      </c>
      <c r="I83" t="inlineStr">
        <is>
          <t>1</t>
        </is>
      </c>
      <c r="J83">
        <f>((Inputs!$B$6*(1+Inputs!$B$7/100))+(((Inputs!$B$12*(1+(Inputs!$B$13+1)/100))-(Inputs!$B$12*(1+Inputs!$B$13/100)))+0.25*(Inputs!$B$14-Inputs!$B$14))*(1+Inputs!$B$7/100))*(F83/100)</f>
        <v/>
      </c>
      <c r="K83">
        <f>J83*(1+((Inputs!$B$12*(1+(Inputs!$B$13+1)/100))*0.01+Inputs!$B$14*0.0025)/100)*(1+Inputs!$B$15/100)*(1+Inputs!$B$16/100)*(5000/(6000+Inputs!$B$42*(1-(Inputs!$B$19+0)/100)))*(1+(Inputs!$B$24+((C102=TRUE)*(F102-Calc!F26))+B112)/100)*(1+1.0*IF(C91=TRUE,F91,0)/100)*(1+(IF(Skills!A7="EIGHT_LEGS_EASTON",Inputs!$B$17+((C99=TRUE)*(F99-Calc!F23))+((C103=TRUE)*(F103-Calc!F27)),Inputs!$B$18+0))/100)*((1+(((C93=TRUE)*F93)+((C100=TRUE)*(F100-Calc!F24)))/100)*I83)</f>
        <v/>
      </c>
      <c r="L83">
        <f>K83*(MIN(Inputs!$B$22+((C98=TRUE)*(F98-Calc!F22)),Inputs!$B$23+0)/100+(Inputs!$B$23+0)/100)/2</f>
        <v/>
      </c>
      <c r="M83">
        <f>L83*(1+(Inputs!$B$10+((C101=TRUE)*(F101-Calc!F25))+B111)/100)</f>
        <v/>
      </c>
      <c r="N83">
        <f>L83*(1-MIN((Inputs!$B$9+((C95=TRUE)*(F95-Calc!F19))+B106),100)/100)+M83*(MIN((Inputs!$B$9+((C95=TRUE)*(F95-Calc!F19))+B106),100)/100)</f>
        <v/>
      </c>
      <c r="O83">
        <f>(1-Summary!$B$55)*T83+Summary!$B$55*V83</f>
        <v/>
      </c>
      <c r="P83">
        <f>IF(B116=0,0,O83/B116)</f>
        <v/>
      </c>
      <c r="Q83">
        <f>IFERROR(1/IF(Inputs!$B$38="pvp",15,MAX(0.1,Skills!D7-IF(Skills!E7=TRUE,Inputs!$B$32,0))),0)</f>
        <v/>
      </c>
      <c r="R83">
        <f>IF(AND(Inputs!$B$38&lt;&gt;"pvp",Inputs!$B$43&gt;0),IF(MAX(0,Inputs!$B$43-B113)&lt;=0,0,(INT(MAX(0,Inputs!$B$43-B113)/IF(Inputs!$B$38="pvp",15,MAX(0.1,Skills!D7-IF(Skills!E7=TRUE,Inputs!$B$32,0))))+1)),0)</f>
        <v/>
      </c>
      <c r="S83">
        <f>IFERROR(O83/N83,0)</f>
        <v/>
      </c>
      <c r="T83">
        <f>IF(C83,(H83*N83*IF(AND(Inputs!$B$38&lt;&gt;"pvp",Inputs!$B$43&gt;0),((Skills!G7*((R83-1)*IF(Skills!H7&gt;0,Skills!I7/Skills!H7,1)+IF(Skills!H7&gt;0,MIN(Skills!I7,MAX(0,MAX(0,Inputs!$B$43-B113)-((R83-1)*IF(Inputs!$B$38="pvp",15,MAX(0.1,Skills!D7-IF(Skills!E7=TRUE,Inputs!$B$32,0))))))/Skills!H7,1)))/Inputs!$B$43),G83*Q83))*IF(Inputs!$B$38="pvp",1,1+(Inputs!$B$20+0+Skills!P7)/100),0)</f>
        <v/>
      </c>
      <c r="V83">
        <f>IF(C83,(H83*N83*IF(AND(Inputs!$B$38&lt;&gt;"pvp",Inputs!$B$43&gt;0),((Skills!G7*((R83-1)*IF(Skills!H7&gt;0,Skills!I7/Skills!H7,1)+IF(Skills!H7&gt;0,MIN(Skills!I7,MAX(0,MAX(0,Inputs!$B$43-B113)-((R83-1)*IF(Inputs!$B$38="pvp",15,MAX(0.1,Skills!D7-IF(Skills!E7=TRUE,Inputs!$B$32,0))))))/Skills!H7,1)))/Inputs!$B$43),G83*Q83))*IF(Inputs!$B$38="pvp",1,(1+(Inputs!$B$21+Skills!Q7)/100)*(MIN(Skills!R7,Inputs!$B$37))),0)</f>
        <v/>
      </c>
    </row>
    <row r="84">
      <c r="A84">
        <f>Skills!A8</f>
        <v/>
      </c>
      <c r="B84">
        <f>Skills!B8</f>
        <v/>
      </c>
      <c r="C84">
        <f>Inputs!$B$3&gt;=100</f>
        <v/>
      </c>
      <c r="D84">
        <f>IF(Skills!C8=1,60+Inputs!$B$25+Inputs!$B$29,IF(Skills!C8=2,90+Inputs!$B$26+Inputs!$B$29,IF(Skills!C8=3,120+Inputs!$B$27+Inputs!$B$29,MAX(0,(Inputs!$B$3-100)*3)+Inputs!$B$28+Inputs!$B$29)))</f>
        <v/>
      </c>
      <c r="E84">
        <f>INDEX(FactorTable!$B$2:$Y$301, MATCH(ROUND(MIN(300,MAX(1,D84)),0), FactorTable!$A$2:$A$301,0), Skills!M8+1)</f>
        <v/>
      </c>
      <c r="F84">
        <f>IF(Skills!N8=TRUE,(Skills!L8/10)*(E84/1000),Skills!L8/10)+Skills!O8</f>
        <v/>
      </c>
      <c r="G84">
        <f>Skills!G8*IF(Skills!H8&gt;0,Skills!I8/Skills!H8,1)</f>
        <v/>
      </c>
      <c r="H84">
        <f>1-(1-Skills!J8/100)^Skills!K8</f>
        <v/>
      </c>
      <c r="I84" t="inlineStr">
        <is>
          <t>1</t>
        </is>
      </c>
      <c r="J84">
        <f>((Inputs!$B$6*(1+Inputs!$B$7/100))+(((Inputs!$B$12*(1+(Inputs!$B$13+1)/100))-(Inputs!$B$12*(1+Inputs!$B$13/100)))+0.25*(Inputs!$B$14-Inputs!$B$14))*(1+Inputs!$B$7/100))*(F84/100)</f>
        <v/>
      </c>
      <c r="K84">
        <f>J84*(1+((Inputs!$B$12*(1+(Inputs!$B$13+1)/100))*0.01+Inputs!$B$14*0.0025)/100)*(1+Inputs!$B$15/100)*(1+Inputs!$B$16/100)*(5000/(6000+Inputs!$B$42*(1-(Inputs!$B$19+0)/100)))*(1+(Inputs!$B$24+((C102=TRUE)*(F102-Calc!F26))+B112)/100)*(1+(IF(Skills!A8="EIGHT_LEGS_EASTON",Inputs!$B$17+((C99=TRUE)*(F99-Calc!F23))+((C103=TRUE)*(F103-Calc!F27)),Inputs!$B$18+0))/100)*((1+(((C93=TRUE)*F93)+((C100=TRUE)*(F100-Calc!F24)))/100)*I84)</f>
        <v/>
      </c>
      <c r="L84">
        <f>K84*(MIN(Inputs!$B$22+((C98=TRUE)*(F98-Calc!F22)),Inputs!$B$23+0)/100+(Inputs!$B$23+0)/100)/2</f>
        <v/>
      </c>
      <c r="M84">
        <f>L84*(1+(Inputs!$B$10+((C101=TRUE)*(F101-Calc!F25))+B111)/100)</f>
        <v/>
      </c>
      <c r="N84">
        <f>L84*(1-MIN((Inputs!$B$9+((C95=TRUE)*(F95-Calc!F19))+B106),100)/100)+M84*(MIN((Inputs!$B$9+((C95=TRUE)*(F95-Calc!F19))+B106),100)/100)</f>
        <v/>
      </c>
      <c r="O84">
        <f>(1-Summary!$B$55)*T84+Summary!$B$55*V84</f>
        <v/>
      </c>
      <c r="P84">
        <f>IF(B116=0,0,O84/B116)</f>
        <v/>
      </c>
      <c r="Q84">
        <f>IFERROR(1/IF(Inputs!$B$38="pvp",15,MAX(0.1,Skills!D8-IF(Skills!E8=TRUE,Inputs!$B$32,0))),0)</f>
        <v/>
      </c>
      <c r="R84">
        <f>IF(AND(Inputs!$B$38&lt;&gt;"pvp",Inputs!$B$43&gt;0),IF(MAX(0,Inputs!$B$43-B113)&lt;=0,0,(INT(MAX(0,Inputs!$B$43-B113)/IF(Inputs!$B$38="pvp",15,MAX(0.1,Skills!D8-IF(Skills!E8=TRUE,Inputs!$B$32,0))))+1)),0)</f>
        <v/>
      </c>
      <c r="S84">
        <f>IFERROR(O84/N84,0)</f>
        <v/>
      </c>
      <c r="T84">
        <f>IF(C84,(H84*N84*IF(AND(Inputs!$B$38&lt;&gt;"pvp",Inputs!$B$43&gt;0),((Skills!G8*((R84-1)*IF(Skills!H8&gt;0,Skills!I8/Skills!H8,1)+IF(Skills!H8&gt;0,MIN(Skills!I8,MAX(0,MAX(0,Inputs!$B$43-B113)-((R84-1)*IF(Inputs!$B$38="pvp",15,MAX(0.1,Skills!D8-IF(Skills!E8=TRUE,Inputs!$B$32,0))))))/Skills!H8,1)))/Inputs!$B$43),G84*Q84))*IF(Inputs!$B$38="pvp",1,1+(Inputs!$B$20+0+Skills!P8)/100),0)</f>
        <v/>
      </c>
      <c r="V84">
        <f>IF(C84,(H84*N84*IF(AND(Inputs!$B$38&lt;&gt;"pvp",Inputs!$B$43&gt;0),((Skills!G8*((R84-1)*IF(Skills!H8&gt;0,Skills!I8/Skills!H8,1)+IF(Skills!H8&gt;0,MIN(Skills!I8,MAX(0,MAX(0,Inputs!$B$43-B113)-((R84-1)*IF(Inputs!$B$38="pvp",15,MAX(0.1,Skills!D8-IF(Skills!E8=TRUE,Inputs!$B$32,0))))))/Skills!H8,1)))/Inputs!$B$43),G84*Q84))*IF(Inputs!$B$38="pvp",1,(1+(Inputs!$B$21+Skills!Q8)/100)*(MIN(Skills!R8,Inputs!$B$37))),0)</f>
        <v/>
      </c>
    </row>
    <row r="85">
      <c r="A85">
        <f>Skills!A9</f>
        <v/>
      </c>
      <c r="B85">
        <f>Skills!B9</f>
        <v/>
      </c>
      <c r="C85">
        <f>Inputs!$B$3&gt;=103</f>
        <v/>
      </c>
      <c r="D85">
        <f>IF(Skills!C9=1,60+Inputs!$B$25+Inputs!$B$29,IF(Skills!C9=2,90+Inputs!$B$26+Inputs!$B$29,IF(Skills!C9=3,120+Inputs!$B$27+Inputs!$B$29,MAX(0,(Inputs!$B$3-100)*3)+Inputs!$B$28+Inputs!$B$29)))</f>
        <v/>
      </c>
      <c r="E85">
        <f>INDEX(FactorTable!$B$2:$Y$301, MATCH(ROUND(MIN(300,MAX(1,D85)),0), FactorTable!$A$2:$A$301,0), Skills!M9+1)</f>
        <v/>
      </c>
      <c r="F85">
        <f>IF(Skills!N9=TRUE,(Skills!L9/10)*(E85/1000),Skills!L9/10)+Skills!O9</f>
        <v/>
      </c>
      <c r="G85">
        <f>Skills!G9*IF(Skills!H9&gt;0,Skills!I9/Skills!H9,1)</f>
        <v/>
      </c>
      <c r="H85">
        <f>1-(1-Skills!J9/100)^Skills!K9</f>
        <v/>
      </c>
      <c r="I85" t="inlineStr">
        <is>
          <t>1</t>
        </is>
      </c>
      <c r="J85">
        <f>((Inputs!$B$6*(1+Inputs!$B$7/100))+(((Inputs!$B$12*(1+(Inputs!$B$13+1)/100))-(Inputs!$B$12*(1+Inputs!$B$13/100)))+0.25*(Inputs!$B$14-Inputs!$B$14))*(1+Inputs!$B$7/100))*(F85/100)</f>
        <v/>
      </c>
      <c r="K85">
        <f>J85*(1+((Inputs!$B$12*(1+(Inputs!$B$13+1)/100))*0.01+Inputs!$B$14*0.0025)/100)*(1+Inputs!$B$15/100)*(1+Inputs!$B$16/100)*(5000/(6000+Inputs!$B$42*(1-(Inputs!$B$19+0)/100)))*(1+(Inputs!$B$24+((C102=TRUE)*(F102-Calc!F26))+B112)/100)*(1+(IF(Skills!A9="EIGHT_LEGS_EASTON",Inputs!$B$17+((C99=TRUE)*(F99-Calc!F23))+((C103=TRUE)*(F103-Calc!F27)),Inputs!$B$18+0))/100)*((1+(((C93=TRUE)*F93)+((C100=TRUE)*(F100-Calc!F24)))/100)*I85)</f>
        <v/>
      </c>
      <c r="L85">
        <f>K85*(MIN(Inputs!$B$22+((C98=TRUE)*(F98-Calc!F22)),Inputs!$B$23+0)/100+(Inputs!$B$23+0)/100)/2</f>
        <v/>
      </c>
      <c r="M85">
        <f>L85*(1+(Inputs!$B$10+((C101=TRUE)*(F101-Calc!F25))+B111)/100)</f>
        <v/>
      </c>
      <c r="N85">
        <f>L85*(1-MIN((Inputs!$B$9+((C95=TRUE)*(F95-Calc!F19))+B106),100)/100)+M85*(MIN((Inputs!$B$9+((C95=TRUE)*(F95-Calc!F19))+B106),100)/100)</f>
        <v/>
      </c>
      <c r="O85">
        <f>(1-Summary!$B$55)*T85+Summary!$B$55*V85</f>
        <v/>
      </c>
      <c r="P85">
        <f>IF(B116=0,0,O85/B116)</f>
        <v/>
      </c>
      <c r="Q85">
        <f>IFERROR(1/IF(Inputs!$B$38="pvp",15,MAX(0.1,Skills!D9-IF(Skills!E9=TRUE,Inputs!$B$32,0))),0)</f>
        <v/>
      </c>
      <c r="R85">
        <f>IF(AND(Inputs!$B$38&lt;&gt;"pvp",Inputs!$B$43&gt;0),IF(MAX(0,Inputs!$B$43-B113)&lt;=0,0,(INT(MAX(0,Inputs!$B$43-B113)/IF(Inputs!$B$38="pvp",15,MAX(0.1,Skills!D9-IF(Skills!E9=TRUE,Inputs!$B$32,0))))+1)),0)</f>
        <v/>
      </c>
      <c r="S85">
        <f>IFERROR(O85/N85,0)</f>
        <v/>
      </c>
      <c r="T85">
        <f>IF(C85,(H85*N85*IF(AND(Inputs!$B$38&lt;&gt;"pvp",Inputs!$B$43&gt;0),((Skills!G9*((R85-1)*IF(Skills!H9&gt;0,Skills!I9/Skills!H9,1)+IF(Skills!H9&gt;0,MIN(Skills!I9,MAX(0,MAX(0,Inputs!$B$43-B113)-((R85-1)*IF(Inputs!$B$38="pvp",15,MAX(0.1,Skills!D9-IF(Skills!E9=TRUE,Inputs!$B$32,0))))))/Skills!H9,1)))/Inputs!$B$43),G85*Q85))*IF(Inputs!$B$38="pvp",1,1+(Inputs!$B$20+0+Skills!P9)/100),0)</f>
        <v/>
      </c>
      <c r="V85">
        <f>IF(C85,(H85*N85*IF(AND(Inputs!$B$38&lt;&gt;"pvp",Inputs!$B$43&gt;0),((Skills!G9*((R85-1)*IF(Skills!H9&gt;0,Skills!I9/Skills!H9,1)+IF(Skills!H9&gt;0,MIN(Skills!I9,MAX(0,MAX(0,Inputs!$B$43-B113)-((R85-1)*IF(Inputs!$B$38="pvp",15,MAX(0.1,Skills!D9-IF(Skills!E9=TRUE,Inputs!$B$32,0))))))/Skills!H9,1)))/Inputs!$B$43),G85*Q85))*IF(Inputs!$B$38="pvp",1,(1+(Inputs!$B$21+Skills!Q9)/100)*(MIN(Skills!R9,Inputs!$B$37))),0)</f>
        <v/>
      </c>
    </row>
    <row r="86">
      <c r="A86">
        <f>Skills!A10</f>
        <v/>
      </c>
      <c r="B86">
        <f>Skills!B10</f>
        <v/>
      </c>
      <c r="C86">
        <f>Inputs!$B$3&gt;=113</f>
        <v/>
      </c>
      <c r="D86">
        <f>IF(Skills!C10=1,60+Inputs!$B$25+Inputs!$B$29,IF(Skills!C10=2,90+Inputs!$B$26+Inputs!$B$29,IF(Skills!C10=3,120+Inputs!$B$27+Inputs!$B$29,MAX(0,(Inputs!$B$3-100)*3)+Inputs!$B$28+Inputs!$B$29)))</f>
        <v/>
      </c>
      <c r="E86">
        <f>INDEX(FactorTable!$B$2:$Y$301, MATCH(ROUND(MIN(300,MAX(1,D86)),0), FactorTable!$A$2:$A$301,0), Skills!M10+1)</f>
        <v/>
      </c>
      <c r="F86">
        <f>IF(Skills!N10=TRUE,(Skills!L10/10)*(E86/1000),Skills!L10/10)+Skills!O10</f>
        <v/>
      </c>
      <c r="G86">
        <f>Skills!G10*IF(Skills!H10&gt;0,Skills!I10/Skills!H10,1)</f>
        <v/>
      </c>
      <c r="H86">
        <f>1-(1-Skills!J10/100)^Skills!K10</f>
        <v/>
      </c>
      <c r="I86" t="inlineStr">
        <is>
          <t>1</t>
        </is>
      </c>
      <c r="J86">
        <f>((Inputs!$B$6*(1+Inputs!$B$7/100))+(((Inputs!$B$12*(1+(Inputs!$B$13+1)/100))-(Inputs!$B$12*(1+Inputs!$B$13/100)))+0.25*(Inputs!$B$14-Inputs!$B$14))*(1+Inputs!$B$7/100))*(F86/100)</f>
        <v/>
      </c>
      <c r="K86">
        <f>J86*(1+((Inputs!$B$12*(1+(Inputs!$B$13+1)/100))*0.01+Inputs!$B$14*0.0025)/100)*(1+Inputs!$B$15/100)*(1+Inputs!$B$16/100)*(5000/(6000+Inputs!$B$42*(1-(Inputs!$B$19+0)/100)))*(1+(Inputs!$B$24+((C102=TRUE)*(F102-Calc!F26))+B112)/100)*(1+(IF(Skills!A10="EIGHT_LEGS_EASTON",Inputs!$B$17+((C99=TRUE)*(F99-Calc!F23))+((C103=TRUE)*(F103-Calc!F27)),Inputs!$B$18+0))/100)*((1+(((C93=TRUE)*F93)+((C100=TRUE)*(F100-Calc!F24)))/100)*I86)</f>
        <v/>
      </c>
      <c r="L86">
        <f>K86*(MIN(Inputs!$B$22+((C98=TRUE)*(F98-Calc!F22)),Inputs!$B$23+0)/100+(Inputs!$B$23+0)/100)/2</f>
        <v/>
      </c>
      <c r="M86">
        <f>L86*(1+(Inputs!$B$10+((C101=TRUE)*(F101-Calc!F25))+B111)/100)</f>
        <v/>
      </c>
      <c r="N86">
        <f>L86*(1-MIN((Inputs!$B$9+((C95=TRUE)*(F95-Calc!F19))+B106),100)/100)+M86*(MIN((Inputs!$B$9+((C95=TRUE)*(F95-Calc!F19))+B106),100)/100)</f>
        <v/>
      </c>
      <c r="O86">
        <f>(1-Summary!$B$55)*T86+Summary!$B$55*V86</f>
        <v/>
      </c>
      <c r="P86">
        <f>IF(B116=0,0,O86/B116)</f>
        <v/>
      </c>
      <c r="Q86">
        <f>IFERROR(1/IF(Inputs!$B$38="pvp",15,MAX(0.1,Skills!D10-IF(Skills!E10=TRUE,Inputs!$B$32,0))),0)</f>
        <v/>
      </c>
      <c r="R86">
        <f>IF(AND(Inputs!$B$38&lt;&gt;"pvp",Inputs!$B$43&gt;0),IF(MAX(0,Inputs!$B$43-B113)&lt;=0,0,(INT(MAX(0,Inputs!$B$43-B113)/IF(Inputs!$B$38="pvp",15,MAX(0.1,Skills!D10-IF(Skills!E10=TRUE,Inputs!$B$32,0))))+1)),0)</f>
        <v/>
      </c>
      <c r="S86">
        <f>IFERROR(O86/N86,0)</f>
        <v/>
      </c>
      <c r="T86">
        <f>IF(C86,(H86*N86*IF(AND(Inputs!$B$38&lt;&gt;"pvp",Inputs!$B$43&gt;0),((Skills!G10*((R86-1)*IF(Skills!H10&gt;0,Skills!I10/Skills!H10,1)+IF(Skills!H10&gt;0,MIN(Skills!I10,MAX(0,MAX(0,Inputs!$B$43-B113)-((R86-1)*IF(Inputs!$B$38="pvp",15,MAX(0.1,Skills!D10-IF(Skills!E10=TRUE,Inputs!$B$32,0))))))/Skills!H10,1)))/Inputs!$B$43),G86*Q86))*IF(Inputs!$B$38="pvp",1,1+(Inputs!$B$20+0+Skills!P10)/100),0)</f>
        <v/>
      </c>
      <c r="V86">
        <f>IF(C86,(H86*N86*IF(AND(Inputs!$B$38&lt;&gt;"pvp",Inputs!$B$43&gt;0),((Skills!G10*((R86-1)*IF(Skills!H10&gt;0,Skills!I10/Skills!H10,1)+IF(Skills!H10&gt;0,MIN(Skills!I10,MAX(0,MAX(0,Inputs!$B$43-B113)-((R86-1)*IF(Inputs!$B$38="pvp",15,MAX(0.1,Skills!D10-IF(Skills!E10=TRUE,Inputs!$B$32,0))))))/Skills!H10,1)))/Inputs!$B$43),G86*Q86))*IF(Inputs!$B$38="pvp",1,(1+(Inputs!$B$21+Skills!Q10)/100)*(MIN(Skills!R10,Inputs!$B$37))),0)</f>
        <v/>
      </c>
    </row>
    <row r="87">
      <c r="A87">
        <f>Skills!A11</f>
        <v/>
      </c>
      <c r="B87">
        <f>Skills!B11</f>
        <v/>
      </c>
      <c r="C87">
        <f>Inputs!$B$3&gt;=107</f>
        <v/>
      </c>
      <c r="D87">
        <f>IF(Skills!C11=1,60+Inputs!$B$25+Inputs!$B$29,IF(Skills!C11=2,90+Inputs!$B$26+Inputs!$B$29,IF(Skills!C11=3,120+Inputs!$B$27+Inputs!$B$29,MAX(0,(Inputs!$B$3-100)*3)+Inputs!$B$28+Inputs!$B$29)))</f>
        <v/>
      </c>
      <c r="E87">
        <f>INDEX(FactorTable!$B$2:$Y$301, MATCH(ROUND(MIN(300,MAX(1,D87)),0), FactorTable!$A$2:$A$301,0), Skills!M11+1)</f>
        <v/>
      </c>
      <c r="F87">
        <f>IF(Skills!N11=TRUE,(Skills!L11/10)*(E87/1000),Skills!L11/10)+Skills!O11</f>
        <v/>
      </c>
      <c r="G87">
        <f>Skills!G11*IF(Skills!H11&gt;0,Skills!I11/Skills!H11,1)</f>
        <v/>
      </c>
      <c r="H87">
        <f>1-(1-Skills!J11/100)^Skills!K11</f>
        <v/>
      </c>
      <c r="I87" t="inlineStr">
        <is>
          <t>1</t>
        </is>
      </c>
      <c r="J87">
        <f>((Inputs!$B$6*(1+Inputs!$B$7/100))+(((Inputs!$B$12*(1+(Inputs!$B$13+1)/100))-(Inputs!$B$12*(1+Inputs!$B$13/100)))+0.25*(Inputs!$B$14-Inputs!$B$14))*(1+Inputs!$B$7/100))*(F87/100)</f>
        <v/>
      </c>
      <c r="K87">
        <f>J87*(1+((Inputs!$B$12*(1+(Inputs!$B$13+1)/100))*0.01+Inputs!$B$14*0.0025)/100)*(1+Inputs!$B$15/100)*(1+Inputs!$B$16/100)*(5000/(6000+Inputs!$B$42*(1-(Inputs!$B$19+0)/100)))*(1+(Inputs!$B$24+((C102=TRUE)*(F102-Calc!F26))+B112)/100)*(1+(IF(Skills!A11="EIGHT_LEGS_EASTON",Inputs!$B$17+((C99=TRUE)*(F99-Calc!F23))+((C103=TRUE)*(F103-Calc!F27)),Inputs!$B$18+0))/100)*((1+(((C93=TRUE)*F93)+((C100=TRUE)*(F100-Calc!F24)))/100)*I87)</f>
        <v/>
      </c>
      <c r="L87">
        <f>K87*(MIN(Inputs!$B$22+((C98=TRUE)*(F98-Calc!F22)),Inputs!$B$23+0)/100+(Inputs!$B$23+0)/100)/2</f>
        <v/>
      </c>
      <c r="M87">
        <f>L87*(1+(Inputs!$B$10+((C101=TRUE)*(F101-Calc!F25))+B111)/100)</f>
        <v/>
      </c>
      <c r="N87">
        <f>L87*(1-MIN((Inputs!$B$9+((C95=TRUE)*(F95-Calc!F19))+B106),100)/100)+M87*(MIN((Inputs!$B$9+((C95=TRUE)*(F95-Calc!F19))+B106),100)/100)</f>
        <v/>
      </c>
      <c r="O87">
        <f>(1-Summary!$B$55)*T87+Summary!$B$55*V87</f>
        <v/>
      </c>
      <c r="P87">
        <f>IF(B116=0,0,O87/B116)</f>
        <v/>
      </c>
      <c r="Q87">
        <f>IFERROR(1/IF(Inputs!$B$38="pvp",15,MAX(0.1,Skills!D11-IF(Skills!E11=TRUE,Inputs!$B$32,0))),0)</f>
        <v/>
      </c>
      <c r="R87">
        <f>IF(AND(Inputs!$B$38&lt;&gt;"pvp",Inputs!$B$43&gt;0),IF(MAX(0,Inputs!$B$43-B113)&lt;=0,0,(INT(MAX(0,Inputs!$B$43-B113)/IF(Inputs!$B$38="pvp",15,MAX(0.1,Skills!D11-IF(Skills!E11=TRUE,Inputs!$B$32,0))))+1)),0)</f>
        <v/>
      </c>
      <c r="S87">
        <f>IFERROR(O87/N87,0)</f>
        <v/>
      </c>
      <c r="T87">
        <f>IF(C87,(H87*N87*IF(AND(Inputs!$B$38&lt;&gt;"pvp",Inputs!$B$43&gt;0),((Skills!G11*((R87-1)*IF(Skills!H11&gt;0,Skills!I11/Skills!H11,1)+IF(Skills!H11&gt;0,MIN(Skills!I11,MAX(0,MAX(0,Inputs!$B$43-B113)-((R87-1)*IF(Inputs!$B$38="pvp",15,MAX(0.1,Skills!D11-IF(Skills!E11=TRUE,Inputs!$B$32,0))))))/Skills!H11,1)))/Inputs!$B$43),G87*Q87))*IF(Inputs!$B$38="pvp",1,1+(Inputs!$B$20+0+Skills!P11)/100),0)</f>
        <v/>
      </c>
      <c r="V87">
        <f>IF(C87,(H87*N87*IF(AND(Inputs!$B$38&lt;&gt;"pvp",Inputs!$B$43&gt;0),((Skills!G11*((R87-1)*IF(Skills!H11&gt;0,Skills!I11/Skills!H11,1)+IF(Skills!H11&gt;0,MIN(Skills!I11,MAX(0,MAX(0,Inputs!$B$43-B113)-((R87-1)*IF(Inputs!$B$38="pvp",15,MAX(0.1,Skills!D11-IF(Skills!E11=TRUE,Inputs!$B$32,0))))))/Skills!H11,1)))/Inputs!$B$43),G87*Q87))*IF(Inputs!$B$38="pvp",1,(1+(Inputs!$B$21+Skills!Q11)/100)*(MIN(Skills!R11,Inputs!$B$37))),0)</f>
        <v/>
      </c>
    </row>
    <row r="88">
      <c r="A88">
        <f>Skills!A12</f>
        <v/>
      </c>
      <c r="B88">
        <f>Skills!B12</f>
        <v/>
      </c>
      <c r="C88">
        <f>Inputs!$B$3&gt;=110</f>
        <v/>
      </c>
      <c r="D88">
        <f>IF(Skills!C12=1,60+Inputs!$B$25+Inputs!$B$29,IF(Skills!C12=2,90+Inputs!$B$26+Inputs!$B$29,IF(Skills!C12=3,120+Inputs!$B$27+Inputs!$B$29,MAX(0,(Inputs!$B$3-100)*3)+Inputs!$B$28+Inputs!$B$29)))</f>
        <v/>
      </c>
      <c r="E88">
        <f>INDEX(FactorTable!$B$2:$Y$301, MATCH(ROUND(MIN(300,MAX(1,D88)),0), FactorTable!$A$2:$A$301,0), Skills!M12+1)</f>
        <v/>
      </c>
      <c r="F88">
        <f>IF(Skills!N12=TRUE,(Skills!L12/10)*(E88/1000),Skills!L12/10)+Skills!O12</f>
        <v/>
      </c>
      <c r="G88">
        <f>Skills!G12*IF(Skills!H12&gt;0,Skills!I12/Skills!H12,1)</f>
        <v/>
      </c>
      <c r="H88">
        <f>1-(1-Skills!J12/100)^Skills!K12</f>
        <v/>
      </c>
      <c r="I88" t="inlineStr">
        <is>
          <t>1</t>
        </is>
      </c>
      <c r="J88">
        <f>((Inputs!$B$6*(1+Inputs!$B$7/100))+(((Inputs!$B$12*(1+(Inputs!$B$13+1)/100))-(Inputs!$B$12*(1+Inputs!$B$13/100)))+0.25*(Inputs!$B$14-Inputs!$B$14))*(1+Inputs!$B$7/100))*(F88/100)</f>
        <v/>
      </c>
      <c r="K88">
        <f>J88*(1+((Inputs!$B$12*(1+(Inputs!$B$13+1)/100))*0.01+Inputs!$B$14*0.0025)/100)*(1+Inputs!$B$15/100)*(1+Inputs!$B$16/100)*(5000/(6000+Inputs!$B$42*(1-(Inputs!$B$19+0)/100)))*(1+(Inputs!$B$24+((C102=TRUE)*(F102-Calc!F26))+B112)/100)*(1+(IF(Skills!A12="EIGHT_LEGS_EASTON",Inputs!$B$17+((C99=TRUE)*(F99-Calc!F23))+((C103=TRUE)*(F103-Calc!F27)),Inputs!$B$18+0))/100)*((1+(((C93=TRUE)*F93)+((C100=TRUE)*(F100-Calc!F24)))/100)*I88)</f>
        <v/>
      </c>
      <c r="L88">
        <f>K88*(MIN(Inputs!$B$22+((C98=TRUE)*(F98-Calc!F22)),Inputs!$B$23+0)/100+(Inputs!$B$23+0)/100)/2</f>
        <v/>
      </c>
      <c r="M88">
        <f>L88*(1+(Inputs!$B$10+((C101=TRUE)*(F101-Calc!F25))+B111)/100)</f>
        <v/>
      </c>
      <c r="N88">
        <f>L88*(1-MIN((Inputs!$B$9+((C95=TRUE)*(F95-Calc!F19))+B106),100)/100)+M88*(MIN((Inputs!$B$9+((C95=TRUE)*(F95-Calc!F19))+B106),100)/100)</f>
        <v/>
      </c>
      <c r="O88">
        <f>(1-Summary!$B$55)*T88+Summary!$B$55*V88</f>
        <v/>
      </c>
      <c r="P88">
        <f>IF(B116=0,0,O88/B116)</f>
        <v/>
      </c>
      <c r="Q88">
        <f>IFERROR(1/IF(Inputs!$B$38="pvp",15,MAX(0.1,Skills!D12-IF(Skills!E12=TRUE,Inputs!$B$32,0))),0)</f>
        <v/>
      </c>
      <c r="R88">
        <f>IF(AND(Inputs!$B$38&lt;&gt;"pvp",Inputs!$B$43&gt;0),IF(MAX(0,Inputs!$B$43-B113)&lt;=0,0,(INT(MAX(0,Inputs!$B$43-B113)/IF(Inputs!$B$38="pvp",15,MAX(0.1,Skills!D12-IF(Skills!E12=TRUE,Inputs!$B$32,0))))+1)),0)</f>
        <v/>
      </c>
      <c r="S88">
        <f>IFERROR(O88/N88,0)</f>
        <v/>
      </c>
      <c r="T88">
        <f>IF(C88,(H88*N88*IF(AND(Inputs!$B$38&lt;&gt;"pvp",Inputs!$B$43&gt;0),((Skills!G12*((R88-1)*IF(Skills!H12&gt;0,Skills!I12/Skills!H12,1)+IF(Skills!H12&gt;0,MIN(Skills!I12,MAX(0,MAX(0,Inputs!$B$43-B113)-((R88-1)*IF(Inputs!$B$38="pvp",15,MAX(0.1,Skills!D12-IF(Skills!E12=TRUE,Inputs!$B$32,0))))))/Skills!H12,1)))/Inputs!$B$43),G88*Q88))*IF(Inputs!$B$38="pvp",1,1+(Inputs!$B$20+0+Skills!P12)/100),0)</f>
        <v/>
      </c>
      <c r="V88">
        <f>IF(C88,(H88*N88*IF(AND(Inputs!$B$38&lt;&gt;"pvp",Inputs!$B$43&gt;0),((Skills!G12*((R88-1)*IF(Skills!H12&gt;0,Skills!I12/Skills!H12,1)+IF(Skills!H12&gt;0,MIN(Skills!I12,MAX(0,MAX(0,Inputs!$B$43-B113)-((R88-1)*IF(Inputs!$B$38="pvp",15,MAX(0.1,Skills!D12-IF(Skills!E12=TRUE,Inputs!$B$32,0))))))/Skills!H12,1)))/Inputs!$B$43),G88*Q88))*IF(Inputs!$B$38="pvp",1,(1+(Inputs!$B$21+Skills!Q12)/100)*(MIN(Skills!R12,Inputs!$B$37))),0)</f>
        <v/>
      </c>
    </row>
    <row r="89">
      <c r="A89">
        <f>Skills!A13</f>
        <v/>
      </c>
      <c r="B89">
        <f>Skills!B13</f>
        <v/>
      </c>
      <c r="C89">
        <f>Inputs!$B$3&gt;=110</f>
        <v/>
      </c>
      <c r="D89">
        <f>IF(Skills!C13=1,60+Inputs!$B$25+Inputs!$B$29,IF(Skills!C13=2,90+Inputs!$B$26+Inputs!$B$29,IF(Skills!C13=3,120+Inputs!$B$27+Inputs!$B$29,MAX(0,(Inputs!$B$3-100)*3)+Inputs!$B$28+Inputs!$B$29)))</f>
        <v/>
      </c>
      <c r="E89">
        <f>INDEX(FactorTable!$B$2:$Y$301, MATCH(ROUND(MIN(300,MAX(1,D89)),0), FactorTable!$A$2:$A$301,0), Skills!M13+1)</f>
        <v/>
      </c>
      <c r="F89">
        <f>IF(Skills!N13=TRUE,(Skills!L13/10)*(E89/1000),Skills!L13/10)+Skills!O13</f>
        <v/>
      </c>
      <c r="G89">
        <f>Skills!G13*IF(Skills!H13&gt;0,Skills!I13/Skills!H13,1)</f>
        <v/>
      </c>
      <c r="H89">
        <f>1-(1-Skills!J13/100)^Skills!K13</f>
        <v/>
      </c>
      <c r="I89" t="inlineStr">
        <is>
          <t>1</t>
        </is>
      </c>
      <c r="J89">
        <f>((Inputs!$B$6*(1+Inputs!$B$7/100))+(((Inputs!$B$12*(1+(Inputs!$B$13+1)/100))-(Inputs!$B$12*(1+Inputs!$B$13/100)))+0.25*(Inputs!$B$14-Inputs!$B$14))*(1+Inputs!$B$7/100))*(F89/100)</f>
        <v/>
      </c>
      <c r="K89">
        <f>J89*(1+((Inputs!$B$12*(1+(Inputs!$B$13+1)/100))*0.01+Inputs!$B$14*0.0025)/100)*(1+Inputs!$B$15/100)*(1+Inputs!$B$16/100)*(5000/(6000+Inputs!$B$42*(1-(Inputs!$B$19+0)/100)))*(1+(Inputs!$B$24+((C102=TRUE)*(F102-Calc!F26))+B112)/100)*(1+(IF(Skills!A13="EIGHT_LEGS_EASTON",Inputs!$B$17+((C99=TRUE)*(F99-Calc!F23))+((C103=TRUE)*(F103-Calc!F27)),Inputs!$B$18+0))/100)*((1+(((C93=TRUE)*F93)+((C100=TRUE)*(F100-Calc!F24)))/100)*I89)</f>
        <v/>
      </c>
      <c r="L89">
        <f>K89*(MIN(Inputs!$B$22+((C98=TRUE)*(F98-Calc!F22)),Inputs!$B$23+0)/100+(Inputs!$B$23+0)/100)/2</f>
        <v/>
      </c>
      <c r="M89">
        <f>L89*(1+(Inputs!$B$10+((C101=TRUE)*(F101-Calc!F25))+B111)/100)</f>
        <v/>
      </c>
      <c r="N89">
        <f>L89*(1-MIN((Inputs!$B$9+((C95=TRUE)*(F95-Calc!F19))+B106),100)/100)+M89*(MIN((Inputs!$B$9+((C95=TRUE)*(F95-Calc!F19))+B106),100)/100)</f>
        <v/>
      </c>
      <c r="O89">
        <f>(1-Summary!$B$55)*T89+Summary!$B$55*V89</f>
        <v/>
      </c>
      <c r="P89">
        <f>IF(B116=0,0,O89/B116)</f>
        <v/>
      </c>
      <c r="Q89">
        <f>IFERROR(1/IF(Inputs!$B$38="pvp",15,MAX(0.1,Skills!D13-IF(Skills!E13=TRUE,Inputs!$B$32,0))),0)</f>
        <v/>
      </c>
      <c r="R89">
        <f>IF(AND(Inputs!$B$38&lt;&gt;"pvp",Inputs!$B$43&gt;0),IF(MAX(0,Inputs!$B$43-B113)&lt;=0,0,(INT(MAX(0,Inputs!$B$43-B113)/IF(Inputs!$B$38="pvp",15,MAX(0.1,Skills!D13-IF(Skills!E13=TRUE,Inputs!$B$32,0))))+1)),0)</f>
        <v/>
      </c>
      <c r="S89">
        <f>IFERROR(O89/N89,0)</f>
        <v/>
      </c>
      <c r="T89">
        <f>IF(C89,(H89*N89*IF(AND(Inputs!$B$38&lt;&gt;"pvp",Inputs!$B$43&gt;0),((Skills!G13*((R89-1)*IF(Skills!H13&gt;0,Skills!I13/Skills!H13,1)+IF(Skills!H13&gt;0,MIN(Skills!I13,MAX(0,MAX(0,Inputs!$B$43-B113)-((R89-1)*IF(Inputs!$B$38="pvp",15,MAX(0.1,Skills!D13-IF(Skills!E13=TRUE,Inputs!$B$32,0))))))/Skills!H13,1)))/Inputs!$B$43),G89*Q89))*IF(Inputs!$B$38="pvp",1,1+(Inputs!$B$20+0+Skills!P13)/100),0)</f>
        <v/>
      </c>
      <c r="V89">
        <f>IF(C89,(H89*N89*IF(AND(Inputs!$B$38&lt;&gt;"pvp",Inputs!$B$43&gt;0),((Skills!G13*((R89-1)*IF(Skills!H13&gt;0,Skills!I13/Skills!H13,1)+IF(Skills!H13&gt;0,MIN(Skills!I13,MAX(0,MAX(0,Inputs!$B$43-B113)-((R89-1)*IF(Inputs!$B$38="pvp",15,MAX(0.1,Skills!D13-IF(Skills!E13=TRUE,Inputs!$B$32,0))))))/Skills!H13,1)))/Inputs!$B$43),G89*Q89))*IF(Inputs!$B$38="pvp",1,(1+(Inputs!$B$21+Skills!Q13)/100)*(MIN(Skills!R13,Inputs!$B$37))),0)</f>
        <v/>
      </c>
    </row>
    <row r="90">
      <c r="A90">
        <f>Skills!A14</f>
        <v/>
      </c>
      <c r="B90">
        <f>Skills!B14</f>
        <v/>
      </c>
      <c r="C90">
        <f>Inputs!$B$3&gt;=125</f>
        <v/>
      </c>
      <c r="D90">
        <f>IF(Skills!C14=1,60+Inputs!$B$25+Inputs!$B$29,IF(Skills!C14=2,90+Inputs!$B$26+Inputs!$B$29,IF(Skills!C14=3,120+Inputs!$B$27+Inputs!$B$29,MAX(0,(Inputs!$B$3-100)*3)+Inputs!$B$28+Inputs!$B$29)))</f>
        <v/>
      </c>
      <c r="E90">
        <f>INDEX(FactorTable!$B$2:$Y$301, MATCH(ROUND(MIN(300,MAX(1,D90)),0), FactorTable!$A$2:$A$301,0), Skills!M14+1)</f>
        <v/>
      </c>
      <c r="F90">
        <f>IF(Skills!N14=TRUE,(Skills!L14/10)*(E90/1000),Skills!L14/10)+Skills!O14</f>
        <v/>
      </c>
      <c r="G90">
        <f>Skills!G14*IF(Skills!H14&gt;0,Skills!I14/Skills!H14,1)</f>
        <v/>
      </c>
      <c r="H90">
        <f>1-(1-Skills!J14/100)^Skills!K14</f>
        <v/>
      </c>
      <c r="I90" t="inlineStr">
        <is>
          <t>1</t>
        </is>
      </c>
      <c r="J90">
        <f>((Inputs!$B$6*(1+Inputs!$B$7/100))+(((Inputs!$B$12*(1+(Inputs!$B$13+1)/100))-(Inputs!$B$12*(1+Inputs!$B$13/100)))+0.25*(Inputs!$B$14-Inputs!$B$14))*(1+Inputs!$B$7/100))*(F90/100)</f>
        <v/>
      </c>
      <c r="K90">
        <f>J90*(1+((Inputs!$B$12*(1+(Inputs!$B$13+1)/100))*0.01+Inputs!$B$14*0.0025)/100)*(1+Inputs!$B$15/100)*(1+Inputs!$B$16/100)*(5000/(6000+Inputs!$B$42*(1-(Inputs!$B$19+0)/100)))*(1+(Inputs!$B$24+((C102=TRUE)*(F102-Calc!F26))+B112)/100)*(1+(IF(Skills!A14="EIGHT_LEGS_EASTON",Inputs!$B$17+((C99=TRUE)*(F99-Calc!F23))+((C103=TRUE)*(F103-Calc!F27)),Inputs!$B$18+0))/100)*((1+(((C93=TRUE)*F93)+((C100=TRUE)*(F100-Calc!F24)))/100)*I90)</f>
        <v/>
      </c>
      <c r="L90">
        <f>K90*(MIN(Inputs!$B$22+((C98=TRUE)*(F98-Calc!F22)),Inputs!$B$23+0)/100+(Inputs!$B$23+0)/100)/2</f>
        <v/>
      </c>
      <c r="M90">
        <f>L90*(1+(Inputs!$B$10+((C101=TRUE)*(F101-Calc!F25))+B111)/100)</f>
        <v/>
      </c>
      <c r="N90">
        <f>L90*(1-MIN((Inputs!$B$9+((C95=TRUE)*(F95-Calc!F19))+B106),100)/100)+M90*(MIN((Inputs!$B$9+((C95=TRUE)*(F95-Calc!F19))+B106),100)/100)</f>
        <v/>
      </c>
      <c r="O90">
        <f>(1-Summary!$B$55)*T90+Summary!$B$55*V90</f>
        <v/>
      </c>
      <c r="P90">
        <f>IF(B116=0,0,O90/B116)</f>
        <v/>
      </c>
      <c r="Q90" t="n">
        <v>0</v>
      </c>
      <c r="R90" t="n">
        <v>0</v>
      </c>
      <c r="S90">
        <f>IFERROR(O90/N90,0)</f>
        <v/>
      </c>
      <c r="T90">
        <f>IF(C90,(H90*N90*(B110+IF(AND(Inputs!$B$38&lt;&gt;"pvp",Inputs!$B$43&gt;0),((Skills!G8*((R84-1)*IF(Skills!H8&gt;0,Skills!I8/Skills!H8,1)+IF(Skills!H8&gt;0,MIN(Skills!I8,MAX(0,MAX(0,Inputs!$B$43-B113)-((R84-1)*IF(Inputs!$B$38="pvp",15,MAX(0.1,Skills!D8-IF(Skills!E8=TRUE,Inputs!$B$32,0))))))/Skills!H8,1)))/Inputs!$B$43),G84*Q84)+IF(AND(Inputs!$B$38&lt;&gt;"pvp",Inputs!$B$43&gt;0),((Skills!G11*((R87-1)*IF(Skills!H11&gt;0,Skills!I11/Skills!H11,1)+IF(Skills!H11&gt;0,MIN(Skills!I11,MAX(0,MAX(0,Inputs!$B$43-B113)-((R87-1)*IF(Inputs!$B$38="pvp",15,MAX(0.1,Skills!D11-IF(Skills!E11=TRUE,Inputs!$B$32,0))))))/Skills!H11,1)))/Inputs!$B$43),G87*Q87)))*IF(Inputs!$B$38="pvp",1,1+(Inputs!$B$20+0+Skills!P14)/100),0)</f>
        <v/>
      </c>
      <c r="V90">
        <f>IF(C90,(H90*N90*(B110+IF(AND(Inputs!$B$38&lt;&gt;"pvp",Inputs!$B$43&gt;0),((Skills!G8*((R84-1)*IF(Skills!H8&gt;0,Skills!I8/Skills!H8,1)+IF(Skills!H8&gt;0,MIN(Skills!I8,MAX(0,MAX(0,Inputs!$B$43-B113)-((R84-1)*IF(Inputs!$B$38="pvp",15,MAX(0.1,Skills!D8-IF(Skills!E8=TRUE,Inputs!$B$32,0))))))/Skills!H8,1)))/Inputs!$B$43),G84*Q84)+IF(AND(Inputs!$B$38&lt;&gt;"pvp",Inputs!$B$43&gt;0),((Skills!G11*((R87-1)*IF(Skills!H11&gt;0,Skills!I11/Skills!H11,1)+IF(Skills!H11&gt;0,MIN(Skills!I11,MAX(0,MAX(0,Inputs!$B$43-B113)-((R87-1)*IF(Inputs!$B$38="pvp",15,MAX(0.1,Skills!D11-IF(Skills!E11=TRUE,Inputs!$B$32,0))))))/Skills!H11,1)))/Inputs!$B$43),G87*Q87)))*IF(Inputs!$B$38="pvp",1,(1+(Inputs!$B$21+Skills!Q14)/100)*(MIN(Skills!R14,Inputs!$B$37))),0)</f>
        <v/>
      </c>
    </row>
    <row r="91">
      <c r="A91">
        <f>Skills!A15</f>
        <v/>
      </c>
      <c r="B91">
        <f>Skills!B15</f>
        <v/>
      </c>
      <c r="C91">
        <f>Inputs!$B$3&gt;=100</f>
        <v/>
      </c>
      <c r="D91">
        <f>IF(Skills!C15=1,60+Inputs!$B$25+Inputs!$B$29,IF(Skills!C15=2,90+Inputs!$B$26+Inputs!$B$29,IF(Skills!C15=3,120+Inputs!$B$27+Inputs!$B$29,MAX(0,(Inputs!$B$3-100)*3)+Inputs!$B$28+Inputs!$B$29)))</f>
        <v/>
      </c>
      <c r="E91">
        <f>INDEX(FactorTable!$B$2:$Y$301, MATCH(ROUND(MIN(300,MAX(1,D91)),0), FactorTable!$A$2:$A$301,0), Skills!M15+1)</f>
        <v/>
      </c>
      <c r="F91">
        <f>IF(Skills!N15=TRUE,(Skills!L15/10)*(E91/1000),Skills!L15/10)+Skills!O15</f>
        <v/>
      </c>
      <c r="G91" t="inlineStr"/>
      <c r="H91" t="inlineStr"/>
      <c r="I91" t="inlineStr">
        <is>
          <t>1</t>
        </is>
      </c>
      <c r="J91" t="inlineStr"/>
      <c r="K91" t="inlineStr"/>
      <c r="L91" t="inlineStr"/>
      <c r="M91" t="inlineStr"/>
      <c r="N91" t="inlineStr"/>
      <c r="O91" t="inlineStr"/>
      <c r="P91" t="inlineStr"/>
      <c r="Q91" t="inlineStr"/>
      <c r="R91" t="inlineStr"/>
      <c r="S91" t="inlineStr"/>
    </row>
    <row r="92">
      <c r="A92">
        <f>Skills!A16</f>
        <v/>
      </c>
      <c r="B92">
        <f>Skills!B16</f>
        <v/>
      </c>
      <c r="C92">
        <f>Inputs!$B$3&gt;=120</f>
        <v/>
      </c>
      <c r="D92">
        <f>IF(Skills!C16=1,60+Inputs!$B$25+Inputs!$B$29,IF(Skills!C16=2,90+Inputs!$B$26+Inputs!$B$29,IF(Skills!C16=3,120+Inputs!$B$27+Inputs!$B$29,MAX(0,(Inputs!$B$3-100)*3)+Inputs!$B$28+Inputs!$B$29)))</f>
        <v/>
      </c>
      <c r="E92">
        <f>INDEX(FactorTable!$B$2:$Y$301, MATCH(ROUND(MIN(300,MAX(1,D92)),0), FactorTable!$A$2:$A$301,0), Skills!M16+1)</f>
        <v/>
      </c>
      <c r="F92">
        <f>IF(Skills!N16=TRUE,(Skills!L16/10)*(E92/1000),Skills!L16/10)+Skills!O16</f>
        <v/>
      </c>
      <c r="G92" t="inlineStr"/>
      <c r="H92" t="inlineStr"/>
      <c r="I92" t="inlineStr">
        <is>
          <t>1</t>
        </is>
      </c>
      <c r="J92" t="inlineStr"/>
      <c r="K92" t="inlineStr"/>
      <c r="L92" t="inlineStr"/>
      <c r="M92" t="inlineStr"/>
      <c r="N92" t="inlineStr"/>
      <c r="O92" t="inlineStr"/>
      <c r="P92" t="inlineStr"/>
      <c r="Q92" t="inlineStr"/>
      <c r="R92" t="inlineStr"/>
      <c r="S92" t="inlineStr"/>
    </row>
    <row r="93">
      <c r="A93">
        <f>Skills!A17</f>
        <v/>
      </c>
      <c r="B93">
        <f>Skills!B17</f>
        <v/>
      </c>
      <c r="C93">
        <f>Inputs!$B$3&gt;=66</f>
        <v/>
      </c>
      <c r="D93">
        <f>IF(Skills!C17=1,60+Inputs!$B$25+Inputs!$B$29,IF(Skills!C17=2,90+Inputs!$B$26+Inputs!$B$29,IF(Skills!C17=3,120+Inputs!$B$27+Inputs!$B$29,MAX(0,(Inputs!$B$3-100)*3)+Inputs!$B$28+Inputs!$B$29)))</f>
        <v/>
      </c>
      <c r="E93">
        <f>INDEX(FactorTable!$B$2:$Y$301, MATCH(ROUND(MIN(300,MAX(1,D93)),0), FactorTable!$A$2:$A$301,0), Skills!M17+1)</f>
        <v/>
      </c>
      <c r="F93">
        <f>IF(Skills!N17=TRUE,(Skills!L17/10)*(E93/1000),Skills!L17/10)+Skills!O17</f>
        <v/>
      </c>
      <c r="G93">
        <f>Skills!G17*IF(Skills!H17&gt;0,Skills!I17/Skills!H17,1)</f>
        <v/>
      </c>
      <c r="H93">
        <f>1-(1-Skills!J17/100)^Skills!K17</f>
        <v/>
      </c>
      <c r="I93" t="inlineStr">
        <is>
          <t>1</t>
        </is>
      </c>
      <c r="J93" t="inlineStr"/>
      <c r="K93" t="inlineStr"/>
      <c r="L93" t="inlineStr"/>
      <c r="M93" t="inlineStr"/>
      <c r="N93" t="inlineStr"/>
      <c r="O93">
        <f>(1-Summary!$B$55)*T93+Summary!$B$55*V93</f>
        <v/>
      </c>
      <c r="P93">
        <f>IF(B116=0,0,O93/B116)</f>
        <v/>
      </c>
      <c r="Q93" t="n">
        <v>0</v>
      </c>
      <c r="R93" t="n">
        <v>0</v>
      </c>
      <c r="S93">
        <f>IFERROR(O93/N93,0)</f>
        <v/>
      </c>
      <c r="T93" t="n">
        <v>0</v>
      </c>
      <c r="V93" t="n">
        <v>0</v>
      </c>
    </row>
    <row r="94">
      <c r="A94">
        <f>Skills!A18</f>
        <v/>
      </c>
      <c r="B94">
        <f>Skills!B18</f>
        <v/>
      </c>
      <c r="C94">
        <f>Inputs!$B$3&gt;=115</f>
        <v/>
      </c>
      <c r="D94">
        <f>IF(Skills!C18=1,60+Inputs!$B$25+Inputs!$B$29,IF(Skills!C18=2,90+Inputs!$B$26+Inputs!$B$29,IF(Skills!C18=3,120+Inputs!$B$27+Inputs!$B$29,MAX(0,(Inputs!$B$3-100)*3)+Inputs!$B$28+Inputs!$B$29)))</f>
        <v/>
      </c>
      <c r="E94">
        <f>INDEX(FactorTable!$B$2:$Y$301, MATCH(ROUND(MIN(300,MAX(1,D94)),0), FactorTable!$A$2:$A$301,0), Skills!M18+1)</f>
        <v/>
      </c>
      <c r="F94">
        <f>IF(Skills!N18=TRUE,(Skills!L18/10)*(E94/1000),Skills!L18/10)+Skills!O18</f>
        <v/>
      </c>
      <c r="G94">
        <f>Skills!G18*IF(Skills!H18&gt;0,Skills!I18/Skills!H18,1)</f>
        <v/>
      </c>
      <c r="H94">
        <f>1-(1-Skills!J18/100)^Skills!K18</f>
        <v/>
      </c>
      <c r="I94" t="inlineStr">
        <is>
          <t>1</t>
        </is>
      </c>
      <c r="J94" t="inlineStr"/>
      <c r="K94" t="inlineStr"/>
      <c r="L94" t="inlineStr"/>
      <c r="M94" t="inlineStr"/>
      <c r="N94" t="inlineStr"/>
      <c r="O94">
        <f>(1-Summary!$B$55)*T94+Summary!$B$55*V94</f>
        <v/>
      </c>
      <c r="P94">
        <f>IF(B116=0,0,O94/B116)</f>
        <v/>
      </c>
      <c r="Q94" t="n">
        <v>0</v>
      </c>
      <c r="R94" t="n">
        <v>0</v>
      </c>
      <c r="S94">
        <f>IFERROR(O94/N94,0)</f>
        <v/>
      </c>
      <c r="T94" t="n">
        <v>0</v>
      </c>
      <c r="V94" t="n">
        <v>0</v>
      </c>
    </row>
    <row r="95">
      <c r="A95">
        <f>Skills!A19</f>
        <v/>
      </c>
      <c r="B95">
        <f>Skills!B19</f>
        <v/>
      </c>
      <c r="C95">
        <f>Inputs!$B$3&gt;=15</f>
        <v/>
      </c>
      <c r="D95">
        <f>IF(Skills!C19=1,60+Inputs!$B$25+Inputs!$B$29,IF(Skills!C19=2,90+Inputs!$B$26+Inputs!$B$29,IF(Skills!C19=3,120+Inputs!$B$27+Inputs!$B$29,MAX(0,(Inputs!$B$3-100)*3)+Inputs!$B$28+Inputs!$B$29)))</f>
        <v/>
      </c>
      <c r="E95">
        <f>INDEX(FactorTable!$B$2:$Y$301, MATCH(ROUND(MIN(300,MAX(1,D95)),0), FactorTable!$A$2:$A$301,0), Skills!M19+1)</f>
        <v/>
      </c>
      <c r="F95">
        <f>IF(Skills!N19=TRUE,(Skills!L19/10)*(E95/1000),Skills!L19/10)+Skills!O19</f>
        <v/>
      </c>
      <c r="G95">
        <f>Skills!G19*IF(Skills!H19&gt;0,Skills!I19/Skills!H19,1)</f>
        <v/>
      </c>
      <c r="H95">
        <f>1-(1-Skills!J19/100)^Skills!K19</f>
        <v/>
      </c>
      <c r="I95" t="inlineStr">
        <is>
          <t>1</t>
        </is>
      </c>
      <c r="J95" t="inlineStr"/>
      <c r="K95" t="inlineStr"/>
      <c r="L95" t="inlineStr"/>
      <c r="M95" t="inlineStr"/>
      <c r="N95" t="inlineStr"/>
      <c r="O95">
        <f>(1-Summary!$B$55)*T95+Summary!$B$55*V95</f>
        <v/>
      </c>
      <c r="P95">
        <f>IF(B116=0,0,O95/B116)</f>
        <v/>
      </c>
      <c r="Q95" t="n">
        <v>0</v>
      </c>
      <c r="R95" t="n">
        <v>0</v>
      </c>
      <c r="S95">
        <f>IFERROR(O95/N95,0)</f>
        <v/>
      </c>
      <c r="T95" t="n">
        <v>0</v>
      </c>
      <c r="V95" t="n">
        <v>0</v>
      </c>
    </row>
    <row r="96">
      <c r="A96">
        <f>Skills!A20</f>
        <v/>
      </c>
      <c r="B96">
        <f>Skills!B20</f>
        <v/>
      </c>
      <c r="C96">
        <f>Inputs!$B$3&gt;=10</f>
        <v/>
      </c>
      <c r="D96">
        <f>IF(Skills!C20=1,60+Inputs!$B$25+Inputs!$B$29,IF(Skills!C20=2,90+Inputs!$B$26+Inputs!$B$29,IF(Skills!C20=3,120+Inputs!$B$27+Inputs!$B$29,MAX(0,(Inputs!$B$3-100)*3)+Inputs!$B$28+Inputs!$B$29)))</f>
        <v/>
      </c>
      <c r="E96">
        <f>INDEX(FactorTable!$B$2:$Y$301, MATCH(ROUND(MIN(300,MAX(1,D96)),0), FactorTable!$A$2:$A$301,0), Skills!M20+1)</f>
        <v/>
      </c>
      <c r="F96">
        <f>IF(Skills!N20=TRUE,(Skills!L20/10)*(E96/1000),Skills!L20/10)+Skills!O20</f>
        <v/>
      </c>
      <c r="G96">
        <f>Skills!G20*IF(Skills!H20&gt;0,Skills!I20/Skills!H20,1)</f>
        <v/>
      </c>
      <c r="H96">
        <f>1-(1-Skills!J20/100)^Skills!K20</f>
        <v/>
      </c>
      <c r="I96" t="inlineStr">
        <is>
          <t>1</t>
        </is>
      </c>
      <c r="J96" t="inlineStr"/>
      <c r="K96" t="inlineStr"/>
      <c r="L96" t="inlineStr"/>
      <c r="M96" t="inlineStr"/>
      <c r="N96" t="inlineStr"/>
      <c r="O96">
        <f>(1-Summary!$B$55)*T96+Summary!$B$55*V96</f>
        <v/>
      </c>
      <c r="P96">
        <f>IF(B116=0,0,O96/B116)</f>
        <v/>
      </c>
      <c r="Q96" t="n">
        <v>0</v>
      </c>
      <c r="R96" t="n">
        <v>0</v>
      </c>
      <c r="S96">
        <f>IFERROR(O96/N96,0)</f>
        <v/>
      </c>
      <c r="T96" t="n">
        <v>0</v>
      </c>
      <c r="V96" t="n">
        <v>0</v>
      </c>
    </row>
    <row r="97">
      <c r="A97">
        <f>Skills!A21</f>
        <v/>
      </c>
      <c r="B97">
        <f>Skills!B21</f>
        <v/>
      </c>
      <c r="C97">
        <f>Inputs!$B$3&gt;=33</f>
        <v/>
      </c>
      <c r="D97">
        <f>IF(Skills!C21=1,60+Inputs!$B$25+Inputs!$B$29,IF(Skills!C21=2,90+Inputs!$B$26+Inputs!$B$29,IF(Skills!C21=3,120+Inputs!$B$27+Inputs!$B$29,MAX(0,(Inputs!$B$3-100)*3)+Inputs!$B$28+Inputs!$B$29)))</f>
        <v/>
      </c>
      <c r="E97">
        <f>INDEX(FactorTable!$B$2:$Y$301, MATCH(ROUND(MIN(300,MAX(1,D97)),0), FactorTable!$A$2:$A$301,0), Skills!M21+1)</f>
        <v/>
      </c>
      <c r="F97">
        <f>IF(Skills!N21=TRUE,(Skills!L21/10)*(E97/1000),Skills!L21/10)+Skills!O21</f>
        <v/>
      </c>
      <c r="G97">
        <f>Skills!G21*IF(Skills!H21&gt;0,Skills!I21/Skills!H21,1)</f>
        <v/>
      </c>
      <c r="H97">
        <f>1-(1-Skills!J21/100)^Skills!K21</f>
        <v/>
      </c>
      <c r="I97" t="inlineStr">
        <is>
          <t>1</t>
        </is>
      </c>
      <c r="J97" t="inlineStr"/>
      <c r="K97" t="inlineStr"/>
      <c r="L97" t="inlineStr"/>
      <c r="M97" t="inlineStr"/>
      <c r="N97" t="inlineStr"/>
      <c r="O97">
        <f>(1-Summary!$B$55)*T97+Summary!$B$55*V97</f>
        <v/>
      </c>
      <c r="P97">
        <f>IF(B116=0,0,O97/B116)</f>
        <v/>
      </c>
      <c r="Q97" t="n">
        <v>0</v>
      </c>
      <c r="R97" t="n">
        <v>0</v>
      </c>
      <c r="S97">
        <f>IFERROR(O97/N97,0)</f>
        <v/>
      </c>
      <c r="T97" t="n">
        <v>0</v>
      </c>
      <c r="V97" t="n">
        <v>0</v>
      </c>
    </row>
    <row r="98">
      <c r="A98">
        <f>Skills!A22</f>
        <v/>
      </c>
      <c r="B98">
        <f>Skills!B22</f>
        <v/>
      </c>
      <c r="C98">
        <f>Inputs!$B$3&gt;=43</f>
        <v/>
      </c>
      <c r="D98">
        <f>IF(Skills!C22=1,60+Inputs!$B$25+Inputs!$B$29,IF(Skills!C22=2,90+Inputs!$B$26+Inputs!$B$29,IF(Skills!C22=3,120+Inputs!$B$27+Inputs!$B$29,MAX(0,(Inputs!$B$3-100)*3)+Inputs!$B$28+Inputs!$B$29)))</f>
        <v/>
      </c>
      <c r="E98">
        <f>INDEX(FactorTable!$B$2:$Y$301, MATCH(ROUND(MIN(300,MAX(1,D98)),0), FactorTable!$A$2:$A$301,0), Skills!M22+1)</f>
        <v/>
      </c>
      <c r="F98">
        <f>IF(Skills!N22=TRUE,(Skills!L22/10)*(E98/1000),Skills!L22/10)+Skills!O22</f>
        <v/>
      </c>
      <c r="G98">
        <f>Skills!G22*IF(Skills!H22&gt;0,Skills!I22/Skills!H22,1)</f>
        <v/>
      </c>
      <c r="H98">
        <f>1-(1-Skills!J22/100)^Skills!K22</f>
        <v/>
      </c>
      <c r="I98" t="inlineStr">
        <is>
          <t>1</t>
        </is>
      </c>
      <c r="J98" t="inlineStr"/>
      <c r="K98" t="inlineStr"/>
      <c r="L98" t="inlineStr"/>
      <c r="M98" t="inlineStr"/>
      <c r="N98" t="inlineStr"/>
      <c r="O98">
        <f>(1-Summary!$B$55)*T98+Summary!$B$55*V98</f>
        <v/>
      </c>
      <c r="P98">
        <f>IF(B116=0,0,O98/B116)</f>
        <v/>
      </c>
      <c r="Q98" t="n">
        <v>0</v>
      </c>
      <c r="R98" t="n">
        <v>0</v>
      </c>
      <c r="S98">
        <f>IFERROR(O98/N98,0)</f>
        <v/>
      </c>
      <c r="T98" t="n">
        <v>0</v>
      </c>
      <c r="V98" t="n">
        <v>0</v>
      </c>
    </row>
    <row r="99">
      <c r="A99">
        <f>Skills!A23</f>
        <v/>
      </c>
      <c r="B99">
        <f>Skills!B23</f>
        <v/>
      </c>
      <c r="C99">
        <f>Inputs!$B$3&gt;=38</f>
        <v/>
      </c>
      <c r="D99">
        <f>IF(Skills!C23=1,60+Inputs!$B$25+Inputs!$B$29,IF(Skills!C23=2,90+Inputs!$B$26+Inputs!$B$29,IF(Skills!C23=3,120+Inputs!$B$27+Inputs!$B$29,MAX(0,(Inputs!$B$3-100)*3)+Inputs!$B$28+Inputs!$B$29)))</f>
        <v/>
      </c>
      <c r="E99">
        <f>INDEX(FactorTable!$B$2:$Y$301, MATCH(ROUND(MIN(300,MAX(1,D99)),0), FactorTable!$A$2:$A$301,0), Skills!M23+1)</f>
        <v/>
      </c>
      <c r="F99">
        <f>IF(Skills!N23=TRUE,(Skills!L23/10)*(E99/1000),Skills!L23/10)+Skills!O23</f>
        <v/>
      </c>
      <c r="G99">
        <f>Skills!G23*IF(Skills!H23&gt;0,Skills!I23/Skills!H23,1)</f>
        <v/>
      </c>
      <c r="H99">
        <f>1-(1-Skills!J23/100)^Skills!K23</f>
        <v/>
      </c>
      <c r="I99" t="inlineStr">
        <is>
          <t>1</t>
        </is>
      </c>
      <c r="J99" t="inlineStr"/>
      <c r="K99" t="inlineStr"/>
      <c r="L99" t="inlineStr"/>
      <c r="M99" t="inlineStr"/>
      <c r="N99" t="inlineStr"/>
      <c r="O99">
        <f>(1-Summary!$B$55)*T99+Summary!$B$55*V99</f>
        <v/>
      </c>
      <c r="P99">
        <f>IF(B116=0,0,O99/B116)</f>
        <v/>
      </c>
      <c r="Q99" t="n">
        <v>0</v>
      </c>
      <c r="R99" t="n">
        <v>0</v>
      </c>
      <c r="S99">
        <f>IFERROR(O99/N99,0)</f>
        <v/>
      </c>
      <c r="T99" t="n">
        <v>0</v>
      </c>
      <c r="V99" t="n">
        <v>0</v>
      </c>
    </row>
    <row r="100">
      <c r="A100">
        <f>Skills!A24</f>
        <v/>
      </c>
      <c r="B100">
        <f>Skills!B24</f>
        <v/>
      </c>
      <c r="C100">
        <f>Inputs!$B$3&gt;=40</f>
        <v/>
      </c>
      <c r="D100">
        <f>IF(Skills!C24=1,60+Inputs!$B$25+Inputs!$B$29,IF(Skills!C24=2,90+Inputs!$B$26+Inputs!$B$29,IF(Skills!C24=3,120+Inputs!$B$27+Inputs!$B$29,MAX(0,(Inputs!$B$3-100)*3)+Inputs!$B$28+Inputs!$B$29)))</f>
        <v/>
      </c>
      <c r="E100">
        <f>INDEX(FactorTable!$B$2:$Y$301, MATCH(ROUND(MIN(300,MAX(1,D100)),0), FactorTable!$A$2:$A$301,0), Skills!M24+1)</f>
        <v/>
      </c>
      <c r="F100">
        <f>IF(Skills!N24=TRUE,(Skills!L24/10)*(E100/1000),Skills!L24/10)+Skills!O24</f>
        <v/>
      </c>
      <c r="G100">
        <f>Skills!G24*IF(Skills!H24&gt;0,Skills!I24/Skills!H24,1)</f>
        <v/>
      </c>
      <c r="H100">
        <f>1-(1-Skills!J24/100)^Skills!K24</f>
        <v/>
      </c>
      <c r="I100" t="inlineStr">
        <is>
          <t>1</t>
        </is>
      </c>
      <c r="J100" t="inlineStr"/>
      <c r="K100" t="inlineStr"/>
      <c r="L100" t="inlineStr"/>
      <c r="M100" t="inlineStr"/>
      <c r="N100" t="inlineStr"/>
      <c r="O100">
        <f>(1-Summary!$B$55)*T100+Summary!$B$55*V100</f>
        <v/>
      </c>
      <c r="P100">
        <f>IF(B116=0,0,O100/B116)</f>
        <v/>
      </c>
      <c r="Q100" t="n">
        <v>0</v>
      </c>
      <c r="R100" t="n">
        <v>0</v>
      </c>
      <c r="S100">
        <f>IFERROR(O100/N100,0)</f>
        <v/>
      </c>
      <c r="T100" t="n">
        <v>0</v>
      </c>
      <c r="V100" t="n">
        <v>0</v>
      </c>
    </row>
    <row r="101">
      <c r="A101">
        <f>Skills!A25</f>
        <v/>
      </c>
      <c r="B101">
        <f>Skills!B25</f>
        <v/>
      </c>
      <c r="C101">
        <f>Inputs!$B$3&gt;=72</f>
        <v/>
      </c>
      <c r="D101">
        <f>IF(Skills!C25=1,60+Inputs!$B$25+Inputs!$B$29,IF(Skills!C25=2,90+Inputs!$B$26+Inputs!$B$29,IF(Skills!C25=3,120+Inputs!$B$27+Inputs!$B$29,MAX(0,(Inputs!$B$3-100)*3)+Inputs!$B$28+Inputs!$B$29)))</f>
        <v/>
      </c>
      <c r="E101">
        <f>INDEX(FactorTable!$B$2:$Y$301, MATCH(ROUND(MIN(300,MAX(1,D101)),0), FactorTable!$A$2:$A$301,0), Skills!M25+1)</f>
        <v/>
      </c>
      <c r="F101">
        <f>IF(Skills!N25=TRUE,(Skills!L25/10)*(E101/1000),Skills!L25/10)+Skills!O25</f>
        <v/>
      </c>
      <c r="G101">
        <f>Skills!G25*IF(Skills!H25&gt;0,Skills!I25/Skills!H25,1)</f>
        <v/>
      </c>
      <c r="H101">
        <f>1-(1-Skills!J25/100)^Skills!K25</f>
        <v/>
      </c>
      <c r="I101" t="inlineStr">
        <is>
          <t>1</t>
        </is>
      </c>
      <c r="J101" t="inlineStr"/>
      <c r="K101" t="inlineStr"/>
      <c r="L101" t="inlineStr"/>
      <c r="M101" t="inlineStr"/>
      <c r="N101" t="inlineStr"/>
      <c r="O101">
        <f>(1-Summary!$B$55)*T101+Summary!$B$55*V101</f>
        <v/>
      </c>
      <c r="P101">
        <f>IF(B116=0,0,O101/B116)</f>
        <v/>
      </c>
      <c r="Q101" t="n">
        <v>0</v>
      </c>
      <c r="R101" t="n">
        <v>0</v>
      </c>
      <c r="S101">
        <f>IFERROR(O101/N101,0)</f>
        <v/>
      </c>
      <c r="T101" t="n">
        <v>0</v>
      </c>
      <c r="V101" t="n">
        <v>0</v>
      </c>
    </row>
    <row r="102">
      <c r="A102">
        <f>Skills!A26</f>
        <v/>
      </c>
      <c r="B102">
        <f>Skills!B26</f>
        <v/>
      </c>
      <c r="C102">
        <f>Inputs!$B$3&gt;=75</f>
        <v/>
      </c>
      <c r="D102">
        <f>IF(Skills!C26=1,60+Inputs!$B$25+Inputs!$B$29,IF(Skills!C26=2,90+Inputs!$B$26+Inputs!$B$29,IF(Skills!C26=3,120+Inputs!$B$27+Inputs!$B$29,MAX(0,(Inputs!$B$3-100)*3)+Inputs!$B$28+Inputs!$B$29)))</f>
        <v/>
      </c>
      <c r="E102">
        <f>INDEX(FactorTable!$B$2:$Y$301, MATCH(ROUND(MIN(300,MAX(1,D102)),0), FactorTable!$A$2:$A$301,0), Skills!M26+1)</f>
        <v/>
      </c>
      <c r="F102">
        <f>IF(Skills!N26=TRUE,(Skills!L26/10)*(E102/1000),Skills!L26/10)+Skills!O26</f>
        <v/>
      </c>
      <c r="G102">
        <f>Skills!G26*IF(Skills!H26&gt;0,Skills!I26/Skills!H26,1)</f>
        <v/>
      </c>
      <c r="H102">
        <f>1-(1-Skills!J26/100)^Skills!K26</f>
        <v/>
      </c>
      <c r="I102" t="inlineStr">
        <is>
          <t>1</t>
        </is>
      </c>
      <c r="J102" t="inlineStr"/>
      <c r="K102" t="inlineStr"/>
      <c r="L102" t="inlineStr"/>
      <c r="M102" t="inlineStr"/>
      <c r="N102" t="inlineStr"/>
      <c r="O102">
        <f>(1-Summary!$B$55)*T102+Summary!$B$55*V102</f>
        <v/>
      </c>
      <c r="P102">
        <f>IF(B116=0,0,O102/B116)</f>
        <v/>
      </c>
      <c r="Q102" t="n">
        <v>0</v>
      </c>
      <c r="R102" t="n">
        <v>0</v>
      </c>
      <c r="S102">
        <f>IFERROR(O102/N102,0)</f>
        <v/>
      </c>
      <c r="T102" t="n">
        <v>0</v>
      </c>
      <c r="V102" t="n">
        <v>0</v>
      </c>
    </row>
    <row r="103">
      <c r="A103">
        <f>Skills!A27</f>
        <v/>
      </c>
      <c r="B103">
        <f>Skills!B27</f>
        <v/>
      </c>
      <c r="C103">
        <f>Inputs!$B$3&gt;=117</f>
        <v/>
      </c>
      <c r="D103">
        <f>IF(Skills!C27=1,60+Inputs!$B$25+Inputs!$B$29,IF(Skills!C27=2,90+Inputs!$B$26+Inputs!$B$29,IF(Skills!C27=3,120+Inputs!$B$27+Inputs!$B$29,MAX(0,(Inputs!$B$3-100)*3)+Inputs!$B$28+Inputs!$B$29)))</f>
        <v/>
      </c>
      <c r="E103">
        <f>INDEX(FactorTable!$B$2:$Y$301, MATCH(ROUND(MIN(300,MAX(1,D103)),0), FactorTable!$A$2:$A$301,0), Skills!M27+1)</f>
        <v/>
      </c>
      <c r="F103">
        <f>IF(Skills!N27=TRUE,(Skills!L27/10)*(E103/1000),Skills!L27/10)+Skills!O27</f>
        <v/>
      </c>
      <c r="G103">
        <f>Skills!G27*IF(Skills!H27&gt;0,Skills!I27/Skills!H27,1)</f>
        <v/>
      </c>
      <c r="H103">
        <f>1-(1-Skills!J27/100)^Skills!K27</f>
        <v/>
      </c>
      <c r="I103" t="inlineStr">
        <is>
          <t>1</t>
        </is>
      </c>
      <c r="J103" t="inlineStr"/>
      <c r="K103" t="inlineStr"/>
      <c r="L103" t="inlineStr"/>
      <c r="M103" t="inlineStr"/>
      <c r="N103" t="inlineStr"/>
      <c r="O103">
        <f>(1-Summary!$B$55)*T103+Summary!$B$55*V103</f>
        <v/>
      </c>
      <c r="P103">
        <f>IF(B116=0,0,O103/B116)</f>
        <v/>
      </c>
      <c r="Q103" t="n">
        <v>0</v>
      </c>
      <c r="R103" t="n">
        <v>0</v>
      </c>
      <c r="S103">
        <f>IFERROR(O103/N103,0)</f>
        <v/>
      </c>
      <c r="T103" t="n">
        <v>0</v>
      </c>
      <c r="V103" t="n">
        <v>0</v>
      </c>
    </row>
    <row r="105">
      <c r="A105" t="inlineStr">
        <is>
          <t>Attack% Bucket Multiplier</t>
        </is>
      </c>
      <c r="B105">
        <f>(1+(((C93=TRUE)*F93)+((C100=TRUE)*(F100-Calc!F24)))/100)</f>
        <v/>
      </c>
    </row>
    <row r="106">
      <c r="A106" t="inlineStr">
        <is>
          <t>Global Crit Rate Bonus %</t>
        </is>
      </c>
      <c r="B106" t="n">
        <v>0</v>
      </c>
    </row>
    <row r="107">
      <c r="A107" t="inlineStr">
        <is>
          <t>Attack Speed Buff Bonus % (unused)</t>
        </is>
      </c>
      <c r="B107" t="n">
        <v>0</v>
      </c>
    </row>
    <row r="108">
      <c r="A108" t="inlineStr">
        <is>
          <t>Actions Per Second</t>
        </is>
      </c>
      <c r="B108">
        <f>1+MIN(150,150*(1-(1-(Inputs!$B$11+((C96=TRUE)*(F96-Calc!F20))+((C97=TRUE)*(F97-Calc!F21)))/150)*(1-B107/150)))/100</f>
        <v/>
      </c>
    </row>
    <row r="109">
      <c r="A109" t="inlineStr">
        <is>
          <t>Skill + Buff Cast Rate</t>
        </is>
      </c>
      <c r="B109">
        <f>IF(AND(Inputs!$B$38&lt;&gt;"pvp",Inputs!$B$43&gt;0),SUMPRODUCT((Skills!E2:E27=TRUE)*(C78:C103=TRUE)*R78:R103*Skills!F2:F27)/Inputs!$B$43,SUMPRODUCT((Skills!E2:E27=TRUE)*(C78:C103=TRUE)*Q78:Q103*Skills!F2:F27))</f>
        <v/>
      </c>
    </row>
    <row r="110">
      <c r="A110" t="inlineStr">
        <is>
          <t>Eight-Legs Easton Casts Per Second</t>
        </is>
      </c>
      <c r="B110">
        <f>MAX(0,B108-B109)</f>
        <v/>
      </c>
    </row>
    <row r="111">
      <c r="A111" t="inlineStr">
        <is>
          <t>Global Critical Damage Bonus % (unused)</t>
        </is>
      </c>
      <c r="B111" t="n">
        <v>0</v>
      </c>
    </row>
    <row r="112">
      <c r="A112" t="inlineStr">
        <is>
          <t>Global Final Damage Bonus % (Jolly Roger only)</t>
        </is>
      </c>
      <c r="B112">
        <f>((C94=TRUE)*F94)</f>
        <v/>
      </c>
    </row>
    <row r="113">
      <c r="A113" t="inlineStr">
        <is>
          <t>Buff-Casting Startup Delay (s, fixed-duration only)</t>
        </is>
      </c>
      <c r="B113">
        <f>IF(AND(Inputs!$B$38&lt;&gt;"pvp",Inputs!$B$43&gt;0),SUMPRODUCT((Skills!T2:T27&gt;0)*(Skills!E2:E27=TRUE)*(C78:C103=TRUE))/B108,0)</f>
        <v/>
      </c>
    </row>
    <row r="114">
      <c r="A114" t="inlineStr">
        <is>
          <t>Boss-Only Total DPS (this block's swept value)</t>
        </is>
      </c>
      <c r="B114">
        <f>SUM(T78:T103)</f>
        <v/>
      </c>
    </row>
    <row r="115">
      <c r="A115" t="inlineStr">
        <is>
          <t>Normal-Only Total DPS (this block's swept value)</t>
        </is>
      </c>
      <c r="B115">
        <f>SUM(V78:V103)</f>
        <v/>
      </c>
    </row>
    <row r="116">
      <c r="A116" s="5" t="inlineStr">
        <is>
          <t>TOTAL DPS</t>
        </is>
      </c>
      <c r="B116" s="5">
        <f>SUM(O78:O103)</f>
        <v/>
      </c>
    </row>
    <row r="119">
      <c r="A119" s="5" t="inlineStr">
        <is>
          <t>Stat: STR</t>
        </is>
      </c>
    </row>
    <row r="120">
      <c r="A120" s="9" t="inlineStr">
        <is>
          <t>Key</t>
        </is>
      </c>
      <c r="B120" s="9" t="inlineStr">
        <is>
          <t>Name</t>
        </is>
      </c>
      <c r="C120" s="9" t="inlineStr">
        <is>
          <t>Unlocked</t>
        </is>
      </c>
      <c r="D120" s="9" t="inlineStr">
        <is>
          <t>InputLevel</t>
        </is>
      </c>
      <c r="E120" s="9" t="inlineStr">
        <is>
          <t>Factor</t>
        </is>
      </c>
      <c r="F120" s="9" t="inlineStr">
        <is>
          <t>CoefficientPercent</t>
        </is>
      </c>
      <c r="G120" s="9" t="inlineStr">
        <is>
          <t>EffectiveHits</t>
        </is>
      </c>
      <c r="H120" s="9" t="inlineStr">
        <is>
          <t>ProcProbability</t>
        </is>
      </c>
      <c r="I120" s="9" t="inlineStr">
        <is>
          <t>MapleHeroMultiplier</t>
        </is>
      </c>
      <c r="J120" s="9" t="inlineStr">
        <is>
          <t>BaseDamage</t>
        </is>
      </c>
      <c r="K120" s="9" t="inlineStr">
        <is>
          <t>BaseHitDamage</t>
        </is>
      </c>
      <c r="L120" s="9" t="inlineStr">
        <is>
          <t>NonCritAvg</t>
        </is>
      </c>
      <c r="M120" s="9" t="inlineStr">
        <is>
          <t>CritAvg</t>
        </is>
      </c>
      <c r="N120" s="9" t="inlineStr">
        <is>
          <t>ExpectedDamage(perHit)</t>
        </is>
      </c>
      <c r="O120" s="9" t="inlineStr">
        <is>
          <t>DPS</t>
        </is>
      </c>
      <c r="P120" s="9" t="inlineStr">
        <is>
          <t>% of Total</t>
        </is>
      </c>
      <c r="Q120" s="9" t="inlineStr">
        <is>
          <t>InvCooldown</t>
        </is>
      </c>
      <c r="R120" s="9" t="inlineStr">
        <is>
          <t>CastsInFight</t>
        </is>
      </c>
      <c r="S120" s="9" t="inlineStr">
        <is>
          <t>HitRate(perSec)</t>
        </is>
      </c>
      <c r="U120" t="inlineStr">
        <is>
          <t>helpers</t>
        </is>
      </c>
    </row>
    <row r="121">
      <c r="A121">
        <f>Skills!A2</f>
        <v/>
      </c>
      <c r="B121">
        <f>Skills!B2</f>
        <v/>
      </c>
      <c r="C121">
        <f>Inputs!$B$3&gt;=100</f>
        <v/>
      </c>
      <c r="D121" t="inlineStr"/>
      <c r="E121" t="inlineStr"/>
      <c r="F121">
        <f>U123+Skills!O2</f>
        <v/>
      </c>
      <c r="G121">
        <f>Skills!G2*IF(Skills!H2&gt;0,Skills!I2/Skills!H2,1)</f>
        <v/>
      </c>
      <c r="H121">
        <f>1-(1-Skills!J2/100)^Skills!K2</f>
        <v/>
      </c>
      <c r="I121" t="inlineStr">
        <is>
          <t>1</t>
        </is>
      </c>
      <c r="J121">
        <f>((Inputs!$B$6*(1+Inputs!$B$7/100))+(((Inputs!$B$12*(1+Inputs!$B$13/100))-(Inputs!$B$12*(1+Inputs!$B$13/100)))+0.25*((Inputs!$B$14+1)-Inputs!$B$14))*(1+Inputs!$B$7/100))*(F121/100)</f>
        <v/>
      </c>
      <c r="K121">
        <f>J121*(1+((Inputs!$B$12*(1+Inputs!$B$13/100))*0.01+(Inputs!$B$14+1)*0.0025)/100)*(1+Inputs!$B$15/100)*(1+Inputs!$B$16/100)*(5000/(6000+Inputs!$B$42*(1-(Inputs!$B$19+0)/100)))*(1+(Inputs!$B$24+((C145=TRUE)*(F145-Calc!F26))+B155)/100)*(1+(IF(Skills!A2="EIGHT_LEGS_EASTON",Inputs!$B$17+((C142=TRUE)*(F142-Calc!F23))+((C146=TRUE)*(F146-Calc!F27)),Inputs!$B$18+0))/100)*((1+(((C136=TRUE)*F136)+((C143=TRUE)*(F143-Calc!F24)))/100)*I121)</f>
        <v/>
      </c>
      <c r="L121">
        <f>K121*(MIN(Inputs!$B$22+((C141=TRUE)*(F141-Calc!F22)),Inputs!$B$23+0)/100+(Inputs!$B$23+0)/100)/2</f>
        <v/>
      </c>
      <c r="M121">
        <f>L121*(1+(Inputs!$B$10+((C144=TRUE)*(F144-Calc!F25))+B154)/100)</f>
        <v/>
      </c>
      <c r="N121">
        <f>L121*(1-MIN((Inputs!$B$9+((C138=TRUE)*(F138-Calc!F19))+B149),100)/100)+M121*(MIN((Inputs!$B$9+((C138=TRUE)*(F138-Calc!F19))+B149),100)/100)</f>
        <v/>
      </c>
      <c r="O121">
        <f>(1-Summary!$B$55)*T121+Summary!$B$55*V121</f>
        <v/>
      </c>
      <c r="P121">
        <f>IF(B159=0,0,O121/B159)</f>
        <v/>
      </c>
      <c r="Q121" t="n">
        <v>0</v>
      </c>
      <c r="R121" t="n">
        <v>0</v>
      </c>
      <c r="S121">
        <f>IFERROR(O121/N121,0)</f>
        <v/>
      </c>
      <c r="T121">
        <f>IF(C121,(Skills!G2*N121*B153)*IF(Inputs!$B$38="pvp",1,1+(Inputs!$B$20+0+Skills!P2)/100),0)</f>
        <v/>
      </c>
      <c r="U121">
        <f>MAX(0,(Inputs!$B$3-100)*3)+Inputs!$B$28+Inputs!$B$29</f>
        <v/>
      </c>
      <c r="V121">
        <f>IF(C121,(Skills!G2*N121*B153)*IF(Inputs!$B$38="pvp",1,(1+(Inputs!$B$21+Skills!Q2)/100)*(MIN((6+Inputs!$B$33),Inputs!$B$37))),0)</f>
        <v/>
      </c>
    </row>
    <row r="122">
      <c r="A122">
        <f>Skills!A3</f>
        <v/>
      </c>
      <c r="B122">
        <f>Skills!B3</f>
        <v/>
      </c>
      <c r="C122">
        <f>Inputs!$B$3&gt;=35</f>
        <v/>
      </c>
      <c r="D122">
        <f>IF(Skills!C3=1,60+Inputs!$B$25+Inputs!$B$29,IF(Skills!C3=2,90+Inputs!$B$26+Inputs!$B$29,IF(Skills!C3=3,120+Inputs!$B$27+Inputs!$B$29,MAX(0,(Inputs!$B$3-100)*3)+Inputs!$B$28+Inputs!$B$29)))</f>
        <v/>
      </c>
      <c r="E122">
        <f>INDEX(FactorTable!$B$2:$Y$301, MATCH(ROUND(MIN(300,MAX(1,D122)),0), FactorTable!$A$2:$A$301,0), Skills!M3+1)</f>
        <v/>
      </c>
      <c r="F122">
        <f>IF(Skills!N3=TRUE,(Skills!L3/10)*(E122/1000),Skills!L3/10)+Skills!O3</f>
        <v/>
      </c>
      <c r="G122">
        <f>Skills!G3*IF(Skills!H3&gt;0,Skills!I3/Skills!H3,1)</f>
        <v/>
      </c>
      <c r="H122">
        <f>1-(1-Skills!J3/100)^Skills!K3</f>
        <v/>
      </c>
      <c r="I122" t="inlineStr">
        <is>
          <t>1</t>
        </is>
      </c>
      <c r="J122">
        <f>((Inputs!$B$6*(1+Inputs!$B$7/100))+(((Inputs!$B$12*(1+Inputs!$B$13/100))-(Inputs!$B$12*(1+Inputs!$B$13/100)))+0.25*((Inputs!$B$14+1)-Inputs!$B$14))*(1+Inputs!$B$7/100))*(F122/100)</f>
        <v/>
      </c>
      <c r="K122">
        <f>J122*(1+((Inputs!$B$12*(1+Inputs!$B$13/100))*0.01+(Inputs!$B$14+1)*0.0025)/100)*(1+Inputs!$B$15/100)*(1+Inputs!$B$16/100)*(5000/(6000+Inputs!$B$42*(1-(Inputs!$B$19+0)/100)))*(1+(Inputs!$B$24+((C145=TRUE)*(F145-Calc!F26))+B155)/100)*(1+4.0*IF(C134=TRUE,F134,0)/100)*(1+(IF(Skills!A3="EIGHT_LEGS_EASTON",Inputs!$B$17+((C142=TRUE)*(F142-Calc!F23))+((C146=TRUE)*(F146-Calc!F27)),Inputs!$B$18+0))/100)*((1+(((C136=TRUE)*F136)+((C143=TRUE)*(F143-Calc!F24)))/100)*I122)</f>
        <v/>
      </c>
      <c r="L122">
        <f>K122*(MIN(Inputs!$B$22+((C141=TRUE)*(F141-Calc!F22)),Inputs!$B$23+0)/100+(Inputs!$B$23+0)/100)/2</f>
        <v/>
      </c>
      <c r="M122">
        <f>L122*(1+(Inputs!$B$10+((C144=TRUE)*(F144-Calc!F25))+B154)/100)</f>
        <v/>
      </c>
      <c r="N122">
        <f>L122*(1-MIN((Inputs!$B$9+((C138=TRUE)*(F138-Calc!F19))+B149),100)/100)+M122*(MIN((Inputs!$B$9+((C138=TRUE)*(F138-Calc!F19))+B149),100)/100)</f>
        <v/>
      </c>
      <c r="O122">
        <f>(1-Summary!$B$55)*T122+Summary!$B$55*V122</f>
        <v/>
      </c>
      <c r="P122">
        <f>IF(B159=0,0,O122/B159)</f>
        <v/>
      </c>
      <c r="Q122">
        <f>IFERROR(1/IF(Inputs!$B$38="pvp",15,MAX(0.1,Skills!D3-IF(Skills!E3=TRUE,Inputs!$B$32,0))),0)</f>
        <v/>
      </c>
      <c r="R122">
        <f>IF(AND(Inputs!$B$38&lt;&gt;"pvp",Inputs!$B$43&gt;0),IF(MAX(0,Inputs!$B$43-B156)&lt;=0,0,(INT(MAX(0,Inputs!$B$43-B156)/IF(Inputs!$B$38="pvp",15,MAX(0.1,Skills!D3-IF(Skills!E3=TRUE,Inputs!$B$32,0))))+1)),0)</f>
        <v/>
      </c>
      <c r="S122">
        <f>IFERROR(O122/N122,0)</f>
        <v/>
      </c>
      <c r="T122">
        <f>IF(C122,(H122*N122*IF(AND(Inputs!$B$38&lt;&gt;"pvp",Inputs!$B$43&gt;0),((Skills!G3*((R122-1)*IF(Skills!H3&gt;0,Skills!I3/Skills!H3,1)+IF(Skills!H3&gt;0,MIN(Skills!I3,MAX(0,MAX(0,Inputs!$B$43-B156)-((R122-1)*IF(Inputs!$B$38="pvp",15,MAX(0.1,Skills!D3-IF(Skills!E3=TRUE,Inputs!$B$32,0))))))/Skills!H3,1)))/Inputs!$B$43),G122*Q122))*IF(Inputs!$B$38="pvp",1,1+(Inputs!$B$20+0+Skills!P3)/100),0)</f>
        <v/>
      </c>
      <c r="U122">
        <f>INDEX(FactorTable!$B$2:$Y$301, MATCH(ROUND(MIN(300,MAX(1,U121)),0), FactorTable!$A$2:$A$301,0), 22)</f>
        <v/>
      </c>
      <c r="V122">
        <f>IF(C122,(H122*N122*IF(AND(Inputs!$B$38&lt;&gt;"pvp",Inputs!$B$43&gt;0),((Skills!G3*((R122-1)*IF(Skills!H3&gt;0,Skills!I3/Skills!H3,1)+IF(Skills!H3&gt;0,MIN(Skills!I3,MAX(0,MAX(0,Inputs!$B$43-B156)-((R122-1)*IF(Inputs!$B$38="pvp",15,MAX(0.1,Skills!D3-IF(Skills!E3=TRUE,Inputs!$B$32,0))))))/Skills!H3,1)))/Inputs!$B$43),G122*Q122))*IF(Inputs!$B$38="pvp",1,(1+(Inputs!$B$21+Skills!Q3)/100)*(MIN(Skills!R3,Inputs!$B$37))),0)</f>
        <v/>
      </c>
    </row>
    <row r="123">
      <c r="A123">
        <f>Skills!A4</f>
        <v/>
      </c>
      <c r="B123">
        <f>Skills!B4</f>
        <v/>
      </c>
      <c r="C123">
        <f>Inputs!$B$3&gt;=40</f>
        <v/>
      </c>
      <c r="D123">
        <f>IF(Skills!C4=1,60+Inputs!$B$25+Inputs!$B$29,IF(Skills!C4=2,90+Inputs!$B$26+Inputs!$B$29,IF(Skills!C4=3,120+Inputs!$B$27+Inputs!$B$29,MAX(0,(Inputs!$B$3-100)*3)+Inputs!$B$28+Inputs!$B$29)))</f>
        <v/>
      </c>
      <c r="E123">
        <f>INDEX(FactorTable!$B$2:$Y$301, MATCH(ROUND(MIN(300,MAX(1,D123)),0), FactorTable!$A$2:$A$301,0), Skills!M4+1)</f>
        <v/>
      </c>
      <c r="F123">
        <f>IF(Skills!N4=TRUE,(Skills!L4/10)*(E123/1000),Skills!L4/10)+Skills!O4</f>
        <v/>
      </c>
      <c r="G123">
        <f>Skills!G4*IF(Skills!H4&gt;0,Skills!I4/Skills!H4,1)</f>
        <v/>
      </c>
      <c r="H123">
        <f>1-(1-Skills!J4/100)^Skills!K4</f>
        <v/>
      </c>
      <c r="I123" t="inlineStr">
        <is>
          <t>1</t>
        </is>
      </c>
      <c r="J123">
        <f>((Inputs!$B$6*(1+Inputs!$B$7/100))+(((Inputs!$B$12*(1+Inputs!$B$13/100))-(Inputs!$B$12*(1+Inputs!$B$13/100)))+0.25*((Inputs!$B$14+1)-Inputs!$B$14))*(1+Inputs!$B$7/100))*(F123/100)</f>
        <v/>
      </c>
      <c r="K123">
        <f>J123*(1+((Inputs!$B$12*(1+Inputs!$B$13/100))*0.01+(Inputs!$B$14+1)*0.0025)/100)*(1+Inputs!$B$15/100)*(1+Inputs!$B$16/100)*(5000/(6000+Inputs!$B$42*(1-(Inputs!$B$19+0)/100)))*(1+(Inputs!$B$24+((C145=TRUE)*(F145-Calc!F26))+B155)/100)*(1+1.0*IF(C135=TRUE,F135,0)/100)*(1+(IF(Skills!A4="EIGHT_LEGS_EASTON",Inputs!$B$17+((C142=TRUE)*(F142-Calc!F23))+((C146=TRUE)*(F146-Calc!F27)),Inputs!$B$18+0))/100)*((1+(((C136=TRUE)*F136)+((C143=TRUE)*(F143-Calc!F24)))/100)*I123)</f>
        <v/>
      </c>
      <c r="L123">
        <f>K123*(MIN(Inputs!$B$22+((C141=TRUE)*(F141-Calc!F22)),Inputs!$B$23+0)/100+(Inputs!$B$23+0)/100)/2</f>
        <v/>
      </c>
      <c r="M123">
        <f>L123*(1+(Inputs!$B$10+((C144=TRUE)*(F144-Calc!F25))+B154)/100)</f>
        <v/>
      </c>
      <c r="N123">
        <f>L123*(1-MIN((Inputs!$B$9+((C138=TRUE)*(F138-Calc!F19))+B149),100)/100)+M123*(MIN((Inputs!$B$9+((C138=TRUE)*(F138-Calc!F19))+B149),100)/100)</f>
        <v/>
      </c>
      <c r="O123">
        <f>(1-Summary!$B$55)*T123+Summary!$B$55*V123</f>
        <v/>
      </c>
      <c r="P123">
        <f>IF(B159=0,0,O123/B159)</f>
        <v/>
      </c>
      <c r="Q123">
        <f>IFERROR(1/IF(Inputs!$B$38="pvp",15,MAX(0.1,Skills!D4-IF(Skills!E4=TRUE,Inputs!$B$32,0))),0)</f>
        <v/>
      </c>
      <c r="R123">
        <f>IF(AND(Inputs!$B$38&lt;&gt;"pvp",Inputs!$B$43&gt;0),IF(MAX(0,Inputs!$B$43-B156)&lt;=0,0,(INT(MAX(0,Inputs!$B$43-B156)/IF(Inputs!$B$38="pvp",15,MAX(0.1,Skills!D4-IF(Skills!E4=TRUE,Inputs!$B$32,0))))+1)),0)</f>
        <v/>
      </c>
      <c r="S123">
        <f>IFERROR(O123/N123,0)</f>
        <v/>
      </c>
      <c r="T123">
        <f>IF(C123,(H123*N123*IF(AND(Inputs!$B$38&lt;&gt;"pvp",Inputs!$B$43&gt;0),((Skills!G4*((R123-1)*IF(Skills!H4&gt;0,Skills!I4/Skills!H4,1)+IF(Skills!H4&gt;0,MIN(Skills!I4,MAX(0,MAX(0,Inputs!$B$43-B156)-((R123-1)*IF(Inputs!$B$38="pvp",15,MAX(0.1,Skills!D4-IF(Skills!E4=TRUE,Inputs!$B$32,0))))))/Skills!H4,1)))/Inputs!$B$43),G123*Q123))*IF(Inputs!$B$38="pvp",1,1+(Inputs!$B$20+0+Skills!P4)/100),0)</f>
        <v/>
      </c>
      <c r="U123">
        <f>290*U122/1000</f>
        <v/>
      </c>
      <c r="V123">
        <f>IF(C123,(H123*N123*IF(AND(Inputs!$B$38&lt;&gt;"pvp",Inputs!$B$43&gt;0),((Skills!G4*((R123-1)*IF(Skills!H4&gt;0,Skills!I4/Skills!H4,1)+IF(Skills!H4&gt;0,MIN(Skills!I4,MAX(0,MAX(0,Inputs!$B$43-B156)-((R123-1)*IF(Inputs!$B$38="pvp",15,MAX(0.1,Skills!D4-IF(Skills!E4=TRUE,Inputs!$B$32,0))))))/Skills!H4,1)))/Inputs!$B$43),G123*Q123))*IF(Inputs!$B$38="pvp",1,(1+(Inputs!$B$21+Skills!Q4)/100)*(MIN(Skills!R4,Inputs!$B$37))),0)</f>
        <v/>
      </c>
    </row>
    <row r="124">
      <c r="A124">
        <f>Skills!A5</f>
        <v/>
      </c>
      <c r="B124">
        <f>Skills!B5</f>
        <v/>
      </c>
      <c r="C124">
        <f>Inputs!$B$3&gt;=45</f>
        <v/>
      </c>
      <c r="D124">
        <f>IF(Skills!C5=1,60+Inputs!$B$25+Inputs!$B$29,IF(Skills!C5=2,90+Inputs!$B$26+Inputs!$B$29,IF(Skills!C5=3,120+Inputs!$B$27+Inputs!$B$29,MAX(0,(Inputs!$B$3-100)*3)+Inputs!$B$28+Inputs!$B$29)))</f>
        <v/>
      </c>
      <c r="E124">
        <f>INDEX(FactorTable!$B$2:$Y$301, MATCH(ROUND(MIN(300,MAX(1,D124)),0), FactorTable!$A$2:$A$301,0), Skills!M5+1)</f>
        <v/>
      </c>
      <c r="F124">
        <f>IF(Skills!N5=TRUE,(Skills!L5/10)*(E124/1000),Skills!L5/10)+Skills!O5</f>
        <v/>
      </c>
      <c r="G124">
        <f>Skills!G5*IF(Skills!H5&gt;0,Skills!I5/Skills!H5,1)</f>
        <v/>
      </c>
      <c r="H124">
        <f>1-(1-Skills!J5/100)^Skills!K5</f>
        <v/>
      </c>
      <c r="I124" t="inlineStr">
        <is>
          <t>1</t>
        </is>
      </c>
      <c r="J124">
        <f>((Inputs!$B$6*(1+Inputs!$B$7/100))+(((Inputs!$B$12*(1+Inputs!$B$13/100))-(Inputs!$B$12*(1+Inputs!$B$13/100)))+0.25*((Inputs!$B$14+1)-Inputs!$B$14))*(1+Inputs!$B$7/100))*(F124/100)</f>
        <v/>
      </c>
      <c r="K124">
        <f>J124*(1+((Inputs!$B$12*(1+Inputs!$B$13/100))*0.01+(Inputs!$B$14+1)*0.0025)/100)*(1+Inputs!$B$15/100)*(1+Inputs!$B$16/100)*(5000/(6000+Inputs!$B$42*(1-(Inputs!$B$19+0)/100)))*(1+(Inputs!$B$24+((C145=TRUE)*(F145-Calc!F26))+B155)/100)*(1+0.4*IF(C135=TRUE,F135,0)/100)*(1+(IF(Skills!A5="EIGHT_LEGS_EASTON",Inputs!$B$17+((C142=TRUE)*(F142-Calc!F23))+((C146=TRUE)*(F146-Calc!F27)),Inputs!$B$18+0))/100)*((1+(((C136=TRUE)*F136)+((C143=TRUE)*(F143-Calc!F24)))/100)*I124)</f>
        <v/>
      </c>
      <c r="L124">
        <f>K124*(MIN(Inputs!$B$22+((C141=TRUE)*(F141-Calc!F22)),Inputs!$B$23+0)/100+(Inputs!$B$23+0)/100)/2</f>
        <v/>
      </c>
      <c r="M124">
        <f>L124*(1+(Inputs!$B$10+((C144=TRUE)*(F144-Calc!F25))+B154)/100)</f>
        <v/>
      </c>
      <c r="N124">
        <f>L124*(1-MIN((Inputs!$B$9+((C138=TRUE)*(F138-Calc!F19))+B149),100)/100)+M124*(MIN((Inputs!$B$9+((C138=TRUE)*(F138-Calc!F19))+B149),100)/100)</f>
        <v/>
      </c>
      <c r="O124">
        <f>(1-Summary!$B$55)*T124+Summary!$B$55*V124</f>
        <v/>
      </c>
      <c r="P124">
        <f>IF(B159=0,0,O124/B159)</f>
        <v/>
      </c>
      <c r="Q124">
        <f>IFERROR(1/IF(Inputs!$B$38="pvp",15,MAX(0.1,Skills!D5-IF(Skills!E5=TRUE,Inputs!$B$32,0))),0)</f>
        <v/>
      </c>
      <c r="R124">
        <f>IF(AND(Inputs!$B$38&lt;&gt;"pvp",Inputs!$B$43&gt;0),IF(MAX(0,Inputs!$B$43-B156)&lt;=0,0,(INT(MAX(0,Inputs!$B$43-B156)/IF(Inputs!$B$38="pvp",15,MAX(0.1,Skills!D5-IF(Skills!E5=TRUE,Inputs!$B$32,0))))+1)),0)</f>
        <v/>
      </c>
      <c r="S124">
        <f>IFERROR(O124/N124,0)</f>
        <v/>
      </c>
      <c r="T124">
        <f>IF(C124,(H124*N124*IF(AND(Inputs!$B$38&lt;&gt;"pvp",Inputs!$B$43&gt;0),((Skills!G5*((R124-1)*IF(Skills!H5&gt;0,Skills!I5/Skills!H5,1)+IF(Skills!H5&gt;0,MIN(Skills!I5,MAX(0,MAX(0,Inputs!$B$43-B156)-((R124-1)*IF(Inputs!$B$38="pvp",15,MAX(0.1,Skills!D5-IF(Skills!E5=TRUE,Inputs!$B$32,0))))))/Skills!H5,1)))/Inputs!$B$43),G124*Q124))*IF(Inputs!$B$38="pvp",1,1+(Inputs!$B$20+0+Skills!P5)/100),0)</f>
        <v/>
      </c>
      <c r="V124">
        <f>IF(C124,(H124*N124*IF(AND(Inputs!$B$38&lt;&gt;"pvp",Inputs!$B$43&gt;0),((Skills!G5*((R124-1)*IF(Skills!H5&gt;0,Skills!I5/Skills!H5,1)+IF(Skills!H5&gt;0,MIN(Skills!I5,MAX(0,MAX(0,Inputs!$B$43-B156)-((R124-1)*IF(Inputs!$B$38="pvp",15,MAX(0.1,Skills!D5-IF(Skills!E5=TRUE,Inputs!$B$32,0))))))/Skills!H5,1)))/Inputs!$B$43),G124*Q124))*IF(Inputs!$B$38="pvp",1,(1+(Inputs!$B$21+Skills!Q5)/100)*(MIN(Skills!R5,Inputs!$B$37))),0)</f>
        <v/>
      </c>
    </row>
    <row r="125">
      <c r="A125">
        <f>Skills!A6</f>
        <v/>
      </c>
      <c r="B125">
        <f>Skills!B6</f>
        <v/>
      </c>
      <c r="C125">
        <f>Inputs!$B$3&gt;=63</f>
        <v/>
      </c>
      <c r="D125">
        <f>IF(Skills!C6=1,60+Inputs!$B$25+Inputs!$B$29,IF(Skills!C6=2,90+Inputs!$B$26+Inputs!$B$29,IF(Skills!C6=3,120+Inputs!$B$27+Inputs!$B$29,MAX(0,(Inputs!$B$3-100)*3)+Inputs!$B$28+Inputs!$B$29)))</f>
        <v/>
      </c>
      <c r="E125">
        <f>INDEX(FactorTable!$B$2:$Y$301, MATCH(ROUND(MIN(300,MAX(1,D125)),0), FactorTable!$A$2:$A$301,0), Skills!M6+1)</f>
        <v/>
      </c>
      <c r="F125">
        <f>IF(Skills!N6=TRUE,(Skills!L6/10)*(E125/1000),Skills!L6/10)+Skills!O6</f>
        <v/>
      </c>
      <c r="G125">
        <f>Skills!G6*IF(Skills!H6&gt;0,Skills!I6/Skills!H6,1)</f>
        <v/>
      </c>
      <c r="H125">
        <f>1-(1-Skills!J6/100)^Skills!K6</f>
        <v/>
      </c>
      <c r="I125" t="inlineStr">
        <is>
          <t>1</t>
        </is>
      </c>
      <c r="J125">
        <f>((Inputs!$B$6*(1+Inputs!$B$7/100))+(((Inputs!$B$12*(1+Inputs!$B$13/100))-(Inputs!$B$12*(1+Inputs!$B$13/100)))+0.25*((Inputs!$B$14+1)-Inputs!$B$14))*(1+Inputs!$B$7/100))*(F125/100)</f>
        <v/>
      </c>
      <c r="K125">
        <f>J125*(1+((Inputs!$B$12*(1+Inputs!$B$13/100))*0.01+(Inputs!$B$14+1)*0.0025)/100)*(1+Inputs!$B$15/100)*(1+Inputs!$B$16/100)*(5000/(6000+Inputs!$B$42*(1-(Inputs!$B$19+0)/100)))*(1+(Inputs!$B$24+((C145=TRUE)*(F145-Calc!F26))+B155)/100)*(1+2.0*IF(C134=TRUE,F134,0)/100)*(1+(IF(Skills!A6="EIGHT_LEGS_EASTON",Inputs!$B$17+((C142=TRUE)*(F142-Calc!F23))+((C146=TRUE)*(F146-Calc!F27)),Inputs!$B$18+0))/100)*((1+(((C136=TRUE)*F136)+((C143=TRUE)*(F143-Calc!F24)))/100)*I125)</f>
        <v/>
      </c>
      <c r="L125">
        <f>K125*(MIN(Inputs!$B$22+((C141=TRUE)*(F141-Calc!F22)),Inputs!$B$23+0)/100+(Inputs!$B$23+0)/100)/2</f>
        <v/>
      </c>
      <c r="M125">
        <f>L125*(1+(Inputs!$B$10+((C144=TRUE)*(F144-Calc!F25))+B154)/100)</f>
        <v/>
      </c>
      <c r="N125">
        <f>L125*(1-MIN((Inputs!$B$9+((C138=TRUE)*(F138-Calc!F19))+B149),100)/100)+M125*(MIN((Inputs!$B$9+((C138=TRUE)*(F138-Calc!F19))+B149),100)/100)</f>
        <v/>
      </c>
      <c r="O125">
        <f>(1-Summary!$B$55)*T125+Summary!$B$55*V125</f>
        <v/>
      </c>
      <c r="P125">
        <f>IF(B159=0,0,O125/B159)</f>
        <v/>
      </c>
      <c r="Q125">
        <f>IFERROR(1/IF(Inputs!$B$38="pvp",15,MAX(0.1,Skills!D6-IF(Skills!E6=TRUE,Inputs!$B$32,0))),0)</f>
        <v/>
      </c>
      <c r="R125">
        <f>IF(AND(Inputs!$B$38&lt;&gt;"pvp",Inputs!$B$43&gt;0),IF(MAX(0,Inputs!$B$43-B156)&lt;=0,0,(INT(MAX(0,Inputs!$B$43-B156)/IF(Inputs!$B$38="pvp",15,MAX(0.1,Skills!D6-IF(Skills!E6=TRUE,Inputs!$B$32,0))))+1)),0)</f>
        <v/>
      </c>
      <c r="S125">
        <f>IFERROR(O125/N125,0)</f>
        <v/>
      </c>
      <c r="T125">
        <f>IF(C125,(H125*N125*IF(AND(Inputs!$B$38&lt;&gt;"pvp",Inputs!$B$43&gt;0),((Skills!G6*((R125-1)*IF(Skills!H6&gt;0,Skills!I6/Skills!H6,1)+IF(Skills!H6&gt;0,MIN(Skills!I6,MAX(0,MAX(0,Inputs!$B$43-B156)-((R125-1)*IF(Inputs!$B$38="pvp",15,MAX(0.1,Skills!D6-IF(Skills!E6=TRUE,Inputs!$B$32,0))))))/Skills!H6,1)))/Inputs!$B$43),G125*Q125))*IF(Inputs!$B$38="pvp",1,1+(Inputs!$B$20+0+Skills!P6)/100),0)</f>
        <v/>
      </c>
      <c r="V125">
        <f>IF(C125,(H125*N125*IF(AND(Inputs!$B$38&lt;&gt;"pvp",Inputs!$B$43&gt;0),((Skills!G6*((R125-1)*IF(Skills!H6&gt;0,Skills!I6/Skills!H6,1)+IF(Skills!H6&gt;0,MIN(Skills!I6,MAX(0,MAX(0,Inputs!$B$43-B156)-((R125-1)*IF(Inputs!$B$38="pvp",15,MAX(0.1,Skills!D6-IF(Skills!E6=TRUE,Inputs!$B$32,0))))))/Skills!H6,1)))/Inputs!$B$43),G125*Q125))*IF(Inputs!$B$38="pvp",1,(1+(Inputs!$B$21+Skills!Q6)/100)*(MIN(Skills!R6,Inputs!$B$37))),0)</f>
        <v/>
      </c>
    </row>
    <row r="126">
      <c r="A126">
        <f>Skills!A7</f>
        <v/>
      </c>
      <c r="B126">
        <f>Skills!B7</f>
        <v/>
      </c>
      <c r="C126">
        <f>Inputs!$B$3&gt;=66</f>
        <v/>
      </c>
      <c r="D126">
        <f>IF(Skills!C7=1,60+Inputs!$B$25+Inputs!$B$29,IF(Skills!C7=2,90+Inputs!$B$26+Inputs!$B$29,IF(Skills!C7=3,120+Inputs!$B$27+Inputs!$B$29,MAX(0,(Inputs!$B$3-100)*3)+Inputs!$B$28+Inputs!$B$29)))</f>
        <v/>
      </c>
      <c r="E126">
        <f>INDEX(FactorTable!$B$2:$Y$301, MATCH(ROUND(MIN(300,MAX(1,D126)),0), FactorTable!$A$2:$A$301,0), Skills!M7+1)</f>
        <v/>
      </c>
      <c r="F126">
        <f>IF(Skills!N7=TRUE,(Skills!L7/10)*(E126/1000),Skills!L7/10)+Skills!O7</f>
        <v/>
      </c>
      <c r="G126">
        <f>Skills!G7*IF(Skills!H7&gt;0,Skills!I7/Skills!H7,1)</f>
        <v/>
      </c>
      <c r="H126">
        <f>1-(1-Skills!J7/100)^Skills!K7</f>
        <v/>
      </c>
      <c r="I126" t="inlineStr">
        <is>
          <t>1</t>
        </is>
      </c>
      <c r="J126">
        <f>((Inputs!$B$6*(1+Inputs!$B$7/100))+(((Inputs!$B$12*(1+Inputs!$B$13/100))-(Inputs!$B$12*(1+Inputs!$B$13/100)))+0.25*((Inputs!$B$14+1)-Inputs!$B$14))*(1+Inputs!$B$7/100))*(F126/100)</f>
        <v/>
      </c>
      <c r="K126">
        <f>J126*(1+((Inputs!$B$12*(1+Inputs!$B$13/100))*0.01+(Inputs!$B$14+1)*0.0025)/100)*(1+Inputs!$B$15/100)*(1+Inputs!$B$16/100)*(5000/(6000+Inputs!$B$42*(1-(Inputs!$B$19+0)/100)))*(1+(Inputs!$B$24+((C145=TRUE)*(F145-Calc!F26))+B155)/100)*(1+1.0*IF(C134=TRUE,F134,0)/100)*(1+(IF(Skills!A7="EIGHT_LEGS_EASTON",Inputs!$B$17+((C142=TRUE)*(F142-Calc!F23))+((C146=TRUE)*(F146-Calc!F27)),Inputs!$B$18+0))/100)*((1+(((C136=TRUE)*F136)+((C143=TRUE)*(F143-Calc!F24)))/100)*I126)</f>
        <v/>
      </c>
      <c r="L126">
        <f>K126*(MIN(Inputs!$B$22+((C141=TRUE)*(F141-Calc!F22)),Inputs!$B$23+0)/100+(Inputs!$B$23+0)/100)/2</f>
        <v/>
      </c>
      <c r="M126">
        <f>L126*(1+(Inputs!$B$10+((C144=TRUE)*(F144-Calc!F25))+B154)/100)</f>
        <v/>
      </c>
      <c r="N126">
        <f>L126*(1-MIN((Inputs!$B$9+((C138=TRUE)*(F138-Calc!F19))+B149),100)/100)+M126*(MIN((Inputs!$B$9+((C138=TRUE)*(F138-Calc!F19))+B149),100)/100)</f>
        <v/>
      </c>
      <c r="O126">
        <f>(1-Summary!$B$55)*T126+Summary!$B$55*V126</f>
        <v/>
      </c>
      <c r="P126">
        <f>IF(B159=0,0,O126/B159)</f>
        <v/>
      </c>
      <c r="Q126">
        <f>IFERROR(1/IF(Inputs!$B$38="pvp",15,MAX(0.1,Skills!D7-IF(Skills!E7=TRUE,Inputs!$B$32,0))),0)</f>
        <v/>
      </c>
      <c r="R126">
        <f>IF(AND(Inputs!$B$38&lt;&gt;"pvp",Inputs!$B$43&gt;0),IF(MAX(0,Inputs!$B$43-B156)&lt;=0,0,(INT(MAX(0,Inputs!$B$43-B156)/IF(Inputs!$B$38="pvp",15,MAX(0.1,Skills!D7-IF(Skills!E7=TRUE,Inputs!$B$32,0))))+1)),0)</f>
        <v/>
      </c>
      <c r="S126">
        <f>IFERROR(O126/N126,0)</f>
        <v/>
      </c>
      <c r="T126">
        <f>IF(C126,(H126*N126*IF(AND(Inputs!$B$38&lt;&gt;"pvp",Inputs!$B$43&gt;0),((Skills!G7*((R126-1)*IF(Skills!H7&gt;0,Skills!I7/Skills!H7,1)+IF(Skills!H7&gt;0,MIN(Skills!I7,MAX(0,MAX(0,Inputs!$B$43-B156)-((R126-1)*IF(Inputs!$B$38="pvp",15,MAX(0.1,Skills!D7-IF(Skills!E7=TRUE,Inputs!$B$32,0))))))/Skills!H7,1)))/Inputs!$B$43),G126*Q126))*IF(Inputs!$B$38="pvp",1,1+(Inputs!$B$20+0+Skills!P7)/100),0)</f>
        <v/>
      </c>
      <c r="V126">
        <f>IF(C126,(H126*N126*IF(AND(Inputs!$B$38&lt;&gt;"pvp",Inputs!$B$43&gt;0),((Skills!G7*((R126-1)*IF(Skills!H7&gt;0,Skills!I7/Skills!H7,1)+IF(Skills!H7&gt;0,MIN(Skills!I7,MAX(0,MAX(0,Inputs!$B$43-B156)-((R126-1)*IF(Inputs!$B$38="pvp",15,MAX(0.1,Skills!D7-IF(Skills!E7=TRUE,Inputs!$B$32,0))))))/Skills!H7,1)))/Inputs!$B$43),G126*Q126))*IF(Inputs!$B$38="pvp",1,(1+(Inputs!$B$21+Skills!Q7)/100)*(MIN(Skills!R7,Inputs!$B$37))),0)</f>
        <v/>
      </c>
    </row>
    <row r="127">
      <c r="A127">
        <f>Skills!A8</f>
        <v/>
      </c>
      <c r="B127">
        <f>Skills!B8</f>
        <v/>
      </c>
      <c r="C127">
        <f>Inputs!$B$3&gt;=100</f>
        <v/>
      </c>
      <c r="D127">
        <f>IF(Skills!C8=1,60+Inputs!$B$25+Inputs!$B$29,IF(Skills!C8=2,90+Inputs!$B$26+Inputs!$B$29,IF(Skills!C8=3,120+Inputs!$B$27+Inputs!$B$29,MAX(0,(Inputs!$B$3-100)*3)+Inputs!$B$28+Inputs!$B$29)))</f>
        <v/>
      </c>
      <c r="E127">
        <f>INDEX(FactorTable!$B$2:$Y$301, MATCH(ROUND(MIN(300,MAX(1,D127)),0), FactorTable!$A$2:$A$301,0), Skills!M8+1)</f>
        <v/>
      </c>
      <c r="F127">
        <f>IF(Skills!N8=TRUE,(Skills!L8/10)*(E127/1000),Skills!L8/10)+Skills!O8</f>
        <v/>
      </c>
      <c r="G127">
        <f>Skills!G8*IF(Skills!H8&gt;0,Skills!I8/Skills!H8,1)</f>
        <v/>
      </c>
      <c r="H127">
        <f>1-(1-Skills!J8/100)^Skills!K8</f>
        <v/>
      </c>
      <c r="I127" t="inlineStr">
        <is>
          <t>1</t>
        </is>
      </c>
      <c r="J127">
        <f>((Inputs!$B$6*(1+Inputs!$B$7/100))+(((Inputs!$B$12*(1+Inputs!$B$13/100))-(Inputs!$B$12*(1+Inputs!$B$13/100)))+0.25*((Inputs!$B$14+1)-Inputs!$B$14))*(1+Inputs!$B$7/100))*(F127/100)</f>
        <v/>
      </c>
      <c r="K127">
        <f>J127*(1+((Inputs!$B$12*(1+Inputs!$B$13/100))*0.01+(Inputs!$B$14+1)*0.0025)/100)*(1+Inputs!$B$15/100)*(1+Inputs!$B$16/100)*(5000/(6000+Inputs!$B$42*(1-(Inputs!$B$19+0)/100)))*(1+(Inputs!$B$24+((C145=TRUE)*(F145-Calc!F26))+B155)/100)*(1+(IF(Skills!A8="EIGHT_LEGS_EASTON",Inputs!$B$17+((C142=TRUE)*(F142-Calc!F23))+((C146=TRUE)*(F146-Calc!F27)),Inputs!$B$18+0))/100)*((1+(((C136=TRUE)*F136)+((C143=TRUE)*(F143-Calc!F24)))/100)*I127)</f>
        <v/>
      </c>
      <c r="L127">
        <f>K127*(MIN(Inputs!$B$22+((C141=TRUE)*(F141-Calc!F22)),Inputs!$B$23+0)/100+(Inputs!$B$23+0)/100)/2</f>
        <v/>
      </c>
      <c r="M127">
        <f>L127*(1+(Inputs!$B$10+((C144=TRUE)*(F144-Calc!F25))+B154)/100)</f>
        <v/>
      </c>
      <c r="N127">
        <f>L127*(1-MIN((Inputs!$B$9+((C138=TRUE)*(F138-Calc!F19))+B149),100)/100)+M127*(MIN((Inputs!$B$9+((C138=TRUE)*(F138-Calc!F19))+B149),100)/100)</f>
        <v/>
      </c>
      <c r="O127">
        <f>(1-Summary!$B$55)*T127+Summary!$B$55*V127</f>
        <v/>
      </c>
      <c r="P127">
        <f>IF(B159=0,0,O127/B159)</f>
        <v/>
      </c>
      <c r="Q127">
        <f>IFERROR(1/IF(Inputs!$B$38="pvp",15,MAX(0.1,Skills!D8-IF(Skills!E8=TRUE,Inputs!$B$32,0))),0)</f>
        <v/>
      </c>
      <c r="R127">
        <f>IF(AND(Inputs!$B$38&lt;&gt;"pvp",Inputs!$B$43&gt;0),IF(MAX(0,Inputs!$B$43-B156)&lt;=0,0,(INT(MAX(0,Inputs!$B$43-B156)/IF(Inputs!$B$38="pvp",15,MAX(0.1,Skills!D8-IF(Skills!E8=TRUE,Inputs!$B$32,0))))+1)),0)</f>
        <v/>
      </c>
      <c r="S127">
        <f>IFERROR(O127/N127,0)</f>
        <v/>
      </c>
      <c r="T127">
        <f>IF(C127,(H127*N127*IF(AND(Inputs!$B$38&lt;&gt;"pvp",Inputs!$B$43&gt;0),((Skills!G8*((R127-1)*IF(Skills!H8&gt;0,Skills!I8/Skills!H8,1)+IF(Skills!H8&gt;0,MIN(Skills!I8,MAX(0,MAX(0,Inputs!$B$43-B156)-((R127-1)*IF(Inputs!$B$38="pvp",15,MAX(0.1,Skills!D8-IF(Skills!E8=TRUE,Inputs!$B$32,0))))))/Skills!H8,1)))/Inputs!$B$43),G127*Q127))*IF(Inputs!$B$38="pvp",1,1+(Inputs!$B$20+0+Skills!P8)/100),0)</f>
        <v/>
      </c>
      <c r="V127">
        <f>IF(C127,(H127*N127*IF(AND(Inputs!$B$38&lt;&gt;"pvp",Inputs!$B$43&gt;0),((Skills!G8*((R127-1)*IF(Skills!H8&gt;0,Skills!I8/Skills!H8,1)+IF(Skills!H8&gt;0,MIN(Skills!I8,MAX(0,MAX(0,Inputs!$B$43-B156)-((R127-1)*IF(Inputs!$B$38="pvp",15,MAX(0.1,Skills!D8-IF(Skills!E8=TRUE,Inputs!$B$32,0))))))/Skills!H8,1)))/Inputs!$B$43),G127*Q127))*IF(Inputs!$B$38="pvp",1,(1+(Inputs!$B$21+Skills!Q8)/100)*(MIN(Skills!R8,Inputs!$B$37))),0)</f>
        <v/>
      </c>
    </row>
    <row r="128">
      <c r="A128">
        <f>Skills!A9</f>
        <v/>
      </c>
      <c r="B128">
        <f>Skills!B9</f>
        <v/>
      </c>
      <c r="C128">
        <f>Inputs!$B$3&gt;=103</f>
        <v/>
      </c>
      <c r="D128">
        <f>IF(Skills!C9=1,60+Inputs!$B$25+Inputs!$B$29,IF(Skills!C9=2,90+Inputs!$B$26+Inputs!$B$29,IF(Skills!C9=3,120+Inputs!$B$27+Inputs!$B$29,MAX(0,(Inputs!$B$3-100)*3)+Inputs!$B$28+Inputs!$B$29)))</f>
        <v/>
      </c>
      <c r="E128">
        <f>INDEX(FactorTable!$B$2:$Y$301, MATCH(ROUND(MIN(300,MAX(1,D128)),0), FactorTable!$A$2:$A$301,0), Skills!M9+1)</f>
        <v/>
      </c>
      <c r="F128">
        <f>IF(Skills!N9=TRUE,(Skills!L9/10)*(E128/1000),Skills!L9/10)+Skills!O9</f>
        <v/>
      </c>
      <c r="G128">
        <f>Skills!G9*IF(Skills!H9&gt;0,Skills!I9/Skills!H9,1)</f>
        <v/>
      </c>
      <c r="H128">
        <f>1-(1-Skills!J9/100)^Skills!K9</f>
        <v/>
      </c>
      <c r="I128" t="inlineStr">
        <is>
          <t>1</t>
        </is>
      </c>
      <c r="J128">
        <f>((Inputs!$B$6*(1+Inputs!$B$7/100))+(((Inputs!$B$12*(1+Inputs!$B$13/100))-(Inputs!$B$12*(1+Inputs!$B$13/100)))+0.25*((Inputs!$B$14+1)-Inputs!$B$14))*(1+Inputs!$B$7/100))*(F128/100)</f>
        <v/>
      </c>
      <c r="K128">
        <f>J128*(1+((Inputs!$B$12*(1+Inputs!$B$13/100))*0.01+(Inputs!$B$14+1)*0.0025)/100)*(1+Inputs!$B$15/100)*(1+Inputs!$B$16/100)*(5000/(6000+Inputs!$B$42*(1-(Inputs!$B$19+0)/100)))*(1+(Inputs!$B$24+((C145=TRUE)*(F145-Calc!F26))+B155)/100)*(1+(IF(Skills!A9="EIGHT_LEGS_EASTON",Inputs!$B$17+((C142=TRUE)*(F142-Calc!F23))+((C146=TRUE)*(F146-Calc!F27)),Inputs!$B$18+0))/100)*((1+(((C136=TRUE)*F136)+((C143=TRUE)*(F143-Calc!F24)))/100)*I128)</f>
        <v/>
      </c>
      <c r="L128">
        <f>K128*(MIN(Inputs!$B$22+((C141=TRUE)*(F141-Calc!F22)),Inputs!$B$23+0)/100+(Inputs!$B$23+0)/100)/2</f>
        <v/>
      </c>
      <c r="M128">
        <f>L128*(1+(Inputs!$B$10+((C144=TRUE)*(F144-Calc!F25))+B154)/100)</f>
        <v/>
      </c>
      <c r="N128">
        <f>L128*(1-MIN((Inputs!$B$9+((C138=TRUE)*(F138-Calc!F19))+B149),100)/100)+M128*(MIN((Inputs!$B$9+((C138=TRUE)*(F138-Calc!F19))+B149),100)/100)</f>
        <v/>
      </c>
      <c r="O128">
        <f>(1-Summary!$B$55)*T128+Summary!$B$55*V128</f>
        <v/>
      </c>
      <c r="P128">
        <f>IF(B159=0,0,O128/B159)</f>
        <v/>
      </c>
      <c r="Q128">
        <f>IFERROR(1/IF(Inputs!$B$38="pvp",15,MAX(0.1,Skills!D9-IF(Skills!E9=TRUE,Inputs!$B$32,0))),0)</f>
        <v/>
      </c>
      <c r="R128">
        <f>IF(AND(Inputs!$B$38&lt;&gt;"pvp",Inputs!$B$43&gt;0),IF(MAX(0,Inputs!$B$43-B156)&lt;=0,0,(INT(MAX(0,Inputs!$B$43-B156)/IF(Inputs!$B$38="pvp",15,MAX(0.1,Skills!D9-IF(Skills!E9=TRUE,Inputs!$B$32,0))))+1)),0)</f>
        <v/>
      </c>
      <c r="S128">
        <f>IFERROR(O128/N128,0)</f>
        <v/>
      </c>
      <c r="T128">
        <f>IF(C128,(H128*N128*IF(AND(Inputs!$B$38&lt;&gt;"pvp",Inputs!$B$43&gt;0),((Skills!G9*((R128-1)*IF(Skills!H9&gt;0,Skills!I9/Skills!H9,1)+IF(Skills!H9&gt;0,MIN(Skills!I9,MAX(0,MAX(0,Inputs!$B$43-B156)-((R128-1)*IF(Inputs!$B$38="pvp",15,MAX(0.1,Skills!D9-IF(Skills!E9=TRUE,Inputs!$B$32,0))))))/Skills!H9,1)))/Inputs!$B$43),G128*Q128))*IF(Inputs!$B$38="pvp",1,1+(Inputs!$B$20+0+Skills!P9)/100),0)</f>
        <v/>
      </c>
      <c r="V128">
        <f>IF(C128,(H128*N128*IF(AND(Inputs!$B$38&lt;&gt;"pvp",Inputs!$B$43&gt;0),((Skills!G9*((R128-1)*IF(Skills!H9&gt;0,Skills!I9/Skills!H9,1)+IF(Skills!H9&gt;0,MIN(Skills!I9,MAX(0,MAX(0,Inputs!$B$43-B156)-((R128-1)*IF(Inputs!$B$38="pvp",15,MAX(0.1,Skills!D9-IF(Skills!E9=TRUE,Inputs!$B$32,0))))))/Skills!H9,1)))/Inputs!$B$43),G128*Q128))*IF(Inputs!$B$38="pvp",1,(1+(Inputs!$B$21+Skills!Q9)/100)*(MIN(Skills!R9,Inputs!$B$37))),0)</f>
        <v/>
      </c>
    </row>
    <row r="129">
      <c r="A129">
        <f>Skills!A10</f>
        <v/>
      </c>
      <c r="B129">
        <f>Skills!B10</f>
        <v/>
      </c>
      <c r="C129">
        <f>Inputs!$B$3&gt;=113</f>
        <v/>
      </c>
      <c r="D129">
        <f>IF(Skills!C10=1,60+Inputs!$B$25+Inputs!$B$29,IF(Skills!C10=2,90+Inputs!$B$26+Inputs!$B$29,IF(Skills!C10=3,120+Inputs!$B$27+Inputs!$B$29,MAX(0,(Inputs!$B$3-100)*3)+Inputs!$B$28+Inputs!$B$29)))</f>
        <v/>
      </c>
      <c r="E129">
        <f>INDEX(FactorTable!$B$2:$Y$301, MATCH(ROUND(MIN(300,MAX(1,D129)),0), FactorTable!$A$2:$A$301,0), Skills!M10+1)</f>
        <v/>
      </c>
      <c r="F129">
        <f>IF(Skills!N10=TRUE,(Skills!L10/10)*(E129/1000),Skills!L10/10)+Skills!O10</f>
        <v/>
      </c>
      <c r="G129">
        <f>Skills!G10*IF(Skills!H10&gt;0,Skills!I10/Skills!H10,1)</f>
        <v/>
      </c>
      <c r="H129">
        <f>1-(1-Skills!J10/100)^Skills!K10</f>
        <v/>
      </c>
      <c r="I129" t="inlineStr">
        <is>
          <t>1</t>
        </is>
      </c>
      <c r="J129">
        <f>((Inputs!$B$6*(1+Inputs!$B$7/100))+(((Inputs!$B$12*(1+Inputs!$B$13/100))-(Inputs!$B$12*(1+Inputs!$B$13/100)))+0.25*((Inputs!$B$14+1)-Inputs!$B$14))*(1+Inputs!$B$7/100))*(F129/100)</f>
        <v/>
      </c>
      <c r="K129">
        <f>J129*(1+((Inputs!$B$12*(1+Inputs!$B$13/100))*0.01+(Inputs!$B$14+1)*0.0025)/100)*(1+Inputs!$B$15/100)*(1+Inputs!$B$16/100)*(5000/(6000+Inputs!$B$42*(1-(Inputs!$B$19+0)/100)))*(1+(Inputs!$B$24+((C145=TRUE)*(F145-Calc!F26))+B155)/100)*(1+(IF(Skills!A10="EIGHT_LEGS_EASTON",Inputs!$B$17+((C142=TRUE)*(F142-Calc!F23))+((C146=TRUE)*(F146-Calc!F27)),Inputs!$B$18+0))/100)*((1+(((C136=TRUE)*F136)+((C143=TRUE)*(F143-Calc!F24)))/100)*I129)</f>
        <v/>
      </c>
      <c r="L129">
        <f>K129*(MIN(Inputs!$B$22+((C141=TRUE)*(F141-Calc!F22)),Inputs!$B$23+0)/100+(Inputs!$B$23+0)/100)/2</f>
        <v/>
      </c>
      <c r="M129">
        <f>L129*(1+(Inputs!$B$10+((C144=TRUE)*(F144-Calc!F25))+B154)/100)</f>
        <v/>
      </c>
      <c r="N129">
        <f>L129*(1-MIN((Inputs!$B$9+((C138=TRUE)*(F138-Calc!F19))+B149),100)/100)+M129*(MIN((Inputs!$B$9+((C138=TRUE)*(F138-Calc!F19))+B149),100)/100)</f>
        <v/>
      </c>
      <c r="O129">
        <f>(1-Summary!$B$55)*T129+Summary!$B$55*V129</f>
        <v/>
      </c>
      <c r="P129">
        <f>IF(B159=0,0,O129/B159)</f>
        <v/>
      </c>
      <c r="Q129">
        <f>IFERROR(1/IF(Inputs!$B$38="pvp",15,MAX(0.1,Skills!D10-IF(Skills!E10=TRUE,Inputs!$B$32,0))),0)</f>
        <v/>
      </c>
      <c r="R129">
        <f>IF(AND(Inputs!$B$38&lt;&gt;"pvp",Inputs!$B$43&gt;0),IF(MAX(0,Inputs!$B$43-B156)&lt;=0,0,(INT(MAX(0,Inputs!$B$43-B156)/IF(Inputs!$B$38="pvp",15,MAX(0.1,Skills!D10-IF(Skills!E10=TRUE,Inputs!$B$32,0))))+1)),0)</f>
        <v/>
      </c>
      <c r="S129">
        <f>IFERROR(O129/N129,0)</f>
        <v/>
      </c>
      <c r="T129">
        <f>IF(C129,(H129*N129*IF(AND(Inputs!$B$38&lt;&gt;"pvp",Inputs!$B$43&gt;0),((Skills!G10*((R129-1)*IF(Skills!H10&gt;0,Skills!I10/Skills!H10,1)+IF(Skills!H10&gt;0,MIN(Skills!I10,MAX(0,MAX(0,Inputs!$B$43-B156)-((R129-1)*IF(Inputs!$B$38="pvp",15,MAX(0.1,Skills!D10-IF(Skills!E10=TRUE,Inputs!$B$32,0))))))/Skills!H10,1)))/Inputs!$B$43),G129*Q129))*IF(Inputs!$B$38="pvp",1,1+(Inputs!$B$20+0+Skills!P10)/100),0)</f>
        <v/>
      </c>
      <c r="V129">
        <f>IF(C129,(H129*N129*IF(AND(Inputs!$B$38&lt;&gt;"pvp",Inputs!$B$43&gt;0),((Skills!G10*((R129-1)*IF(Skills!H10&gt;0,Skills!I10/Skills!H10,1)+IF(Skills!H10&gt;0,MIN(Skills!I10,MAX(0,MAX(0,Inputs!$B$43-B156)-((R129-1)*IF(Inputs!$B$38="pvp",15,MAX(0.1,Skills!D10-IF(Skills!E10=TRUE,Inputs!$B$32,0))))))/Skills!H10,1)))/Inputs!$B$43),G129*Q129))*IF(Inputs!$B$38="pvp",1,(1+(Inputs!$B$21+Skills!Q10)/100)*(MIN(Skills!R10,Inputs!$B$37))),0)</f>
        <v/>
      </c>
    </row>
    <row r="130">
      <c r="A130">
        <f>Skills!A11</f>
        <v/>
      </c>
      <c r="B130">
        <f>Skills!B11</f>
        <v/>
      </c>
      <c r="C130">
        <f>Inputs!$B$3&gt;=107</f>
        <v/>
      </c>
      <c r="D130">
        <f>IF(Skills!C11=1,60+Inputs!$B$25+Inputs!$B$29,IF(Skills!C11=2,90+Inputs!$B$26+Inputs!$B$29,IF(Skills!C11=3,120+Inputs!$B$27+Inputs!$B$29,MAX(0,(Inputs!$B$3-100)*3)+Inputs!$B$28+Inputs!$B$29)))</f>
        <v/>
      </c>
      <c r="E130">
        <f>INDEX(FactorTable!$B$2:$Y$301, MATCH(ROUND(MIN(300,MAX(1,D130)),0), FactorTable!$A$2:$A$301,0), Skills!M11+1)</f>
        <v/>
      </c>
      <c r="F130">
        <f>IF(Skills!N11=TRUE,(Skills!L11/10)*(E130/1000),Skills!L11/10)+Skills!O11</f>
        <v/>
      </c>
      <c r="G130">
        <f>Skills!G11*IF(Skills!H11&gt;0,Skills!I11/Skills!H11,1)</f>
        <v/>
      </c>
      <c r="H130">
        <f>1-(1-Skills!J11/100)^Skills!K11</f>
        <v/>
      </c>
      <c r="I130" t="inlineStr">
        <is>
          <t>1</t>
        </is>
      </c>
      <c r="J130">
        <f>((Inputs!$B$6*(1+Inputs!$B$7/100))+(((Inputs!$B$12*(1+Inputs!$B$13/100))-(Inputs!$B$12*(1+Inputs!$B$13/100)))+0.25*((Inputs!$B$14+1)-Inputs!$B$14))*(1+Inputs!$B$7/100))*(F130/100)</f>
        <v/>
      </c>
      <c r="K130">
        <f>J130*(1+((Inputs!$B$12*(1+Inputs!$B$13/100))*0.01+(Inputs!$B$14+1)*0.0025)/100)*(1+Inputs!$B$15/100)*(1+Inputs!$B$16/100)*(5000/(6000+Inputs!$B$42*(1-(Inputs!$B$19+0)/100)))*(1+(Inputs!$B$24+((C145=TRUE)*(F145-Calc!F26))+B155)/100)*(1+(IF(Skills!A11="EIGHT_LEGS_EASTON",Inputs!$B$17+((C142=TRUE)*(F142-Calc!F23))+((C146=TRUE)*(F146-Calc!F27)),Inputs!$B$18+0))/100)*((1+(((C136=TRUE)*F136)+((C143=TRUE)*(F143-Calc!F24)))/100)*I130)</f>
        <v/>
      </c>
      <c r="L130">
        <f>K130*(MIN(Inputs!$B$22+((C141=TRUE)*(F141-Calc!F22)),Inputs!$B$23+0)/100+(Inputs!$B$23+0)/100)/2</f>
        <v/>
      </c>
      <c r="M130">
        <f>L130*(1+(Inputs!$B$10+((C144=TRUE)*(F144-Calc!F25))+B154)/100)</f>
        <v/>
      </c>
      <c r="N130">
        <f>L130*(1-MIN((Inputs!$B$9+((C138=TRUE)*(F138-Calc!F19))+B149),100)/100)+M130*(MIN((Inputs!$B$9+((C138=TRUE)*(F138-Calc!F19))+B149),100)/100)</f>
        <v/>
      </c>
      <c r="O130">
        <f>(1-Summary!$B$55)*T130+Summary!$B$55*V130</f>
        <v/>
      </c>
      <c r="P130">
        <f>IF(B159=0,0,O130/B159)</f>
        <v/>
      </c>
      <c r="Q130">
        <f>IFERROR(1/IF(Inputs!$B$38="pvp",15,MAX(0.1,Skills!D11-IF(Skills!E11=TRUE,Inputs!$B$32,0))),0)</f>
        <v/>
      </c>
      <c r="R130">
        <f>IF(AND(Inputs!$B$38&lt;&gt;"pvp",Inputs!$B$43&gt;0),IF(MAX(0,Inputs!$B$43-B156)&lt;=0,0,(INT(MAX(0,Inputs!$B$43-B156)/IF(Inputs!$B$38="pvp",15,MAX(0.1,Skills!D11-IF(Skills!E11=TRUE,Inputs!$B$32,0))))+1)),0)</f>
        <v/>
      </c>
      <c r="S130">
        <f>IFERROR(O130/N130,0)</f>
        <v/>
      </c>
      <c r="T130">
        <f>IF(C130,(H130*N130*IF(AND(Inputs!$B$38&lt;&gt;"pvp",Inputs!$B$43&gt;0),((Skills!G11*((R130-1)*IF(Skills!H11&gt;0,Skills!I11/Skills!H11,1)+IF(Skills!H11&gt;0,MIN(Skills!I11,MAX(0,MAX(0,Inputs!$B$43-B156)-((R130-1)*IF(Inputs!$B$38="pvp",15,MAX(0.1,Skills!D11-IF(Skills!E11=TRUE,Inputs!$B$32,0))))))/Skills!H11,1)))/Inputs!$B$43),G130*Q130))*IF(Inputs!$B$38="pvp",1,1+(Inputs!$B$20+0+Skills!P11)/100),0)</f>
        <v/>
      </c>
      <c r="V130">
        <f>IF(C130,(H130*N130*IF(AND(Inputs!$B$38&lt;&gt;"pvp",Inputs!$B$43&gt;0),((Skills!G11*((R130-1)*IF(Skills!H11&gt;0,Skills!I11/Skills!H11,1)+IF(Skills!H11&gt;0,MIN(Skills!I11,MAX(0,MAX(0,Inputs!$B$43-B156)-((R130-1)*IF(Inputs!$B$38="pvp",15,MAX(0.1,Skills!D11-IF(Skills!E11=TRUE,Inputs!$B$32,0))))))/Skills!H11,1)))/Inputs!$B$43),G130*Q130))*IF(Inputs!$B$38="pvp",1,(1+(Inputs!$B$21+Skills!Q11)/100)*(MIN(Skills!R11,Inputs!$B$37))),0)</f>
        <v/>
      </c>
    </row>
    <row r="131">
      <c r="A131">
        <f>Skills!A12</f>
        <v/>
      </c>
      <c r="B131">
        <f>Skills!B12</f>
        <v/>
      </c>
      <c r="C131">
        <f>Inputs!$B$3&gt;=110</f>
        <v/>
      </c>
      <c r="D131">
        <f>IF(Skills!C12=1,60+Inputs!$B$25+Inputs!$B$29,IF(Skills!C12=2,90+Inputs!$B$26+Inputs!$B$29,IF(Skills!C12=3,120+Inputs!$B$27+Inputs!$B$29,MAX(0,(Inputs!$B$3-100)*3)+Inputs!$B$28+Inputs!$B$29)))</f>
        <v/>
      </c>
      <c r="E131">
        <f>INDEX(FactorTable!$B$2:$Y$301, MATCH(ROUND(MIN(300,MAX(1,D131)),0), FactorTable!$A$2:$A$301,0), Skills!M12+1)</f>
        <v/>
      </c>
      <c r="F131">
        <f>IF(Skills!N12=TRUE,(Skills!L12/10)*(E131/1000),Skills!L12/10)+Skills!O12</f>
        <v/>
      </c>
      <c r="G131">
        <f>Skills!G12*IF(Skills!H12&gt;0,Skills!I12/Skills!H12,1)</f>
        <v/>
      </c>
      <c r="H131">
        <f>1-(1-Skills!J12/100)^Skills!K12</f>
        <v/>
      </c>
      <c r="I131" t="inlineStr">
        <is>
          <t>1</t>
        </is>
      </c>
      <c r="J131">
        <f>((Inputs!$B$6*(1+Inputs!$B$7/100))+(((Inputs!$B$12*(1+Inputs!$B$13/100))-(Inputs!$B$12*(1+Inputs!$B$13/100)))+0.25*((Inputs!$B$14+1)-Inputs!$B$14))*(1+Inputs!$B$7/100))*(F131/100)</f>
        <v/>
      </c>
      <c r="K131">
        <f>J131*(1+((Inputs!$B$12*(1+Inputs!$B$13/100))*0.01+(Inputs!$B$14+1)*0.0025)/100)*(1+Inputs!$B$15/100)*(1+Inputs!$B$16/100)*(5000/(6000+Inputs!$B$42*(1-(Inputs!$B$19+0)/100)))*(1+(Inputs!$B$24+((C145=TRUE)*(F145-Calc!F26))+B155)/100)*(1+(IF(Skills!A12="EIGHT_LEGS_EASTON",Inputs!$B$17+((C142=TRUE)*(F142-Calc!F23))+((C146=TRUE)*(F146-Calc!F27)),Inputs!$B$18+0))/100)*((1+(((C136=TRUE)*F136)+((C143=TRUE)*(F143-Calc!F24)))/100)*I131)</f>
        <v/>
      </c>
      <c r="L131">
        <f>K131*(MIN(Inputs!$B$22+((C141=TRUE)*(F141-Calc!F22)),Inputs!$B$23+0)/100+(Inputs!$B$23+0)/100)/2</f>
        <v/>
      </c>
      <c r="M131">
        <f>L131*(1+(Inputs!$B$10+((C144=TRUE)*(F144-Calc!F25))+B154)/100)</f>
        <v/>
      </c>
      <c r="N131">
        <f>L131*(1-MIN((Inputs!$B$9+((C138=TRUE)*(F138-Calc!F19))+B149),100)/100)+M131*(MIN((Inputs!$B$9+((C138=TRUE)*(F138-Calc!F19))+B149),100)/100)</f>
        <v/>
      </c>
      <c r="O131">
        <f>(1-Summary!$B$55)*T131+Summary!$B$55*V131</f>
        <v/>
      </c>
      <c r="P131">
        <f>IF(B159=0,0,O131/B159)</f>
        <v/>
      </c>
      <c r="Q131">
        <f>IFERROR(1/IF(Inputs!$B$38="pvp",15,MAX(0.1,Skills!D12-IF(Skills!E12=TRUE,Inputs!$B$32,0))),0)</f>
        <v/>
      </c>
      <c r="R131">
        <f>IF(AND(Inputs!$B$38&lt;&gt;"pvp",Inputs!$B$43&gt;0),IF(MAX(0,Inputs!$B$43-B156)&lt;=0,0,(INT(MAX(0,Inputs!$B$43-B156)/IF(Inputs!$B$38="pvp",15,MAX(0.1,Skills!D12-IF(Skills!E12=TRUE,Inputs!$B$32,0))))+1)),0)</f>
        <v/>
      </c>
      <c r="S131">
        <f>IFERROR(O131/N131,0)</f>
        <v/>
      </c>
      <c r="T131">
        <f>IF(C131,(H131*N131*IF(AND(Inputs!$B$38&lt;&gt;"pvp",Inputs!$B$43&gt;0),((Skills!G12*((R131-1)*IF(Skills!H12&gt;0,Skills!I12/Skills!H12,1)+IF(Skills!H12&gt;0,MIN(Skills!I12,MAX(0,MAX(0,Inputs!$B$43-B156)-((R131-1)*IF(Inputs!$B$38="pvp",15,MAX(0.1,Skills!D12-IF(Skills!E12=TRUE,Inputs!$B$32,0))))))/Skills!H12,1)))/Inputs!$B$43),G131*Q131))*IF(Inputs!$B$38="pvp",1,1+(Inputs!$B$20+0+Skills!P12)/100),0)</f>
        <v/>
      </c>
      <c r="V131">
        <f>IF(C131,(H131*N131*IF(AND(Inputs!$B$38&lt;&gt;"pvp",Inputs!$B$43&gt;0),((Skills!G12*((R131-1)*IF(Skills!H12&gt;0,Skills!I12/Skills!H12,1)+IF(Skills!H12&gt;0,MIN(Skills!I12,MAX(0,MAX(0,Inputs!$B$43-B156)-((R131-1)*IF(Inputs!$B$38="pvp",15,MAX(0.1,Skills!D12-IF(Skills!E12=TRUE,Inputs!$B$32,0))))))/Skills!H12,1)))/Inputs!$B$43),G131*Q131))*IF(Inputs!$B$38="pvp",1,(1+(Inputs!$B$21+Skills!Q12)/100)*(MIN(Skills!R12,Inputs!$B$37))),0)</f>
        <v/>
      </c>
    </row>
    <row r="132">
      <c r="A132">
        <f>Skills!A13</f>
        <v/>
      </c>
      <c r="B132">
        <f>Skills!B13</f>
        <v/>
      </c>
      <c r="C132">
        <f>Inputs!$B$3&gt;=110</f>
        <v/>
      </c>
      <c r="D132">
        <f>IF(Skills!C13=1,60+Inputs!$B$25+Inputs!$B$29,IF(Skills!C13=2,90+Inputs!$B$26+Inputs!$B$29,IF(Skills!C13=3,120+Inputs!$B$27+Inputs!$B$29,MAX(0,(Inputs!$B$3-100)*3)+Inputs!$B$28+Inputs!$B$29)))</f>
        <v/>
      </c>
      <c r="E132">
        <f>INDEX(FactorTable!$B$2:$Y$301, MATCH(ROUND(MIN(300,MAX(1,D132)),0), FactorTable!$A$2:$A$301,0), Skills!M13+1)</f>
        <v/>
      </c>
      <c r="F132">
        <f>IF(Skills!N13=TRUE,(Skills!L13/10)*(E132/1000),Skills!L13/10)+Skills!O13</f>
        <v/>
      </c>
      <c r="G132">
        <f>Skills!G13*IF(Skills!H13&gt;0,Skills!I13/Skills!H13,1)</f>
        <v/>
      </c>
      <c r="H132">
        <f>1-(1-Skills!J13/100)^Skills!K13</f>
        <v/>
      </c>
      <c r="I132" t="inlineStr">
        <is>
          <t>1</t>
        </is>
      </c>
      <c r="J132">
        <f>((Inputs!$B$6*(1+Inputs!$B$7/100))+(((Inputs!$B$12*(1+Inputs!$B$13/100))-(Inputs!$B$12*(1+Inputs!$B$13/100)))+0.25*((Inputs!$B$14+1)-Inputs!$B$14))*(1+Inputs!$B$7/100))*(F132/100)</f>
        <v/>
      </c>
      <c r="K132">
        <f>J132*(1+((Inputs!$B$12*(1+Inputs!$B$13/100))*0.01+(Inputs!$B$14+1)*0.0025)/100)*(1+Inputs!$B$15/100)*(1+Inputs!$B$16/100)*(5000/(6000+Inputs!$B$42*(1-(Inputs!$B$19+0)/100)))*(1+(Inputs!$B$24+((C145=TRUE)*(F145-Calc!F26))+B155)/100)*(1+(IF(Skills!A13="EIGHT_LEGS_EASTON",Inputs!$B$17+((C142=TRUE)*(F142-Calc!F23))+((C146=TRUE)*(F146-Calc!F27)),Inputs!$B$18+0))/100)*((1+(((C136=TRUE)*F136)+((C143=TRUE)*(F143-Calc!F24)))/100)*I132)</f>
        <v/>
      </c>
      <c r="L132">
        <f>K132*(MIN(Inputs!$B$22+((C141=TRUE)*(F141-Calc!F22)),Inputs!$B$23+0)/100+(Inputs!$B$23+0)/100)/2</f>
        <v/>
      </c>
      <c r="M132">
        <f>L132*(1+(Inputs!$B$10+((C144=TRUE)*(F144-Calc!F25))+B154)/100)</f>
        <v/>
      </c>
      <c r="N132">
        <f>L132*(1-MIN((Inputs!$B$9+((C138=TRUE)*(F138-Calc!F19))+B149),100)/100)+M132*(MIN((Inputs!$B$9+((C138=TRUE)*(F138-Calc!F19))+B149),100)/100)</f>
        <v/>
      </c>
      <c r="O132">
        <f>(1-Summary!$B$55)*T132+Summary!$B$55*V132</f>
        <v/>
      </c>
      <c r="P132">
        <f>IF(B159=0,0,O132/B159)</f>
        <v/>
      </c>
      <c r="Q132">
        <f>IFERROR(1/IF(Inputs!$B$38="pvp",15,MAX(0.1,Skills!D13-IF(Skills!E13=TRUE,Inputs!$B$32,0))),0)</f>
        <v/>
      </c>
      <c r="R132">
        <f>IF(AND(Inputs!$B$38&lt;&gt;"pvp",Inputs!$B$43&gt;0),IF(MAX(0,Inputs!$B$43-B156)&lt;=0,0,(INT(MAX(0,Inputs!$B$43-B156)/IF(Inputs!$B$38="pvp",15,MAX(0.1,Skills!D13-IF(Skills!E13=TRUE,Inputs!$B$32,0))))+1)),0)</f>
        <v/>
      </c>
      <c r="S132">
        <f>IFERROR(O132/N132,0)</f>
        <v/>
      </c>
      <c r="T132">
        <f>IF(C132,(H132*N132*IF(AND(Inputs!$B$38&lt;&gt;"pvp",Inputs!$B$43&gt;0),((Skills!G13*((R132-1)*IF(Skills!H13&gt;0,Skills!I13/Skills!H13,1)+IF(Skills!H13&gt;0,MIN(Skills!I13,MAX(0,MAX(0,Inputs!$B$43-B156)-((R132-1)*IF(Inputs!$B$38="pvp",15,MAX(0.1,Skills!D13-IF(Skills!E13=TRUE,Inputs!$B$32,0))))))/Skills!H13,1)))/Inputs!$B$43),G132*Q132))*IF(Inputs!$B$38="pvp",1,1+(Inputs!$B$20+0+Skills!P13)/100),0)</f>
        <v/>
      </c>
      <c r="V132">
        <f>IF(C132,(H132*N132*IF(AND(Inputs!$B$38&lt;&gt;"pvp",Inputs!$B$43&gt;0),((Skills!G13*((R132-1)*IF(Skills!H13&gt;0,Skills!I13/Skills!H13,1)+IF(Skills!H13&gt;0,MIN(Skills!I13,MAX(0,MAX(0,Inputs!$B$43-B156)-((R132-1)*IF(Inputs!$B$38="pvp",15,MAX(0.1,Skills!D13-IF(Skills!E13=TRUE,Inputs!$B$32,0))))))/Skills!H13,1)))/Inputs!$B$43),G132*Q132))*IF(Inputs!$B$38="pvp",1,(1+(Inputs!$B$21+Skills!Q13)/100)*(MIN(Skills!R13,Inputs!$B$37))),0)</f>
        <v/>
      </c>
    </row>
    <row r="133">
      <c r="A133">
        <f>Skills!A14</f>
        <v/>
      </c>
      <c r="B133">
        <f>Skills!B14</f>
        <v/>
      </c>
      <c r="C133">
        <f>Inputs!$B$3&gt;=125</f>
        <v/>
      </c>
      <c r="D133">
        <f>IF(Skills!C14=1,60+Inputs!$B$25+Inputs!$B$29,IF(Skills!C14=2,90+Inputs!$B$26+Inputs!$B$29,IF(Skills!C14=3,120+Inputs!$B$27+Inputs!$B$29,MAX(0,(Inputs!$B$3-100)*3)+Inputs!$B$28+Inputs!$B$29)))</f>
        <v/>
      </c>
      <c r="E133">
        <f>INDEX(FactorTable!$B$2:$Y$301, MATCH(ROUND(MIN(300,MAX(1,D133)),0), FactorTable!$A$2:$A$301,0), Skills!M14+1)</f>
        <v/>
      </c>
      <c r="F133">
        <f>IF(Skills!N14=TRUE,(Skills!L14/10)*(E133/1000),Skills!L14/10)+Skills!O14</f>
        <v/>
      </c>
      <c r="G133">
        <f>Skills!G14*IF(Skills!H14&gt;0,Skills!I14/Skills!H14,1)</f>
        <v/>
      </c>
      <c r="H133">
        <f>1-(1-Skills!J14/100)^Skills!K14</f>
        <v/>
      </c>
      <c r="I133" t="inlineStr">
        <is>
          <t>1</t>
        </is>
      </c>
      <c r="J133">
        <f>((Inputs!$B$6*(1+Inputs!$B$7/100))+(((Inputs!$B$12*(1+Inputs!$B$13/100))-(Inputs!$B$12*(1+Inputs!$B$13/100)))+0.25*((Inputs!$B$14+1)-Inputs!$B$14))*(1+Inputs!$B$7/100))*(F133/100)</f>
        <v/>
      </c>
      <c r="K133">
        <f>J133*(1+((Inputs!$B$12*(1+Inputs!$B$13/100))*0.01+(Inputs!$B$14+1)*0.0025)/100)*(1+Inputs!$B$15/100)*(1+Inputs!$B$16/100)*(5000/(6000+Inputs!$B$42*(1-(Inputs!$B$19+0)/100)))*(1+(Inputs!$B$24+((C145=TRUE)*(F145-Calc!F26))+B155)/100)*(1+(IF(Skills!A14="EIGHT_LEGS_EASTON",Inputs!$B$17+((C142=TRUE)*(F142-Calc!F23))+((C146=TRUE)*(F146-Calc!F27)),Inputs!$B$18+0))/100)*((1+(((C136=TRUE)*F136)+((C143=TRUE)*(F143-Calc!F24)))/100)*I133)</f>
        <v/>
      </c>
      <c r="L133">
        <f>K133*(MIN(Inputs!$B$22+((C141=TRUE)*(F141-Calc!F22)),Inputs!$B$23+0)/100+(Inputs!$B$23+0)/100)/2</f>
        <v/>
      </c>
      <c r="M133">
        <f>L133*(1+(Inputs!$B$10+((C144=TRUE)*(F144-Calc!F25))+B154)/100)</f>
        <v/>
      </c>
      <c r="N133">
        <f>L133*(1-MIN((Inputs!$B$9+((C138=TRUE)*(F138-Calc!F19))+B149),100)/100)+M133*(MIN((Inputs!$B$9+((C138=TRUE)*(F138-Calc!F19))+B149),100)/100)</f>
        <v/>
      </c>
      <c r="O133">
        <f>(1-Summary!$B$55)*T133+Summary!$B$55*V133</f>
        <v/>
      </c>
      <c r="P133">
        <f>IF(B159=0,0,O133/B159)</f>
        <v/>
      </c>
      <c r="Q133" t="n">
        <v>0</v>
      </c>
      <c r="R133" t="n">
        <v>0</v>
      </c>
      <c r="S133">
        <f>IFERROR(O133/N133,0)</f>
        <v/>
      </c>
      <c r="T133">
        <f>IF(C133,(H133*N133*(B153+IF(AND(Inputs!$B$38&lt;&gt;"pvp",Inputs!$B$43&gt;0),((Skills!G8*((R127-1)*IF(Skills!H8&gt;0,Skills!I8/Skills!H8,1)+IF(Skills!H8&gt;0,MIN(Skills!I8,MAX(0,MAX(0,Inputs!$B$43-B156)-((R127-1)*IF(Inputs!$B$38="pvp",15,MAX(0.1,Skills!D8-IF(Skills!E8=TRUE,Inputs!$B$32,0))))))/Skills!H8,1)))/Inputs!$B$43),G127*Q127)+IF(AND(Inputs!$B$38&lt;&gt;"pvp",Inputs!$B$43&gt;0),((Skills!G11*((R130-1)*IF(Skills!H11&gt;0,Skills!I11/Skills!H11,1)+IF(Skills!H11&gt;0,MIN(Skills!I11,MAX(0,MAX(0,Inputs!$B$43-B156)-((R130-1)*IF(Inputs!$B$38="pvp",15,MAX(0.1,Skills!D11-IF(Skills!E11=TRUE,Inputs!$B$32,0))))))/Skills!H11,1)))/Inputs!$B$43),G130*Q130)))*IF(Inputs!$B$38="pvp",1,1+(Inputs!$B$20+0+Skills!P14)/100),0)</f>
        <v/>
      </c>
      <c r="V133">
        <f>IF(C133,(H133*N133*(B153+IF(AND(Inputs!$B$38&lt;&gt;"pvp",Inputs!$B$43&gt;0),((Skills!G8*((R127-1)*IF(Skills!H8&gt;0,Skills!I8/Skills!H8,1)+IF(Skills!H8&gt;0,MIN(Skills!I8,MAX(0,MAX(0,Inputs!$B$43-B156)-((R127-1)*IF(Inputs!$B$38="pvp",15,MAX(0.1,Skills!D8-IF(Skills!E8=TRUE,Inputs!$B$32,0))))))/Skills!H8,1)))/Inputs!$B$43),G127*Q127)+IF(AND(Inputs!$B$38&lt;&gt;"pvp",Inputs!$B$43&gt;0),((Skills!G11*((R130-1)*IF(Skills!H11&gt;0,Skills!I11/Skills!H11,1)+IF(Skills!H11&gt;0,MIN(Skills!I11,MAX(0,MAX(0,Inputs!$B$43-B156)-((R130-1)*IF(Inputs!$B$38="pvp",15,MAX(0.1,Skills!D11-IF(Skills!E11=TRUE,Inputs!$B$32,0))))))/Skills!H11,1)))/Inputs!$B$43),G130*Q130)))*IF(Inputs!$B$38="pvp",1,(1+(Inputs!$B$21+Skills!Q14)/100)*(MIN(Skills!R14,Inputs!$B$37))),0)</f>
        <v/>
      </c>
    </row>
    <row r="134">
      <c r="A134">
        <f>Skills!A15</f>
        <v/>
      </c>
      <c r="B134">
        <f>Skills!B15</f>
        <v/>
      </c>
      <c r="C134">
        <f>Inputs!$B$3&gt;=100</f>
        <v/>
      </c>
      <c r="D134">
        <f>IF(Skills!C15=1,60+Inputs!$B$25+Inputs!$B$29,IF(Skills!C15=2,90+Inputs!$B$26+Inputs!$B$29,IF(Skills!C15=3,120+Inputs!$B$27+Inputs!$B$29,MAX(0,(Inputs!$B$3-100)*3)+Inputs!$B$28+Inputs!$B$29)))</f>
        <v/>
      </c>
      <c r="E134">
        <f>INDEX(FactorTable!$B$2:$Y$301, MATCH(ROUND(MIN(300,MAX(1,D134)),0), FactorTable!$A$2:$A$301,0), Skills!M15+1)</f>
        <v/>
      </c>
      <c r="F134">
        <f>IF(Skills!N15=TRUE,(Skills!L15/10)*(E134/1000),Skills!L15/10)+Skills!O15</f>
        <v/>
      </c>
      <c r="G134" t="inlineStr"/>
      <c r="H134" t="inlineStr"/>
      <c r="I134" t="inlineStr">
        <is>
          <t>1</t>
        </is>
      </c>
      <c r="J134" t="inlineStr"/>
      <c r="K134" t="inlineStr"/>
      <c r="L134" t="inlineStr"/>
      <c r="M134" t="inlineStr"/>
      <c r="N134" t="inlineStr"/>
      <c r="O134" t="inlineStr"/>
      <c r="P134" t="inlineStr"/>
      <c r="Q134" t="inlineStr"/>
      <c r="R134" t="inlineStr"/>
      <c r="S134" t="inlineStr"/>
    </row>
    <row r="135">
      <c r="A135">
        <f>Skills!A16</f>
        <v/>
      </c>
      <c r="B135">
        <f>Skills!B16</f>
        <v/>
      </c>
      <c r="C135">
        <f>Inputs!$B$3&gt;=120</f>
        <v/>
      </c>
      <c r="D135">
        <f>IF(Skills!C16=1,60+Inputs!$B$25+Inputs!$B$29,IF(Skills!C16=2,90+Inputs!$B$26+Inputs!$B$29,IF(Skills!C16=3,120+Inputs!$B$27+Inputs!$B$29,MAX(0,(Inputs!$B$3-100)*3)+Inputs!$B$28+Inputs!$B$29)))</f>
        <v/>
      </c>
      <c r="E135">
        <f>INDEX(FactorTable!$B$2:$Y$301, MATCH(ROUND(MIN(300,MAX(1,D135)),0), FactorTable!$A$2:$A$301,0), Skills!M16+1)</f>
        <v/>
      </c>
      <c r="F135">
        <f>IF(Skills!N16=TRUE,(Skills!L16/10)*(E135/1000),Skills!L16/10)+Skills!O16</f>
        <v/>
      </c>
      <c r="G135" t="inlineStr"/>
      <c r="H135" t="inlineStr"/>
      <c r="I135" t="inlineStr">
        <is>
          <t>1</t>
        </is>
      </c>
      <c r="J135" t="inlineStr"/>
      <c r="K135" t="inlineStr"/>
      <c r="L135" t="inlineStr"/>
      <c r="M135" t="inlineStr"/>
      <c r="N135" t="inlineStr"/>
      <c r="O135" t="inlineStr"/>
      <c r="P135" t="inlineStr"/>
      <c r="Q135" t="inlineStr"/>
      <c r="R135" t="inlineStr"/>
      <c r="S135" t="inlineStr"/>
    </row>
    <row r="136">
      <c r="A136">
        <f>Skills!A17</f>
        <v/>
      </c>
      <c r="B136">
        <f>Skills!B17</f>
        <v/>
      </c>
      <c r="C136">
        <f>Inputs!$B$3&gt;=66</f>
        <v/>
      </c>
      <c r="D136">
        <f>IF(Skills!C17=1,60+Inputs!$B$25+Inputs!$B$29,IF(Skills!C17=2,90+Inputs!$B$26+Inputs!$B$29,IF(Skills!C17=3,120+Inputs!$B$27+Inputs!$B$29,MAX(0,(Inputs!$B$3-100)*3)+Inputs!$B$28+Inputs!$B$29)))</f>
        <v/>
      </c>
      <c r="E136">
        <f>INDEX(FactorTable!$B$2:$Y$301, MATCH(ROUND(MIN(300,MAX(1,D136)),0), FactorTable!$A$2:$A$301,0), Skills!M17+1)</f>
        <v/>
      </c>
      <c r="F136">
        <f>IF(Skills!N17=TRUE,(Skills!L17/10)*(E136/1000),Skills!L17/10)+Skills!O17</f>
        <v/>
      </c>
      <c r="G136">
        <f>Skills!G17*IF(Skills!H17&gt;0,Skills!I17/Skills!H17,1)</f>
        <v/>
      </c>
      <c r="H136">
        <f>1-(1-Skills!J17/100)^Skills!K17</f>
        <v/>
      </c>
      <c r="I136" t="inlineStr">
        <is>
          <t>1</t>
        </is>
      </c>
      <c r="J136" t="inlineStr"/>
      <c r="K136" t="inlineStr"/>
      <c r="L136" t="inlineStr"/>
      <c r="M136" t="inlineStr"/>
      <c r="N136" t="inlineStr"/>
      <c r="O136">
        <f>(1-Summary!$B$55)*T136+Summary!$B$55*V136</f>
        <v/>
      </c>
      <c r="P136">
        <f>IF(B159=0,0,O136/B159)</f>
        <v/>
      </c>
      <c r="Q136" t="n">
        <v>0</v>
      </c>
      <c r="R136" t="n">
        <v>0</v>
      </c>
      <c r="S136">
        <f>IFERROR(O136/N136,0)</f>
        <v/>
      </c>
      <c r="T136" t="n">
        <v>0</v>
      </c>
      <c r="V136" t="n">
        <v>0</v>
      </c>
    </row>
    <row r="137">
      <c r="A137">
        <f>Skills!A18</f>
        <v/>
      </c>
      <c r="B137">
        <f>Skills!B18</f>
        <v/>
      </c>
      <c r="C137">
        <f>Inputs!$B$3&gt;=115</f>
        <v/>
      </c>
      <c r="D137">
        <f>IF(Skills!C18=1,60+Inputs!$B$25+Inputs!$B$29,IF(Skills!C18=2,90+Inputs!$B$26+Inputs!$B$29,IF(Skills!C18=3,120+Inputs!$B$27+Inputs!$B$29,MAX(0,(Inputs!$B$3-100)*3)+Inputs!$B$28+Inputs!$B$29)))</f>
        <v/>
      </c>
      <c r="E137">
        <f>INDEX(FactorTable!$B$2:$Y$301, MATCH(ROUND(MIN(300,MAX(1,D137)),0), FactorTable!$A$2:$A$301,0), Skills!M18+1)</f>
        <v/>
      </c>
      <c r="F137">
        <f>IF(Skills!N18=TRUE,(Skills!L18/10)*(E137/1000),Skills!L18/10)+Skills!O18</f>
        <v/>
      </c>
      <c r="G137">
        <f>Skills!G18*IF(Skills!H18&gt;0,Skills!I18/Skills!H18,1)</f>
        <v/>
      </c>
      <c r="H137">
        <f>1-(1-Skills!J18/100)^Skills!K18</f>
        <v/>
      </c>
      <c r="I137" t="inlineStr">
        <is>
          <t>1</t>
        </is>
      </c>
      <c r="J137" t="inlineStr"/>
      <c r="K137" t="inlineStr"/>
      <c r="L137" t="inlineStr"/>
      <c r="M137" t="inlineStr"/>
      <c r="N137" t="inlineStr"/>
      <c r="O137">
        <f>(1-Summary!$B$55)*T137+Summary!$B$55*V137</f>
        <v/>
      </c>
      <c r="P137">
        <f>IF(B159=0,0,O137/B159)</f>
        <v/>
      </c>
      <c r="Q137" t="n">
        <v>0</v>
      </c>
      <c r="R137" t="n">
        <v>0</v>
      </c>
      <c r="S137">
        <f>IFERROR(O137/N137,0)</f>
        <v/>
      </c>
      <c r="T137" t="n">
        <v>0</v>
      </c>
      <c r="V137" t="n">
        <v>0</v>
      </c>
    </row>
    <row r="138">
      <c r="A138">
        <f>Skills!A19</f>
        <v/>
      </c>
      <c r="B138">
        <f>Skills!B19</f>
        <v/>
      </c>
      <c r="C138">
        <f>Inputs!$B$3&gt;=15</f>
        <v/>
      </c>
      <c r="D138">
        <f>IF(Skills!C19=1,60+Inputs!$B$25+Inputs!$B$29,IF(Skills!C19=2,90+Inputs!$B$26+Inputs!$B$29,IF(Skills!C19=3,120+Inputs!$B$27+Inputs!$B$29,MAX(0,(Inputs!$B$3-100)*3)+Inputs!$B$28+Inputs!$B$29)))</f>
        <v/>
      </c>
      <c r="E138">
        <f>INDEX(FactorTable!$B$2:$Y$301, MATCH(ROUND(MIN(300,MAX(1,D138)),0), FactorTable!$A$2:$A$301,0), Skills!M19+1)</f>
        <v/>
      </c>
      <c r="F138">
        <f>IF(Skills!N19=TRUE,(Skills!L19/10)*(E138/1000),Skills!L19/10)+Skills!O19</f>
        <v/>
      </c>
      <c r="G138">
        <f>Skills!G19*IF(Skills!H19&gt;0,Skills!I19/Skills!H19,1)</f>
        <v/>
      </c>
      <c r="H138">
        <f>1-(1-Skills!J19/100)^Skills!K19</f>
        <v/>
      </c>
      <c r="I138" t="inlineStr">
        <is>
          <t>1</t>
        </is>
      </c>
      <c r="J138" t="inlineStr"/>
      <c r="K138" t="inlineStr"/>
      <c r="L138" t="inlineStr"/>
      <c r="M138" t="inlineStr"/>
      <c r="N138" t="inlineStr"/>
      <c r="O138">
        <f>(1-Summary!$B$55)*T138+Summary!$B$55*V138</f>
        <v/>
      </c>
      <c r="P138">
        <f>IF(B159=0,0,O138/B159)</f>
        <v/>
      </c>
      <c r="Q138" t="n">
        <v>0</v>
      </c>
      <c r="R138" t="n">
        <v>0</v>
      </c>
      <c r="S138">
        <f>IFERROR(O138/N138,0)</f>
        <v/>
      </c>
      <c r="T138" t="n">
        <v>0</v>
      </c>
      <c r="V138" t="n">
        <v>0</v>
      </c>
    </row>
    <row r="139">
      <c r="A139">
        <f>Skills!A20</f>
        <v/>
      </c>
      <c r="B139">
        <f>Skills!B20</f>
        <v/>
      </c>
      <c r="C139">
        <f>Inputs!$B$3&gt;=10</f>
        <v/>
      </c>
      <c r="D139">
        <f>IF(Skills!C20=1,60+Inputs!$B$25+Inputs!$B$29,IF(Skills!C20=2,90+Inputs!$B$26+Inputs!$B$29,IF(Skills!C20=3,120+Inputs!$B$27+Inputs!$B$29,MAX(0,(Inputs!$B$3-100)*3)+Inputs!$B$28+Inputs!$B$29)))</f>
        <v/>
      </c>
      <c r="E139">
        <f>INDEX(FactorTable!$B$2:$Y$301, MATCH(ROUND(MIN(300,MAX(1,D139)),0), FactorTable!$A$2:$A$301,0), Skills!M20+1)</f>
        <v/>
      </c>
      <c r="F139">
        <f>IF(Skills!N20=TRUE,(Skills!L20/10)*(E139/1000),Skills!L20/10)+Skills!O20</f>
        <v/>
      </c>
      <c r="G139">
        <f>Skills!G20*IF(Skills!H20&gt;0,Skills!I20/Skills!H20,1)</f>
        <v/>
      </c>
      <c r="H139">
        <f>1-(1-Skills!J20/100)^Skills!K20</f>
        <v/>
      </c>
      <c r="I139" t="inlineStr">
        <is>
          <t>1</t>
        </is>
      </c>
      <c r="J139" t="inlineStr"/>
      <c r="K139" t="inlineStr"/>
      <c r="L139" t="inlineStr"/>
      <c r="M139" t="inlineStr"/>
      <c r="N139" t="inlineStr"/>
      <c r="O139">
        <f>(1-Summary!$B$55)*T139+Summary!$B$55*V139</f>
        <v/>
      </c>
      <c r="P139">
        <f>IF(B159=0,0,O139/B159)</f>
        <v/>
      </c>
      <c r="Q139" t="n">
        <v>0</v>
      </c>
      <c r="R139" t="n">
        <v>0</v>
      </c>
      <c r="S139">
        <f>IFERROR(O139/N139,0)</f>
        <v/>
      </c>
      <c r="T139" t="n">
        <v>0</v>
      </c>
      <c r="V139" t="n">
        <v>0</v>
      </c>
    </row>
    <row r="140">
      <c r="A140">
        <f>Skills!A21</f>
        <v/>
      </c>
      <c r="B140">
        <f>Skills!B21</f>
        <v/>
      </c>
      <c r="C140">
        <f>Inputs!$B$3&gt;=33</f>
        <v/>
      </c>
      <c r="D140">
        <f>IF(Skills!C21=1,60+Inputs!$B$25+Inputs!$B$29,IF(Skills!C21=2,90+Inputs!$B$26+Inputs!$B$29,IF(Skills!C21=3,120+Inputs!$B$27+Inputs!$B$29,MAX(0,(Inputs!$B$3-100)*3)+Inputs!$B$28+Inputs!$B$29)))</f>
        <v/>
      </c>
      <c r="E140">
        <f>INDEX(FactorTable!$B$2:$Y$301, MATCH(ROUND(MIN(300,MAX(1,D140)),0), FactorTable!$A$2:$A$301,0), Skills!M21+1)</f>
        <v/>
      </c>
      <c r="F140">
        <f>IF(Skills!N21=TRUE,(Skills!L21/10)*(E140/1000),Skills!L21/10)+Skills!O21</f>
        <v/>
      </c>
      <c r="G140">
        <f>Skills!G21*IF(Skills!H21&gt;0,Skills!I21/Skills!H21,1)</f>
        <v/>
      </c>
      <c r="H140">
        <f>1-(1-Skills!J21/100)^Skills!K21</f>
        <v/>
      </c>
      <c r="I140" t="inlineStr">
        <is>
          <t>1</t>
        </is>
      </c>
      <c r="J140" t="inlineStr"/>
      <c r="K140" t="inlineStr"/>
      <c r="L140" t="inlineStr"/>
      <c r="M140" t="inlineStr"/>
      <c r="N140" t="inlineStr"/>
      <c r="O140">
        <f>(1-Summary!$B$55)*T140+Summary!$B$55*V140</f>
        <v/>
      </c>
      <c r="P140">
        <f>IF(B159=0,0,O140/B159)</f>
        <v/>
      </c>
      <c r="Q140" t="n">
        <v>0</v>
      </c>
      <c r="R140" t="n">
        <v>0</v>
      </c>
      <c r="S140">
        <f>IFERROR(O140/N140,0)</f>
        <v/>
      </c>
      <c r="T140" t="n">
        <v>0</v>
      </c>
      <c r="V140" t="n">
        <v>0</v>
      </c>
    </row>
    <row r="141">
      <c r="A141">
        <f>Skills!A22</f>
        <v/>
      </c>
      <c r="B141">
        <f>Skills!B22</f>
        <v/>
      </c>
      <c r="C141">
        <f>Inputs!$B$3&gt;=43</f>
        <v/>
      </c>
      <c r="D141">
        <f>IF(Skills!C22=1,60+Inputs!$B$25+Inputs!$B$29,IF(Skills!C22=2,90+Inputs!$B$26+Inputs!$B$29,IF(Skills!C22=3,120+Inputs!$B$27+Inputs!$B$29,MAX(0,(Inputs!$B$3-100)*3)+Inputs!$B$28+Inputs!$B$29)))</f>
        <v/>
      </c>
      <c r="E141">
        <f>INDEX(FactorTable!$B$2:$Y$301, MATCH(ROUND(MIN(300,MAX(1,D141)),0), FactorTable!$A$2:$A$301,0), Skills!M22+1)</f>
        <v/>
      </c>
      <c r="F141">
        <f>IF(Skills!N22=TRUE,(Skills!L22/10)*(E141/1000),Skills!L22/10)+Skills!O22</f>
        <v/>
      </c>
      <c r="G141">
        <f>Skills!G22*IF(Skills!H22&gt;0,Skills!I22/Skills!H22,1)</f>
        <v/>
      </c>
      <c r="H141">
        <f>1-(1-Skills!J22/100)^Skills!K22</f>
        <v/>
      </c>
      <c r="I141" t="inlineStr">
        <is>
          <t>1</t>
        </is>
      </c>
      <c r="J141" t="inlineStr"/>
      <c r="K141" t="inlineStr"/>
      <c r="L141" t="inlineStr"/>
      <c r="M141" t="inlineStr"/>
      <c r="N141" t="inlineStr"/>
      <c r="O141">
        <f>(1-Summary!$B$55)*T141+Summary!$B$55*V141</f>
        <v/>
      </c>
      <c r="P141">
        <f>IF(B159=0,0,O141/B159)</f>
        <v/>
      </c>
      <c r="Q141" t="n">
        <v>0</v>
      </c>
      <c r="R141" t="n">
        <v>0</v>
      </c>
      <c r="S141">
        <f>IFERROR(O141/N141,0)</f>
        <v/>
      </c>
      <c r="T141" t="n">
        <v>0</v>
      </c>
      <c r="V141" t="n">
        <v>0</v>
      </c>
    </row>
    <row r="142">
      <c r="A142">
        <f>Skills!A23</f>
        <v/>
      </c>
      <c r="B142">
        <f>Skills!B23</f>
        <v/>
      </c>
      <c r="C142">
        <f>Inputs!$B$3&gt;=38</f>
        <v/>
      </c>
      <c r="D142">
        <f>IF(Skills!C23=1,60+Inputs!$B$25+Inputs!$B$29,IF(Skills!C23=2,90+Inputs!$B$26+Inputs!$B$29,IF(Skills!C23=3,120+Inputs!$B$27+Inputs!$B$29,MAX(0,(Inputs!$B$3-100)*3)+Inputs!$B$28+Inputs!$B$29)))</f>
        <v/>
      </c>
      <c r="E142">
        <f>INDEX(FactorTable!$B$2:$Y$301, MATCH(ROUND(MIN(300,MAX(1,D142)),0), FactorTable!$A$2:$A$301,0), Skills!M23+1)</f>
        <v/>
      </c>
      <c r="F142">
        <f>IF(Skills!N23=TRUE,(Skills!L23/10)*(E142/1000),Skills!L23/10)+Skills!O23</f>
        <v/>
      </c>
      <c r="G142">
        <f>Skills!G23*IF(Skills!H23&gt;0,Skills!I23/Skills!H23,1)</f>
        <v/>
      </c>
      <c r="H142">
        <f>1-(1-Skills!J23/100)^Skills!K23</f>
        <v/>
      </c>
      <c r="I142" t="inlineStr">
        <is>
          <t>1</t>
        </is>
      </c>
      <c r="J142" t="inlineStr"/>
      <c r="K142" t="inlineStr"/>
      <c r="L142" t="inlineStr"/>
      <c r="M142" t="inlineStr"/>
      <c r="N142" t="inlineStr"/>
      <c r="O142">
        <f>(1-Summary!$B$55)*T142+Summary!$B$55*V142</f>
        <v/>
      </c>
      <c r="P142">
        <f>IF(B159=0,0,O142/B159)</f>
        <v/>
      </c>
      <c r="Q142" t="n">
        <v>0</v>
      </c>
      <c r="R142" t="n">
        <v>0</v>
      </c>
      <c r="S142">
        <f>IFERROR(O142/N142,0)</f>
        <v/>
      </c>
      <c r="T142" t="n">
        <v>0</v>
      </c>
      <c r="V142" t="n">
        <v>0</v>
      </c>
    </row>
    <row r="143">
      <c r="A143">
        <f>Skills!A24</f>
        <v/>
      </c>
      <c r="B143">
        <f>Skills!B24</f>
        <v/>
      </c>
      <c r="C143">
        <f>Inputs!$B$3&gt;=40</f>
        <v/>
      </c>
      <c r="D143">
        <f>IF(Skills!C24=1,60+Inputs!$B$25+Inputs!$B$29,IF(Skills!C24=2,90+Inputs!$B$26+Inputs!$B$29,IF(Skills!C24=3,120+Inputs!$B$27+Inputs!$B$29,MAX(0,(Inputs!$B$3-100)*3)+Inputs!$B$28+Inputs!$B$29)))</f>
        <v/>
      </c>
      <c r="E143">
        <f>INDEX(FactorTable!$B$2:$Y$301, MATCH(ROUND(MIN(300,MAX(1,D143)),0), FactorTable!$A$2:$A$301,0), Skills!M24+1)</f>
        <v/>
      </c>
      <c r="F143">
        <f>IF(Skills!N24=TRUE,(Skills!L24/10)*(E143/1000),Skills!L24/10)+Skills!O24</f>
        <v/>
      </c>
      <c r="G143">
        <f>Skills!G24*IF(Skills!H24&gt;0,Skills!I24/Skills!H24,1)</f>
        <v/>
      </c>
      <c r="H143">
        <f>1-(1-Skills!J24/100)^Skills!K24</f>
        <v/>
      </c>
      <c r="I143" t="inlineStr">
        <is>
          <t>1</t>
        </is>
      </c>
      <c r="J143" t="inlineStr"/>
      <c r="K143" t="inlineStr"/>
      <c r="L143" t="inlineStr"/>
      <c r="M143" t="inlineStr"/>
      <c r="N143" t="inlineStr"/>
      <c r="O143">
        <f>(1-Summary!$B$55)*T143+Summary!$B$55*V143</f>
        <v/>
      </c>
      <c r="P143">
        <f>IF(B159=0,0,O143/B159)</f>
        <v/>
      </c>
      <c r="Q143" t="n">
        <v>0</v>
      </c>
      <c r="R143" t="n">
        <v>0</v>
      </c>
      <c r="S143">
        <f>IFERROR(O143/N143,0)</f>
        <v/>
      </c>
      <c r="T143" t="n">
        <v>0</v>
      </c>
      <c r="V143" t="n">
        <v>0</v>
      </c>
    </row>
    <row r="144">
      <c r="A144">
        <f>Skills!A25</f>
        <v/>
      </c>
      <c r="B144">
        <f>Skills!B25</f>
        <v/>
      </c>
      <c r="C144">
        <f>Inputs!$B$3&gt;=72</f>
        <v/>
      </c>
      <c r="D144">
        <f>IF(Skills!C25=1,60+Inputs!$B$25+Inputs!$B$29,IF(Skills!C25=2,90+Inputs!$B$26+Inputs!$B$29,IF(Skills!C25=3,120+Inputs!$B$27+Inputs!$B$29,MAX(0,(Inputs!$B$3-100)*3)+Inputs!$B$28+Inputs!$B$29)))</f>
        <v/>
      </c>
      <c r="E144">
        <f>INDEX(FactorTable!$B$2:$Y$301, MATCH(ROUND(MIN(300,MAX(1,D144)),0), FactorTable!$A$2:$A$301,0), Skills!M25+1)</f>
        <v/>
      </c>
      <c r="F144">
        <f>IF(Skills!N25=TRUE,(Skills!L25/10)*(E144/1000),Skills!L25/10)+Skills!O25</f>
        <v/>
      </c>
      <c r="G144">
        <f>Skills!G25*IF(Skills!H25&gt;0,Skills!I25/Skills!H25,1)</f>
        <v/>
      </c>
      <c r="H144">
        <f>1-(1-Skills!J25/100)^Skills!K25</f>
        <v/>
      </c>
      <c r="I144" t="inlineStr">
        <is>
          <t>1</t>
        </is>
      </c>
      <c r="J144" t="inlineStr"/>
      <c r="K144" t="inlineStr"/>
      <c r="L144" t="inlineStr"/>
      <c r="M144" t="inlineStr"/>
      <c r="N144" t="inlineStr"/>
      <c r="O144">
        <f>(1-Summary!$B$55)*T144+Summary!$B$55*V144</f>
        <v/>
      </c>
      <c r="P144">
        <f>IF(B159=0,0,O144/B159)</f>
        <v/>
      </c>
      <c r="Q144" t="n">
        <v>0</v>
      </c>
      <c r="R144" t="n">
        <v>0</v>
      </c>
      <c r="S144">
        <f>IFERROR(O144/N144,0)</f>
        <v/>
      </c>
      <c r="T144" t="n">
        <v>0</v>
      </c>
      <c r="V144" t="n">
        <v>0</v>
      </c>
    </row>
    <row r="145">
      <c r="A145">
        <f>Skills!A26</f>
        <v/>
      </c>
      <c r="B145">
        <f>Skills!B26</f>
        <v/>
      </c>
      <c r="C145">
        <f>Inputs!$B$3&gt;=75</f>
        <v/>
      </c>
      <c r="D145">
        <f>IF(Skills!C26=1,60+Inputs!$B$25+Inputs!$B$29,IF(Skills!C26=2,90+Inputs!$B$26+Inputs!$B$29,IF(Skills!C26=3,120+Inputs!$B$27+Inputs!$B$29,MAX(0,(Inputs!$B$3-100)*3)+Inputs!$B$28+Inputs!$B$29)))</f>
        <v/>
      </c>
      <c r="E145">
        <f>INDEX(FactorTable!$B$2:$Y$301, MATCH(ROUND(MIN(300,MAX(1,D145)),0), FactorTable!$A$2:$A$301,0), Skills!M26+1)</f>
        <v/>
      </c>
      <c r="F145">
        <f>IF(Skills!N26=TRUE,(Skills!L26/10)*(E145/1000),Skills!L26/10)+Skills!O26</f>
        <v/>
      </c>
      <c r="G145">
        <f>Skills!G26*IF(Skills!H26&gt;0,Skills!I26/Skills!H26,1)</f>
        <v/>
      </c>
      <c r="H145">
        <f>1-(1-Skills!J26/100)^Skills!K26</f>
        <v/>
      </c>
      <c r="I145" t="inlineStr">
        <is>
          <t>1</t>
        </is>
      </c>
      <c r="J145" t="inlineStr"/>
      <c r="K145" t="inlineStr"/>
      <c r="L145" t="inlineStr"/>
      <c r="M145" t="inlineStr"/>
      <c r="N145" t="inlineStr"/>
      <c r="O145">
        <f>(1-Summary!$B$55)*T145+Summary!$B$55*V145</f>
        <v/>
      </c>
      <c r="P145">
        <f>IF(B159=0,0,O145/B159)</f>
        <v/>
      </c>
      <c r="Q145" t="n">
        <v>0</v>
      </c>
      <c r="R145" t="n">
        <v>0</v>
      </c>
      <c r="S145">
        <f>IFERROR(O145/N145,0)</f>
        <v/>
      </c>
      <c r="T145" t="n">
        <v>0</v>
      </c>
      <c r="V145" t="n">
        <v>0</v>
      </c>
    </row>
    <row r="146">
      <c r="A146">
        <f>Skills!A27</f>
        <v/>
      </c>
      <c r="B146">
        <f>Skills!B27</f>
        <v/>
      </c>
      <c r="C146">
        <f>Inputs!$B$3&gt;=117</f>
        <v/>
      </c>
      <c r="D146">
        <f>IF(Skills!C27=1,60+Inputs!$B$25+Inputs!$B$29,IF(Skills!C27=2,90+Inputs!$B$26+Inputs!$B$29,IF(Skills!C27=3,120+Inputs!$B$27+Inputs!$B$29,MAX(0,(Inputs!$B$3-100)*3)+Inputs!$B$28+Inputs!$B$29)))</f>
        <v/>
      </c>
      <c r="E146">
        <f>INDEX(FactorTable!$B$2:$Y$301, MATCH(ROUND(MIN(300,MAX(1,D146)),0), FactorTable!$A$2:$A$301,0), Skills!M27+1)</f>
        <v/>
      </c>
      <c r="F146">
        <f>IF(Skills!N27=TRUE,(Skills!L27/10)*(E146/1000),Skills!L27/10)+Skills!O27</f>
        <v/>
      </c>
      <c r="G146">
        <f>Skills!G27*IF(Skills!H27&gt;0,Skills!I27/Skills!H27,1)</f>
        <v/>
      </c>
      <c r="H146">
        <f>1-(1-Skills!J27/100)^Skills!K27</f>
        <v/>
      </c>
      <c r="I146" t="inlineStr">
        <is>
          <t>1</t>
        </is>
      </c>
      <c r="J146" t="inlineStr"/>
      <c r="K146" t="inlineStr"/>
      <c r="L146" t="inlineStr"/>
      <c r="M146" t="inlineStr"/>
      <c r="N146" t="inlineStr"/>
      <c r="O146">
        <f>(1-Summary!$B$55)*T146+Summary!$B$55*V146</f>
        <v/>
      </c>
      <c r="P146">
        <f>IF(B159=0,0,O146/B159)</f>
        <v/>
      </c>
      <c r="Q146" t="n">
        <v>0</v>
      </c>
      <c r="R146" t="n">
        <v>0</v>
      </c>
      <c r="S146">
        <f>IFERROR(O146/N146,0)</f>
        <v/>
      </c>
      <c r="T146" t="n">
        <v>0</v>
      </c>
      <c r="V146" t="n">
        <v>0</v>
      </c>
    </row>
    <row r="148">
      <c r="A148" t="inlineStr">
        <is>
          <t>Attack% Bucket Multiplier</t>
        </is>
      </c>
      <c r="B148">
        <f>(1+(((C136=TRUE)*F136)+((C143=TRUE)*(F143-Calc!F24)))/100)</f>
        <v/>
      </c>
    </row>
    <row r="149">
      <c r="A149" t="inlineStr">
        <is>
          <t>Global Crit Rate Bonus %</t>
        </is>
      </c>
      <c r="B149" t="n">
        <v>0</v>
      </c>
    </row>
    <row r="150">
      <c r="A150" t="inlineStr">
        <is>
          <t>Attack Speed Buff Bonus % (unused)</t>
        </is>
      </c>
      <c r="B150" t="n">
        <v>0</v>
      </c>
    </row>
    <row r="151">
      <c r="A151" t="inlineStr">
        <is>
          <t>Actions Per Second</t>
        </is>
      </c>
      <c r="B151">
        <f>1+MIN(150,150*(1-(1-(Inputs!$B$11+((C139=TRUE)*(F139-Calc!F20))+((C140=TRUE)*(F140-Calc!F21)))/150)*(1-B150/150)))/100</f>
        <v/>
      </c>
    </row>
    <row r="152">
      <c r="A152" t="inlineStr">
        <is>
          <t>Skill + Buff Cast Rate</t>
        </is>
      </c>
      <c r="B152">
        <f>IF(AND(Inputs!$B$38&lt;&gt;"pvp",Inputs!$B$43&gt;0),SUMPRODUCT((Skills!E2:E27=TRUE)*(C121:C146=TRUE)*R121:R146*Skills!F2:F27)/Inputs!$B$43,SUMPRODUCT((Skills!E2:E27=TRUE)*(C121:C146=TRUE)*Q121:Q146*Skills!F2:F27))</f>
        <v/>
      </c>
    </row>
    <row r="153">
      <c r="A153" t="inlineStr">
        <is>
          <t>Eight-Legs Easton Casts Per Second</t>
        </is>
      </c>
      <c r="B153">
        <f>MAX(0,B151-B152)</f>
        <v/>
      </c>
    </row>
    <row r="154">
      <c r="A154" t="inlineStr">
        <is>
          <t>Global Critical Damage Bonus % (unused)</t>
        </is>
      </c>
      <c r="B154" t="n">
        <v>0</v>
      </c>
    </row>
    <row r="155">
      <c r="A155" t="inlineStr">
        <is>
          <t>Global Final Damage Bonus % (Jolly Roger only)</t>
        </is>
      </c>
      <c r="B155">
        <f>((C137=TRUE)*F137)</f>
        <v/>
      </c>
    </row>
    <row r="156">
      <c r="A156" t="inlineStr">
        <is>
          <t>Buff-Casting Startup Delay (s, fixed-duration only)</t>
        </is>
      </c>
      <c r="B156">
        <f>IF(AND(Inputs!$B$38&lt;&gt;"pvp",Inputs!$B$43&gt;0),SUMPRODUCT((Skills!T2:T27&gt;0)*(Skills!E2:E27=TRUE)*(C121:C146=TRUE))/B151,0)</f>
        <v/>
      </c>
    </row>
    <row r="157">
      <c r="A157" t="inlineStr">
        <is>
          <t>Boss-Only Total DPS (this block's swept value)</t>
        </is>
      </c>
      <c r="B157">
        <f>SUM(T121:T146)</f>
        <v/>
      </c>
    </row>
    <row r="158">
      <c r="A158" t="inlineStr">
        <is>
          <t>Normal-Only Total DPS (this block's swept value)</t>
        </is>
      </c>
      <c r="B158">
        <f>SUM(V121:V146)</f>
        <v/>
      </c>
    </row>
    <row r="159">
      <c r="A159" s="5" t="inlineStr">
        <is>
          <t>TOTAL DPS</t>
        </is>
      </c>
      <c r="B159" s="5">
        <f>SUM(O121:O146)</f>
        <v/>
      </c>
    </row>
    <row r="162">
      <c r="A162" s="5" t="inlineStr">
        <is>
          <t>Stat: DAMAGE %</t>
        </is>
      </c>
    </row>
    <row r="163">
      <c r="A163" s="9" t="inlineStr">
        <is>
          <t>Key</t>
        </is>
      </c>
      <c r="B163" s="9" t="inlineStr">
        <is>
          <t>Name</t>
        </is>
      </c>
      <c r="C163" s="9" t="inlineStr">
        <is>
          <t>Unlocked</t>
        </is>
      </c>
      <c r="D163" s="9" t="inlineStr">
        <is>
          <t>InputLevel</t>
        </is>
      </c>
      <c r="E163" s="9" t="inlineStr">
        <is>
          <t>Factor</t>
        </is>
      </c>
      <c r="F163" s="9" t="inlineStr">
        <is>
          <t>CoefficientPercent</t>
        </is>
      </c>
      <c r="G163" s="9" t="inlineStr">
        <is>
          <t>EffectiveHits</t>
        </is>
      </c>
      <c r="H163" s="9" t="inlineStr">
        <is>
          <t>ProcProbability</t>
        </is>
      </c>
      <c r="I163" s="9" t="inlineStr">
        <is>
          <t>MapleHeroMultiplier</t>
        </is>
      </c>
      <c r="J163" s="9" t="inlineStr">
        <is>
          <t>BaseDamage</t>
        </is>
      </c>
      <c r="K163" s="9" t="inlineStr">
        <is>
          <t>BaseHitDamage</t>
        </is>
      </c>
      <c r="L163" s="9" t="inlineStr">
        <is>
          <t>NonCritAvg</t>
        </is>
      </c>
      <c r="M163" s="9" t="inlineStr">
        <is>
          <t>CritAvg</t>
        </is>
      </c>
      <c r="N163" s="9" t="inlineStr">
        <is>
          <t>ExpectedDamage(perHit)</t>
        </is>
      </c>
      <c r="O163" s="9" t="inlineStr">
        <is>
          <t>DPS</t>
        </is>
      </c>
      <c r="P163" s="9" t="inlineStr">
        <is>
          <t>% of Total</t>
        </is>
      </c>
      <c r="Q163" s="9" t="inlineStr">
        <is>
          <t>InvCooldown</t>
        </is>
      </c>
      <c r="R163" s="9" t="inlineStr">
        <is>
          <t>CastsInFight</t>
        </is>
      </c>
      <c r="S163" s="9" t="inlineStr">
        <is>
          <t>HitRate(perSec)</t>
        </is>
      </c>
      <c r="U163" t="inlineStr">
        <is>
          <t>helpers</t>
        </is>
      </c>
    </row>
    <row r="164">
      <c r="A164">
        <f>Skills!A2</f>
        <v/>
      </c>
      <c r="B164">
        <f>Skills!B2</f>
        <v/>
      </c>
      <c r="C164">
        <f>Inputs!$B$3&gt;=100</f>
        <v/>
      </c>
      <c r="D164" t="inlineStr"/>
      <c r="E164" t="inlineStr"/>
      <c r="F164">
        <f>U166+Skills!O2</f>
        <v/>
      </c>
      <c r="G164">
        <f>Skills!G2*IF(Skills!H2&gt;0,Skills!I2/Skills!H2,1)</f>
        <v/>
      </c>
      <c r="H164">
        <f>1-(1-Skills!J2/100)^Skills!K2</f>
        <v/>
      </c>
      <c r="I164" t="inlineStr">
        <is>
          <t>1</t>
        </is>
      </c>
      <c r="J164">
        <f>((Inputs!$B$6*(1+Inputs!$B$7/100))+(((Inputs!$B$12*(1+Inputs!$B$13/100))-(Inputs!$B$12*(1+Inputs!$B$13/100)))+0.25*(Inputs!$B$14-Inputs!$B$14))*(1+Inputs!$B$7/100))*(F164/100)</f>
        <v/>
      </c>
      <c r="K164">
        <f>J164*(1+((Inputs!$B$12*(1+Inputs!$B$13/100))*0.01+Inputs!$B$14*0.0025)/100)*(1+(Inputs!$B$15+1)/100)*(1+Inputs!$B$16/100)*(5000/(6000+Inputs!$B$42*(1-(Inputs!$B$19+0)/100)))*(1+(Inputs!$B$24+((C188=TRUE)*(F188-Calc!F26))+B198)/100)*(1+(IF(Skills!A2="EIGHT_LEGS_EASTON",Inputs!$B$17+((C185=TRUE)*(F185-Calc!F23))+((C189=TRUE)*(F189-Calc!F27)),Inputs!$B$18+0))/100)*((1+(((C179=TRUE)*F179)+((C186=TRUE)*(F186-Calc!F24)))/100)*I164)</f>
        <v/>
      </c>
      <c r="L164">
        <f>K164*(MIN(Inputs!$B$22+((C184=TRUE)*(F184-Calc!F22)),Inputs!$B$23+0)/100+(Inputs!$B$23+0)/100)/2</f>
        <v/>
      </c>
      <c r="M164">
        <f>L164*(1+(Inputs!$B$10+((C187=TRUE)*(F187-Calc!F25))+B197)/100)</f>
        <v/>
      </c>
      <c r="N164">
        <f>L164*(1-MIN((Inputs!$B$9+((C181=TRUE)*(F181-Calc!F19))+B192),100)/100)+M164*(MIN((Inputs!$B$9+((C181=TRUE)*(F181-Calc!F19))+B192),100)/100)</f>
        <v/>
      </c>
      <c r="O164">
        <f>(1-Summary!$B$55)*T164+Summary!$B$55*V164</f>
        <v/>
      </c>
      <c r="P164">
        <f>IF(B202=0,0,O164/B202)</f>
        <v/>
      </c>
      <c r="Q164" t="n">
        <v>0</v>
      </c>
      <c r="R164" t="n">
        <v>0</v>
      </c>
      <c r="S164">
        <f>IFERROR(O164/N164,0)</f>
        <v/>
      </c>
      <c r="T164">
        <f>IF(C164,(Skills!G2*N164*B196)*IF(Inputs!$B$38="pvp",1,1+(Inputs!$B$20+0+Skills!P2)/100),0)</f>
        <v/>
      </c>
      <c r="U164">
        <f>MAX(0,(Inputs!$B$3-100)*3)+Inputs!$B$28+Inputs!$B$29</f>
        <v/>
      </c>
      <c r="V164">
        <f>IF(C164,(Skills!G2*N164*B196)*IF(Inputs!$B$38="pvp",1,(1+(Inputs!$B$21+Skills!Q2)/100)*(MIN((6+Inputs!$B$33),Inputs!$B$37))),0)</f>
        <v/>
      </c>
    </row>
    <row r="165">
      <c r="A165">
        <f>Skills!A3</f>
        <v/>
      </c>
      <c r="B165">
        <f>Skills!B3</f>
        <v/>
      </c>
      <c r="C165">
        <f>Inputs!$B$3&gt;=35</f>
        <v/>
      </c>
      <c r="D165">
        <f>IF(Skills!C3=1,60+Inputs!$B$25+Inputs!$B$29,IF(Skills!C3=2,90+Inputs!$B$26+Inputs!$B$29,IF(Skills!C3=3,120+Inputs!$B$27+Inputs!$B$29,MAX(0,(Inputs!$B$3-100)*3)+Inputs!$B$28+Inputs!$B$29)))</f>
        <v/>
      </c>
      <c r="E165">
        <f>INDEX(FactorTable!$B$2:$Y$301, MATCH(ROUND(MIN(300,MAX(1,D165)),0), FactorTable!$A$2:$A$301,0), Skills!M3+1)</f>
        <v/>
      </c>
      <c r="F165">
        <f>IF(Skills!N3=TRUE,(Skills!L3/10)*(E165/1000),Skills!L3/10)+Skills!O3</f>
        <v/>
      </c>
      <c r="G165">
        <f>Skills!G3*IF(Skills!H3&gt;0,Skills!I3/Skills!H3,1)</f>
        <v/>
      </c>
      <c r="H165">
        <f>1-(1-Skills!J3/100)^Skills!K3</f>
        <v/>
      </c>
      <c r="I165" t="inlineStr">
        <is>
          <t>1</t>
        </is>
      </c>
      <c r="J165">
        <f>((Inputs!$B$6*(1+Inputs!$B$7/100))+(((Inputs!$B$12*(1+Inputs!$B$13/100))-(Inputs!$B$12*(1+Inputs!$B$13/100)))+0.25*(Inputs!$B$14-Inputs!$B$14))*(1+Inputs!$B$7/100))*(F165/100)</f>
        <v/>
      </c>
      <c r="K165">
        <f>J165*(1+((Inputs!$B$12*(1+Inputs!$B$13/100))*0.01+Inputs!$B$14*0.0025)/100)*(1+(Inputs!$B$15+1)/100)*(1+Inputs!$B$16/100)*(5000/(6000+Inputs!$B$42*(1-(Inputs!$B$19+0)/100)))*(1+(Inputs!$B$24+((C188=TRUE)*(F188-Calc!F26))+B198)/100)*(1+4.0*IF(C177=TRUE,F177,0)/100)*(1+(IF(Skills!A3="EIGHT_LEGS_EASTON",Inputs!$B$17+((C185=TRUE)*(F185-Calc!F23))+((C189=TRUE)*(F189-Calc!F27)),Inputs!$B$18+0))/100)*((1+(((C179=TRUE)*F179)+((C186=TRUE)*(F186-Calc!F24)))/100)*I165)</f>
        <v/>
      </c>
      <c r="L165">
        <f>K165*(MIN(Inputs!$B$22+((C184=TRUE)*(F184-Calc!F22)),Inputs!$B$23+0)/100+(Inputs!$B$23+0)/100)/2</f>
        <v/>
      </c>
      <c r="M165">
        <f>L165*(1+(Inputs!$B$10+((C187=TRUE)*(F187-Calc!F25))+B197)/100)</f>
        <v/>
      </c>
      <c r="N165">
        <f>L165*(1-MIN((Inputs!$B$9+((C181=TRUE)*(F181-Calc!F19))+B192),100)/100)+M165*(MIN((Inputs!$B$9+((C181=TRUE)*(F181-Calc!F19))+B192),100)/100)</f>
        <v/>
      </c>
      <c r="O165">
        <f>(1-Summary!$B$55)*T165+Summary!$B$55*V165</f>
        <v/>
      </c>
      <c r="P165">
        <f>IF(B202=0,0,O165/B202)</f>
        <v/>
      </c>
      <c r="Q165">
        <f>IFERROR(1/IF(Inputs!$B$38="pvp",15,MAX(0.1,Skills!D3-IF(Skills!E3=TRUE,Inputs!$B$32,0))),0)</f>
        <v/>
      </c>
      <c r="R165">
        <f>IF(AND(Inputs!$B$38&lt;&gt;"pvp",Inputs!$B$43&gt;0),IF(MAX(0,Inputs!$B$43-B199)&lt;=0,0,(INT(MAX(0,Inputs!$B$43-B199)/IF(Inputs!$B$38="pvp",15,MAX(0.1,Skills!D3-IF(Skills!E3=TRUE,Inputs!$B$32,0))))+1)),0)</f>
        <v/>
      </c>
      <c r="S165">
        <f>IFERROR(O165/N165,0)</f>
        <v/>
      </c>
      <c r="T165">
        <f>IF(C165,(H165*N165*IF(AND(Inputs!$B$38&lt;&gt;"pvp",Inputs!$B$43&gt;0),((Skills!G3*((R165-1)*IF(Skills!H3&gt;0,Skills!I3/Skills!H3,1)+IF(Skills!H3&gt;0,MIN(Skills!I3,MAX(0,MAX(0,Inputs!$B$43-B199)-((R165-1)*IF(Inputs!$B$38="pvp",15,MAX(0.1,Skills!D3-IF(Skills!E3=TRUE,Inputs!$B$32,0))))))/Skills!H3,1)))/Inputs!$B$43),G165*Q165))*IF(Inputs!$B$38="pvp",1,1+(Inputs!$B$20+0+Skills!P3)/100),0)</f>
        <v/>
      </c>
      <c r="U165">
        <f>INDEX(FactorTable!$B$2:$Y$301, MATCH(ROUND(MIN(300,MAX(1,U164)),0), FactorTable!$A$2:$A$301,0), 22)</f>
        <v/>
      </c>
      <c r="V165">
        <f>IF(C165,(H165*N165*IF(AND(Inputs!$B$38&lt;&gt;"pvp",Inputs!$B$43&gt;0),((Skills!G3*((R165-1)*IF(Skills!H3&gt;0,Skills!I3/Skills!H3,1)+IF(Skills!H3&gt;0,MIN(Skills!I3,MAX(0,MAX(0,Inputs!$B$43-B199)-((R165-1)*IF(Inputs!$B$38="pvp",15,MAX(0.1,Skills!D3-IF(Skills!E3=TRUE,Inputs!$B$32,0))))))/Skills!H3,1)))/Inputs!$B$43),G165*Q165))*IF(Inputs!$B$38="pvp",1,(1+(Inputs!$B$21+Skills!Q3)/100)*(MIN(Skills!R3,Inputs!$B$37))),0)</f>
        <v/>
      </c>
    </row>
    <row r="166">
      <c r="A166">
        <f>Skills!A4</f>
        <v/>
      </c>
      <c r="B166">
        <f>Skills!B4</f>
        <v/>
      </c>
      <c r="C166">
        <f>Inputs!$B$3&gt;=40</f>
        <v/>
      </c>
      <c r="D166">
        <f>IF(Skills!C4=1,60+Inputs!$B$25+Inputs!$B$29,IF(Skills!C4=2,90+Inputs!$B$26+Inputs!$B$29,IF(Skills!C4=3,120+Inputs!$B$27+Inputs!$B$29,MAX(0,(Inputs!$B$3-100)*3)+Inputs!$B$28+Inputs!$B$29)))</f>
        <v/>
      </c>
      <c r="E166">
        <f>INDEX(FactorTable!$B$2:$Y$301, MATCH(ROUND(MIN(300,MAX(1,D166)),0), FactorTable!$A$2:$A$301,0), Skills!M4+1)</f>
        <v/>
      </c>
      <c r="F166">
        <f>IF(Skills!N4=TRUE,(Skills!L4/10)*(E166/1000),Skills!L4/10)+Skills!O4</f>
        <v/>
      </c>
      <c r="G166">
        <f>Skills!G4*IF(Skills!H4&gt;0,Skills!I4/Skills!H4,1)</f>
        <v/>
      </c>
      <c r="H166">
        <f>1-(1-Skills!J4/100)^Skills!K4</f>
        <v/>
      </c>
      <c r="I166" t="inlineStr">
        <is>
          <t>1</t>
        </is>
      </c>
      <c r="J166">
        <f>((Inputs!$B$6*(1+Inputs!$B$7/100))+(((Inputs!$B$12*(1+Inputs!$B$13/100))-(Inputs!$B$12*(1+Inputs!$B$13/100)))+0.25*(Inputs!$B$14-Inputs!$B$14))*(1+Inputs!$B$7/100))*(F166/100)</f>
        <v/>
      </c>
      <c r="K166">
        <f>J166*(1+((Inputs!$B$12*(1+Inputs!$B$13/100))*0.01+Inputs!$B$14*0.0025)/100)*(1+(Inputs!$B$15+1)/100)*(1+Inputs!$B$16/100)*(5000/(6000+Inputs!$B$42*(1-(Inputs!$B$19+0)/100)))*(1+(Inputs!$B$24+((C188=TRUE)*(F188-Calc!F26))+B198)/100)*(1+1.0*IF(C178=TRUE,F178,0)/100)*(1+(IF(Skills!A4="EIGHT_LEGS_EASTON",Inputs!$B$17+((C185=TRUE)*(F185-Calc!F23))+((C189=TRUE)*(F189-Calc!F27)),Inputs!$B$18+0))/100)*((1+(((C179=TRUE)*F179)+((C186=TRUE)*(F186-Calc!F24)))/100)*I166)</f>
        <v/>
      </c>
      <c r="L166">
        <f>K166*(MIN(Inputs!$B$22+((C184=TRUE)*(F184-Calc!F22)),Inputs!$B$23+0)/100+(Inputs!$B$23+0)/100)/2</f>
        <v/>
      </c>
      <c r="M166">
        <f>L166*(1+(Inputs!$B$10+((C187=TRUE)*(F187-Calc!F25))+B197)/100)</f>
        <v/>
      </c>
      <c r="N166">
        <f>L166*(1-MIN((Inputs!$B$9+((C181=TRUE)*(F181-Calc!F19))+B192),100)/100)+M166*(MIN((Inputs!$B$9+((C181=TRUE)*(F181-Calc!F19))+B192),100)/100)</f>
        <v/>
      </c>
      <c r="O166">
        <f>(1-Summary!$B$55)*T166+Summary!$B$55*V166</f>
        <v/>
      </c>
      <c r="P166">
        <f>IF(B202=0,0,O166/B202)</f>
        <v/>
      </c>
      <c r="Q166">
        <f>IFERROR(1/IF(Inputs!$B$38="pvp",15,MAX(0.1,Skills!D4-IF(Skills!E4=TRUE,Inputs!$B$32,0))),0)</f>
        <v/>
      </c>
      <c r="R166">
        <f>IF(AND(Inputs!$B$38&lt;&gt;"pvp",Inputs!$B$43&gt;0),IF(MAX(0,Inputs!$B$43-B199)&lt;=0,0,(INT(MAX(0,Inputs!$B$43-B199)/IF(Inputs!$B$38="pvp",15,MAX(0.1,Skills!D4-IF(Skills!E4=TRUE,Inputs!$B$32,0))))+1)),0)</f>
        <v/>
      </c>
      <c r="S166">
        <f>IFERROR(O166/N166,0)</f>
        <v/>
      </c>
      <c r="T166">
        <f>IF(C166,(H166*N166*IF(AND(Inputs!$B$38&lt;&gt;"pvp",Inputs!$B$43&gt;0),((Skills!G4*((R166-1)*IF(Skills!H4&gt;0,Skills!I4/Skills!H4,1)+IF(Skills!H4&gt;0,MIN(Skills!I4,MAX(0,MAX(0,Inputs!$B$43-B199)-((R166-1)*IF(Inputs!$B$38="pvp",15,MAX(0.1,Skills!D4-IF(Skills!E4=TRUE,Inputs!$B$32,0))))))/Skills!H4,1)))/Inputs!$B$43),G166*Q166))*IF(Inputs!$B$38="pvp",1,1+(Inputs!$B$20+0+Skills!P4)/100),0)</f>
        <v/>
      </c>
      <c r="U166">
        <f>290*U165/1000</f>
        <v/>
      </c>
      <c r="V166">
        <f>IF(C166,(H166*N166*IF(AND(Inputs!$B$38&lt;&gt;"pvp",Inputs!$B$43&gt;0),((Skills!G4*((R166-1)*IF(Skills!H4&gt;0,Skills!I4/Skills!H4,1)+IF(Skills!H4&gt;0,MIN(Skills!I4,MAX(0,MAX(0,Inputs!$B$43-B199)-((R166-1)*IF(Inputs!$B$38="pvp",15,MAX(0.1,Skills!D4-IF(Skills!E4=TRUE,Inputs!$B$32,0))))))/Skills!H4,1)))/Inputs!$B$43),G166*Q166))*IF(Inputs!$B$38="pvp",1,(1+(Inputs!$B$21+Skills!Q4)/100)*(MIN(Skills!R4,Inputs!$B$37))),0)</f>
        <v/>
      </c>
    </row>
    <row r="167">
      <c r="A167">
        <f>Skills!A5</f>
        <v/>
      </c>
      <c r="B167">
        <f>Skills!B5</f>
        <v/>
      </c>
      <c r="C167">
        <f>Inputs!$B$3&gt;=45</f>
        <v/>
      </c>
      <c r="D167">
        <f>IF(Skills!C5=1,60+Inputs!$B$25+Inputs!$B$29,IF(Skills!C5=2,90+Inputs!$B$26+Inputs!$B$29,IF(Skills!C5=3,120+Inputs!$B$27+Inputs!$B$29,MAX(0,(Inputs!$B$3-100)*3)+Inputs!$B$28+Inputs!$B$29)))</f>
        <v/>
      </c>
      <c r="E167">
        <f>INDEX(FactorTable!$B$2:$Y$301, MATCH(ROUND(MIN(300,MAX(1,D167)),0), FactorTable!$A$2:$A$301,0), Skills!M5+1)</f>
        <v/>
      </c>
      <c r="F167">
        <f>IF(Skills!N5=TRUE,(Skills!L5/10)*(E167/1000),Skills!L5/10)+Skills!O5</f>
        <v/>
      </c>
      <c r="G167">
        <f>Skills!G5*IF(Skills!H5&gt;0,Skills!I5/Skills!H5,1)</f>
        <v/>
      </c>
      <c r="H167">
        <f>1-(1-Skills!J5/100)^Skills!K5</f>
        <v/>
      </c>
      <c r="I167" t="inlineStr">
        <is>
          <t>1</t>
        </is>
      </c>
      <c r="J167">
        <f>((Inputs!$B$6*(1+Inputs!$B$7/100))+(((Inputs!$B$12*(1+Inputs!$B$13/100))-(Inputs!$B$12*(1+Inputs!$B$13/100)))+0.25*(Inputs!$B$14-Inputs!$B$14))*(1+Inputs!$B$7/100))*(F167/100)</f>
        <v/>
      </c>
      <c r="K167">
        <f>J167*(1+((Inputs!$B$12*(1+Inputs!$B$13/100))*0.01+Inputs!$B$14*0.0025)/100)*(1+(Inputs!$B$15+1)/100)*(1+Inputs!$B$16/100)*(5000/(6000+Inputs!$B$42*(1-(Inputs!$B$19+0)/100)))*(1+(Inputs!$B$24+((C188=TRUE)*(F188-Calc!F26))+B198)/100)*(1+0.4*IF(C178=TRUE,F178,0)/100)*(1+(IF(Skills!A5="EIGHT_LEGS_EASTON",Inputs!$B$17+((C185=TRUE)*(F185-Calc!F23))+((C189=TRUE)*(F189-Calc!F27)),Inputs!$B$18+0))/100)*((1+(((C179=TRUE)*F179)+((C186=TRUE)*(F186-Calc!F24)))/100)*I167)</f>
        <v/>
      </c>
      <c r="L167">
        <f>K167*(MIN(Inputs!$B$22+((C184=TRUE)*(F184-Calc!F22)),Inputs!$B$23+0)/100+(Inputs!$B$23+0)/100)/2</f>
        <v/>
      </c>
      <c r="M167">
        <f>L167*(1+(Inputs!$B$10+((C187=TRUE)*(F187-Calc!F25))+B197)/100)</f>
        <v/>
      </c>
      <c r="N167">
        <f>L167*(1-MIN((Inputs!$B$9+((C181=TRUE)*(F181-Calc!F19))+B192),100)/100)+M167*(MIN((Inputs!$B$9+((C181=TRUE)*(F181-Calc!F19))+B192),100)/100)</f>
        <v/>
      </c>
      <c r="O167">
        <f>(1-Summary!$B$55)*T167+Summary!$B$55*V167</f>
        <v/>
      </c>
      <c r="P167">
        <f>IF(B202=0,0,O167/B202)</f>
        <v/>
      </c>
      <c r="Q167">
        <f>IFERROR(1/IF(Inputs!$B$38="pvp",15,MAX(0.1,Skills!D5-IF(Skills!E5=TRUE,Inputs!$B$32,0))),0)</f>
        <v/>
      </c>
      <c r="R167">
        <f>IF(AND(Inputs!$B$38&lt;&gt;"pvp",Inputs!$B$43&gt;0),IF(MAX(0,Inputs!$B$43-B199)&lt;=0,0,(INT(MAX(0,Inputs!$B$43-B199)/IF(Inputs!$B$38="pvp",15,MAX(0.1,Skills!D5-IF(Skills!E5=TRUE,Inputs!$B$32,0))))+1)),0)</f>
        <v/>
      </c>
      <c r="S167">
        <f>IFERROR(O167/N167,0)</f>
        <v/>
      </c>
      <c r="T167">
        <f>IF(C167,(H167*N167*IF(AND(Inputs!$B$38&lt;&gt;"pvp",Inputs!$B$43&gt;0),((Skills!G5*((R167-1)*IF(Skills!H5&gt;0,Skills!I5/Skills!H5,1)+IF(Skills!H5&gt;0,MIN(Skills!I5,MAX(0,MAX(0,Inputs!$B$43-B199)-((R167-1)*IF(Inputs!$B$38="pvp",15,MAX(0.1,Skills!D5-IF(Skills!E5=TRUE,Inputs!$B$32,0))))))/Skills!H5,1)))/Inputs!$B$43),G167*Q167))*IF(Inputs!$B$38="pvp",1,1+(Inputs!$B$20+0+Skills!P5)/100),0)</f>
        <v/>
      </c>
      <c r="V167">
        <f>IF(C167,(H167*N167*IF(AND(Inputs!$B$38&lt;&gt;"pvp",Inputs!$B$43&gt;0),((Skills!G5*((R167-1)*IF(Skills!H5&gt;0,Skills!I5/Skills!H5,1)+IF(Skills!H5&gt;0,MIN(Skills!I5,MAX(0,MAX(0,Inputs!$B$43-B199)-((R167-1)*IF(Inputs!$B$38="pvp",15,MAX(0.1,Skills!D5-IF(Skills!E5=TRUE,Inputs!$B$32,0))))))/Skills!H5,1)))/Inputs!$B$43),G167*Q167))*IF(Inputs!$B$38="pvp",1,(1+(Inputs!$B$21+Skills!Q5)/100)*(MIN(Skills!R5,Inputs!$B$37))),0)</f>
        <v/>
      </c>
    </row>
    <row r="168">
      <c r="A168">
        <f>Skills!A6</f>
        <v/>
      </c>
      <c r="B168">
        <f>Skills!B6</f>
        <v/>
      </c>
      <c r="C168">
        <f>Inputs!$B$3&gt;=63</f>
        <v/>
      </c>
      <c r="D168">
        <f>IF(Skills!C6=1,60+Inputs!$B$25+Inputs!$B$29,IF(Skills!C6=2,90+Inputs!$B$26+Inputs!$B$29,IF(Skills!C6=3,120+Inputs!$B$27+Inputs!$B$29,MAX(0,(Inputs!$B$3-100)*3)+Inputs!$B$28+Inputs!$B$29)))</f>
        <v/>
      </c>
      <c r="E168">
        <f>INDEX(FactorTable!$B$2:$Y$301, MATCH(ROUND(MIN(300,MAX(1,D168)),0), FactorTable!$A$2:$A$301,0), Skills!M6+1)</f>
        <v/>
      </c>
      <c r="F168">
        <f>IF(Skills!N6=TRUE,(Skills!L6/10)*(E168/1000),Skills!L6/10)+Skills!O6</f>
        <v/>
      </c>
      <c r="G168">
        <f>Skills!G6*IF(Skills!H6&gt;0,Skills!I6/Skills!H6,1)</f>
        <v/>
      </c>
      <c r="H168">
        <f>1-(1-Skills!J6/100)^Skills!K6</f>
        <v/>
      </c>
      <c r="I168" t="inlineStr">
        <is>
          <t>1</t>
        </is>
      </c>
      <c r="J168">
        <f>((Inputs!$B$6*(1+Inputs!$B$7/100))+(((Inputs!$B$12*(1+Inputs!$B$13/100))-(Inputs!$B$12*(1+Inputs!$B$13/100)))+0.25*(Inputs!$B$14-Inputs!$B$14))*(1+Inputs!$B$7/100))*(F168/100)</f>
        <v/>
      </c>
      <c r="K168">
        <f>J168*(1+((Inputs!$B$12*(1+Inputs!$B$13/100))*0.01+Inputs!$B$14*0.0025)/100)*(1+(Inputs!$B$15+1)/100)*(1+Inputs!$B$16/100)*(5000/(6000+Inputs!$B$42*(1-(Inputs!$B$19+0)/100)))*(1+(Inputs!$B$24+((C188=TRUE)*(F188-Calc!F26))+B198)/100)*(1+2.0*IF(C177=TRUE,F177,0)/100)*(1+(IF(Skills!A6="EIGHT_LEGS_EASTON",Inputs!$B$17+((C185=TRUE)*(F185-Calc!F23))+((C189=TRUE)*(F189-Calc!F27)),Inputs!$B$18+0))/100)*((1+(((C179=TRUE)*F179)+((C186=TRUE)*(F186-Calc!F24)))/100)*I168)</f>
        <v/>
      </c>
      <c r="L168">
        <f>K168*(MIN(Inputs!$B$22+((C184=TRUE)*(F184-Calc!F22)),Inputs!$B$23+0)/100+(Inputs!$B$23+0)/100)/2</f>
        <v/>
      </c>
      <c r="M168">
        <f>L168*(1+(Inputs!$B$10+((C187=TRUE)*(F187-Calc!F25))+B197)/100)</f>
        <v/>
      </c>
      <c r="N168">
        <f>L168*(1-MIN((Inputs!$B$9+((C181=TRUE)*(F181-Calc!F19))+B192),100)/100)+M168*(MIN((Inputs!$B$9+((C181=TRUE)*(F181-Calc!F19))+B192),100)/100)</f>
        <v/>
      </c>
      <c r="O168">
        <f>(1-Summary!$B$55)*T168+Summary!$B$55*V168</f>
        <v/>
      </c>
      <c r="P168">
        <f>IF(B202=0,0,O168/B202)</f>
        <v/>
      </c>
      <c r="Q168">
        <f>IFERROR(1/IF(Inputs!$B$38="pvp",15,MAX(0.1,Skills!D6-IF(Skills!E6=TRUE,Inputs!$B$32,0))),0)</f>
        <v/>
      </c>
      <c r="R168">
        <f>IF(AND(Inputs!$B$38&lt;&gt;"pvp",Inputs!$B$43&gt;0),IF(MAX(0,Inputs!$B$43-B199)&lt;=0,0,(INT(MAX(0,Inputs!$B$43-B199)/IF(Inputs!$B$38="pvp",15,MAX(0.1,Skills!D6-IF(Skills!E6=TRUE,Inputs!$B$32,0))))+1)),0)</f>
        <v/>
      </c>
      <c r="S168">
        <f>IFERROR(O168/N168,0)</f>
        <v/>
      </c>
      <c r="T168">
        <f>IF(C168,(H168*N168*IF(AND(Inputs!$B$38&lt;&gt;"pvp",Inputs!$B$43&gt;0),((Skills!G6*((R168-1)*IF(Skills!H6&gt;0,Skills!I6/Skills!H6,1)+IF(Skills!H6&gt;0,MIN(Skills!I6,MAX(0,MAX(0,Inputs!$B$43-B199)-((R168-1)*IF(Inputs!$B$38="pvp",15,MAX(0.1,Skills!D6-IF(Skills!E6=TRUE,Inputs!$B$32,0))))))/Skills!H6,1)))/Inputs!$B$43),G168*Q168))*IF(Inputs!$B$38="pvp",1,1+(Inputs!$B$20+0+Skills!P6)/100),0)</f>
        <v/>
      </c>
      <c r="V168">
        <f>IF(C168,(H168*N168*IF(AND(Inputs!$B$38&lt;&gt;"pvp",Inputs!$B$43&gt;0),((Skills!G6*((R168-1)*IF(Skills!H6&gt;0,Skills!I6/Skills!H6,1)+IF(Skills!H6&gt;0,MIN(Skills!I6,MAX(0,MAX(0,Inputs!$B$43-B199)-((R168-1)*IF(Inputs!$B$38="pvp",15,MAX(0.1,Skills!D6-IF(Skills!E6=TRUE,Inputs!$B$32,0))))))/Skills!H6,1)))/Inputs!$B$43),G168*Q168))*IF(Inputs!$B$38="pvp",1,(1+(Inputs!$B$21+Skills!Q6)/100)*(MIN(Skills!R6,Inputs!$B$37))),0)</f>
        <v/>
      </c>
    </row>
    <row r="169">
      <c r="A169">
        <f>Skills!A7</f>
        <v/>
      </c>
      <c r="B169">
        <f>Skills!B7</f>
        <v/>
      </c>
      <c r="C169">
        <f>Inputs!$B$3&gt;=66</f>
        <v/>
      </c>
      <c r="D169">
        <f>IF(Skills!C7=1,60+Inputs!$B$25+Inputs!$B$29,IF(Skills!C7=2,90+Inputs!$B$26+Inputs!$B$29,IF(Skills!C7=3,120+Inputs!$B$27+Inputs!$B$29,MAX(0,(Inputs!$B$3-100)*3)+Inputs!$B$28+Inputs!$B$29)))</f>
        <v/>
      </c>
      <c r="E169">
        <f>INDEX(FactorTable!$B$2:$Y$301, MATCH(ROUND(MIN(300,MAX(1,D169)),0), FactorTable!$A$2:$A$301,0), Skills!M7+1)</f>
        <v/>
      </c>
      <c r="F169">
        <f>IF(Skills!N7=TRUE,(Skills!L7/10)*(E169/1000),Skills!L7/10)+Skills!O7</f>
        <v/>
      </c>
      <c r="G169">
        <f>Skills!G7*IF(Skills!H7&gt;0,Skills!I7/Skills!H7,1)</f>
        <v/>
      </c>
      <c r="H169">
        <f>1-(1-Skills!J7/100)^Skills!K7</f>
        <v/>
      </c>
      <c r="I169" t="inlineStr">
        <is>
          <t>1</t>
        </is>
      </c>
      <c r="J169">
        <f>((Inputs!$B$6*(1+Inputs!$B$7/100))+(((Inputs!$B$12*(1+Inputs!$B$13/100))-(Inputs!$B$12*(1+Inputs!$B$13/100)))+0.25*(Inputs!$B$14-Inputs!$B$14))*(1+Inputs!$B$7/100))*(F169/100)</f>
        <v/>
      </c>
      <c r="K169">
        <f>J169*(1+((Inputs!$B$12*(1+Inputs!$B$13/100))*0.01+Inputs!$B$14*0.0025)/100)*(1+(Inputs!$B$15+1)/100)*(1+Inputs!$B$16/100)*(5000/(6000+Inputs!$B$42*(1-(Inputs!$B$19+0)/100)))*(1+(Inputs!$B$24+((C188=TRUE)*(F188-Calc!F26))+B198)/100)*(1+1.0*IF(C177=TRUE,F177,0)/100)*(1+(IF(Skills!A7="EIGHT_LEGS_EASTON",Inputs!$B$17+((C185=TRUE)*(F185-Calc!F23))+((C189=TRUE)*(F189-Calc!F27)),Inputs!$B$18+0))/100)*((1+(((C179=TRUE)*F179)+((C186=TRUE)*(F186-Calc!F24)))/100)*I169)</f>
        <v/>
      </c>
      <c r="L169">
        <f>K169*(MIN(Inputs!$B$22+((C184=TRUE)*(F184-Calc!F22)),Inputs!$B$23+0)/100+(Inputs!$B$23+0)/100)/2</f>
        <v/>
      </c>
      <c r="M169">
        <f>L169*(1+(Inputs!$B$10+((C187=TRUE)*(F187-Calc!F25))+B197)/100)</f>
        <v/>
      </c>
      <c r="N169">
        <f>L169*(1-MIN((Inputs!$B$9+((C181=TRUE)*(F181-Calc!F19))+B192),100)/100)+M169*(MIN((Inputs!$B$9+((C181=TRUE)*(F181-Calc!F19))+B192),100)/100)</f>
        <v/>
      </c>
      <c r="O169">
        <f>(1-Summary!$B$55)*T169+Summary!$B$55*V169</f>
        <v/>
      </c>
      <c r="P169">
        <f>IF(B202=0,0,O169/B202)</f>
        <v/>
      </c>
      <c r="Q169">
        <f>IFERROR(1/IF(Inputs!$B$38="pvp",15,MAX(0.1,Skills!D7-IF(Skills!E7=TRUE,Inputs!$B$32,0))),0)</f>
        <v/>
      </c>
      <c r="R169">
        <f>IF(AND(Inputs!$B$38&lt;&gt;"pvp",Inputs!$B$43&gt;0),IF(MAX(0,Inputs!$B$43-B199)&lt;=0,0,(INT(MAX(0,Inputs!$B$43-B199)/IF(Inputs!$B$38="pvp",15,MAX(0.1,Skills!D7-IF(Skills!E7=TRUE,Inputs!$B$32,0))))+1)),0)</f>
        <v/>
      </c>
      <c r="S169">
        <f>IFERROR(O169/N169,0)</f>
        <v/>
      </c>
      <c r="T169">
        <f>IF(C169,(H169*N169*IF(AND(Inputs!$B$38&lt;&gt;"pvp",Inputs!$B$43&gt;0),((Skills!G7*((R169-1)*IF(Skills!H7&gt;0,Skills!I7/Skills!H7,1)+IF(Skills!H7&gt;0,MIN(Skills!I7,MAX(0,MAX(0,Inputs!$B$43-B199)-((R169-1)*IF(Inputs!$B$38="pvp",15,MAX(0.1,Skills!D7-IF(Skills!E7=TRUE,Inputs!$B$32,0))))))/Skills!H7,1)))/Inputs!$B$43),G169*Q169))*IF(Inputs!$B$38="pvp",1,1+(Inputs!$B$20+0+Skills!P7)/100),0)</f>
        <v/>
      </c>
      <c r="V169">
        <f>IF(C169,(H169*N169*IF(AND(Inputs!$B$38&lt;&gt;"pvp",Inputs!$B$43&gt;0),((Skills!G7*((R169-1)*IF(Skills!H7&gt;0,Skills!I7/Skills!H7,1)+IF(Skills!H7&gt;0,MIN(Skills!I7,MAX(0,MAX(0,Inputs!$B$43-B199)-((R169-1)*IF(Inputs!$B$38="pvp",15,MAX(0.1,Skills!D7-IF(Skills!E7=TRUE,Inputs!$B$32,0))))))/Skills!H7,1)))/Inputs!$B$43),G169*Q169))*IF(Inputs!$B$38="pvp",1,(1+(Inputs!$B$21+Skills!Q7)/100)*(MIN(Skills!R7,Inputs!$B$37))),0)</f>
        <v/>
      </c>
    </row>
    <row r="170">
      <c r="A170">
        <f>Skills!A8</f>
        <v/>
      </c>
      <c r="B170">
        <f>Skills!B8</f>
        <v/>
      </c>
      <c r="C170">
        <f>Inputs!$B$3&gt;=100</f>
        <v/>
      </c>
      <c r="D170">
        <f>IF(Skills!C8=1,60+Inputs!$B$25+Inputs!$B$29,IF(Skills!C8=2,90+Inputs!$B$26+Inputs!$B$29,IF(Skills!C8=3,120+Inputs!$B$27+Inputs!$B$29,MAX(0,(Inputs!$B$3-100)*3)+Inputs!$B$28+Inputs!$B$29)))</f>
        <v/>
      </c>
      <c r="E170">
        <f>INDEX(FactorTable!$B$2:$Y$301, MATCH(ROUND(MIN(300,MAX(1,D170)),0), FactorTable!$A$2:$A$301,0), Skills!M8+1)</f>
        <v/>
      </c>
      <c r="F170">
        <f>IF(Skills!N8=TRUE,(Skills!L8/10)*(E170/1000),Skills!L8/10)+Skills!O8</f>
        <v/>
      </c>
      <c r="G170">
        <f>Skills!G8*IF(Skills!H8&gt;0,Skills!I8/Skills!H8,1)</f>
        <v/>
      </c>
      <c r="H170">
        <f>1-(1-Skills!J8/100)^Skills!K8</f>
        <v/>
      </c>
      <c r="I170" t="inlineStr">
        <is>
          <t>1</t>
        </is>
      </c>
      <c r="J170">
        <f>((Inputs!$B$6*(1+Inputs!$B$7/100))+(((Inputs!$B$12*(1+Inputs!$B$13/100))-(Inputs!$B$12*(1+Inputs!$B$13/100)))+0.25*(Inputs!$B$14-Inputs!$B$14))*(1+Inputs!$B$7/100))*(F170/100)</f>
        <v/>
      </c>
      <c r="K170">
        <f>J170*(1+((Inputs!$B$12*(1+Inputs!$B$13/100))*0.01+Inputs!$B$14*0.0025)/100)*(1+(Inputs!$B$15+1)/100)*(1+Inputs!$B$16/100)*(5000/(6000+Inputs!$B$42*(1-(Inputs!$B$19+0)/100)))*(1+(Inputs!$B$24+((C188=TRUE)*(F188-Calc!F26))+B198)/100)*(1+(IF(Skills!A8="EIGHT_LEGS_EASTON",Inputs!$B$17+((C185=TRUE)*(F185-Calc!F23))+((C189=TRUE)*(F189-Calc!F27)),Inputs!$B$18+0))/100)*((1+(((C179=TRUE)*F179)+((C186=TRUE)*(F186-Calc!F24)))/100)*I170)</f>
        <v/>
      </c>
      <c r="L170">
        <f>K170*(MIN(Inputs!$B$22+((C184=TRUE)*(F184-Calc!F22)),Inputs!$B$23+0)/100+(Inputs!$B$23+0)/100)/2</f>
        <v/>
      </c>
      <c r="M170">
        <f>L170*(1+(Inputs!$B$10+((C187=TRUE)*(F187-Calc!F25))+B197)/100)</f>
        <v/>
      </c>
      <c r="N170">
        <f>L170*(1-MIN((Inputs!$B$9+((C181=TRUE)*(F181-Calc!F19))+B192),100)/100)+M170*(MIN((Inputs!$B$9+((C181=TRUE)*(F181-Calc!F19))+B192),100)/100)</f>
        <v/>
      </c>
      <c r="O170">
        <f>(1-Summary!$B$55)*T170+Summary!$B$55*V170</f>
        <v/>
      </c>
      <c r="P170">
        <f>IF(B202=0,0,O170/B202)</f>
        <v/>
      </c>
      <c r="Q170">
        <f>IFERROR(1/IF(Inputs!$B$38="pvp",15,MAX(0.1,Skills!D8-IF(Skills!E8=TRUE,Inputs!$B$32,0))),0)</f>
        <v/>
      </c>
      <c r="R170">
        <f>IF(AND(Inputs!$B$38&lt;&gt;"pvp",Inputs!$B$43&gt;0),IF(MAX(0,Inputs!$B$43-B199)&lt;=0,0,(INT(MAX(0,Inputs!$B$43-B199)/IF(Inputs!$B$38="pvp",15,MAX(0.1,Skills!D8-IF(Skills!E8=TRUE,Inputs!$B$32,0))))+1)),0)</f>
        <v/>
      </c>
      <c r="S170">
        <f>IFERROR(O170/N170,0)</f>
        <v/>
      </c>
      <c r="T170">
        <f>IF(C170,(H170*N170*IF(AND(Inputs!$B$38&lt;&gt;"pvp",Inputs!$B$43&gt;0),((Skills!G8*((R170-1)*IF(Skills!H8&gt;0,Skills!I8/Skills!H8,1)+IF(Skills!H8&gt;0,MIN(Skills!I8,MAX(0,MAX(0,Inputs!$B$43-B199)-((R170-1)*IF(Inputs!$B$38="pvp",15,MAX(0.1,Skills!D8-IF(Skills!E8=TRUE,Inputs!$B$32,0))))))/Skills!H8,1)))/Inputs!$B$43),G170*Q170))*IF(Inputs!$B$38="pvp",1,1+(Inputs!$B$20+0+Skills!P8)/100),0)</f>
        <v/>
      </c>
      <c r="V170">
        <f>IF(C170,(H170*N170*IF(AND(Inputs!$B$38&lt;&gt;"pvp",Inputs!$B$43&gt;0),((Skills!G8*((R170-1)*IF(Skills!H8&gt;0,Skills!I8/Skills!H8,1)+IF(Skills!H8&gt;0,MIN(Skills!I8,MAX(0,MAX(0,Inputs!$B$43-B199)-((R170-1)*IF(Inputs!$B$38="pvp",15,MAX(0.1,Skills!D8-IF(Skills!E8=TRUE,Inputs!$B$32,0))))))/Skills!H8,1)))/Inputs!$B$43),G170*Q170))*IF(Inputs!$B$38="pvp",1,(1+(Inputs!$B$21+Skills!Q8)/100)*(MIN(Skills!R8,Inputs!$B$37))),0)</f>
        <v/>
      </c>
    </row>
    <row r="171">
      <c r="A171">
        <f>Skills!A9</f>
        <v/>
      </c>
      <c r="B171">
        <f>Skills!B9</f>
        <v/>
      </c>
      <c r="C171">
        <f>Inputs!$B$3&gt;=103</f>
        <v/>
      </c>
      <c r="D171">
        <f>IF(Skills!C9=1,60+Inputs!$B$25+Inputs!$B$29,IF(Skills!C9=2,90+Inputs!$B$26+Inputs!$B$29,IF(Skills!C9=3,120+Inputs!$B$27+Inputs!$B$29,MAX(0,(Inputs!$B$3-100)*3)+Inputs!$B$28+Inputs!$B$29)))</f>
        <v/>
      </c>
      <c r="E171">
        <f>INDEX(FactorTable!$B$2:$Y$301, MATCH(ROUND(MIN(300,MAX(1,D171)),0), FactorTable!$A$2:$A$301,0), Skills!M9+1)</f>
        <v/>
      </c>
      <c r="F171">
        <f>IF(Skills!N9=TRUE,(Skills!L9/10)*(E171/1000),Skills!L9/10)+Skills!O9</f>
        <v/>
      </c>
      <c r="G171">
        <f>Skills!G9*IF(Skills!H9&gt;0,Skills!I9/Skills!H9,1)</f>
        <v/>
      </c>
      <c r="H171">
        <f>1-(1-Skills!J9/100)^Skills!K9</f>
        <v/>
      </c>
      <c r="I171" t="inlineStr">
        <is>
          <t>1</t>
        </is>
      </c>
      <c r="J171">
        <f>((Inputs!$B$6*(1+Inputs!$B$7/100))+(((Inputs!$B$12*(1+Inputs!$B$13/100))-(Inputs!$B$12*(1+Inputs!$B$13/100)))+0.25*(Inputs!$B$14-Inputs!$B$14))*(1+Inputs!$B$7/100))*(F171/100)</f>
        <v/>
      </c>
      <c r="K171">
        <f>J171*(1+((Inputs!$B$12*(1+Inputs!$B$13/100))*0.01+Inputs!$B$14*0.0025)/100)*(1+(Inputs!$B$15+1)/100)*(1+Inputs!$B$16/100)*(5000/(6000+Inputs!$B$42*(1-(Inputs!$B$19+0)/100)))*(1+(Inputs!$B$24+((C188=TRUE)*(F188-Calc!F26))+B198)/100)*(1+(IF(Skills!A9="EIGHT_LEGS_EASTON",Inputs!$B$17+((C185=TRUE)*(F185-Calc!F23))+((C189=TRUE)*(F189-Calc!F27)),Inputs!$B$18+0))/100)*((1+(((C179=TRUE)*F179)+((C186=TRUE)*(F186-Calc!F24)))/100)*I171)</f>
        <v/>
      </c>
      <c r="L171">
        <f>K171*(MIN(Inputs!$B$22+((C184=TRUE)*(F184-Calc!F22)),Inputs!$B$23+0)/100+(Inputs!$B$23+0)/100)/2</f>
        <v/>
      </c>
      <c r="M171">
        <f>L171*(1+(Inputs!$B$10+((C187=TRUE)*(F187-Calc!F25))+B197)/100)</f>
        <v/>
      </c>
      <c r="N171">
        <f>L171*(1-MIN((Inputs!$B$9+((C181=TRUE)*(F181-Calc!F19))+B192),100)/100)+M171*(MIN((Inputs!$B$9+((C181=TRUE)*(F181-Calc!F19))+B192),100)/100)</f>
        <v/>
      </c>
      <c r="O171">
        <f>(1-Summary!$B$55)*T171+Summary!$B$55*V171</f>
        <v/>
      </c>
      <c r="P171">
        <f>IF(B202=0,0,O171/B202)</f>
        <v/>
      </c>
      <c r="Q171">
        <f>IFERROR(1/IF(Inputs!$B$38="pvp",15,MAX(0.1,Skills!D9-IF(Skills!E9=TRUE,Inputs!$B$32,0))),0)</f>
        <v/>
      </c>
      <c r="R171">
        <f>IF(AND(Inputs!$B$38&lt;&gt;"pvp",Inputs!$B$43&gt;0),IF(MAX(0,Inputs!$B$43-B199)&lt;=0,0,(INT(MAX(0,Inputs!$B$43-B199)/IF(Inputs!$B$38="pvp",15,MAX(0.1,Skills!D9-IF(Skills!E9=TRUE,Inputs!$B$32,0))))+1)),0)</f>
        <v/>
      </c>
      <c r="S171">
        <f>IFERROR(O171/N171,0)</f>
        <v/>
      </c>
      <c r="T171">
        <f>IF(C171,(H171*N171*IF(AND(Inputs!$B$38&lt;&gt;"pvp",Inputs!$B$43&gt;0),((Skills!G9*((R171-1)*IF(Skills!H9&gt;0,Skills!I9/Skills!H9,1)+IF(Skills!H9&gt;0,MIN(Skills!I9,MAX(0,MAX(0,Inputs!$B$43-B199)-((R171-1)*IF(Inputs!$B$38="pvp",15,MAX(0.1,Skills!D9-IF(Skills!E9=TRUE,Inputs!$B$32,0))))))/Skills!H9,1)))/Inputs!$B$43),G171*Q171))*IF(Inputs!$B$38="pvp",1,1+(Inputs!$B$20+0+Skills!P9)/100),0)</f>
        <v/>
      </c>
      <c r="V171">
        <f>IF(C171,(H171*N171*IF(AND(Inputs!$B$38&lt;&gt;"pvp",Inputs!$B$43&gt;0),((Skills!G9*((R171-1)*IF(Skills!H9&gt;0,Skills!I9/Skills!H9,1)+IF(Skills!H9&gt;0,MIN(Skills!I9,MAX(0,MAX(0,Inputs!$B$43-B199)-((R171-1)*IF(Inputs!$B$38="pvp",15,MAX(0.1,Skills!D9-IF(Skills!E9=TRUE,Inputs!$B$32,0))))))/Skills!H9,1)))/Inputs!$B$43),G171*Q171))*IF(Inputs!$B$38="pvp",1,(1+(Inputs!$B$21+Skills!Q9)/100)*(MIN(Skills!R9,Inputs!$B$37))),0)</f>
        <v/>
      </c>
    </row>
    <row r="172">
      <c r="A172">
        <f>Skills!A10</f>
        <v/>
      </c>
      <c r="B172">
        <f>Skills!B10</f>
        <v/>
      </c>
      <c r="C172">
        <f>Inputs!$B$3&gt;=113</f>
        <v/>
      </c>
      <c r="D172">
        <f>IF(Skills!C10=1,60+Inputs!$B$25+Inputs!$B$29,IF(Skills!C10=2,90+Inputs!$B$26+Inputs!$B$29,IF(Skills!C10=3,120+Inputs!$B$27+Inputs!$B$29,MAX(0,(Inputs!$B$3-100)*3)+Inputs!$B$28+Inputs!$B$29)))</f>
        <v/>
      </c>
      <c r="E172">
        <f>INDEX(FactorTable!$B$2:$Y$301, MATCH(ROUND(MIN(300,MAX(1,D172)),0), FactorTable!$A$2:$A$301,0), Skills!M10+1)</f>
        <v/>
      </c>
      <c r="F172">
        <f>IF(Skills!N10=TRUE,(Skills!L10/10)*(E172/1000),Skills!L10/10)+Skills!O10</f>
        <v/>
      </c>
      <c r="G172">
        <f>Skills!G10*IF(Skills!H10&gt;0,Skills!I10/Skills!H10,1)</f>
        <v/>
      </c>
      <c r="H172">
        <f>1-(1-Skills!J10/100)^Skills!K10</f>
        <v/>
      </c>
      <c r="I172" t="inlineStr">
        <is>
          <t>1</t>
        </is>
      </c>
      <c r="J172">
        <f>((Inputs!$B$6*(1+Inputs!$B$7/100))+(((Inputs!$B$12*(1+Inputs!$B$13/100))-(Inputs!$B$12*(1+Inputs!$B$13/100)))+0.25*(Inputs!$B$14-Inputs!$B$14))*(1+Inputs!$B$7/100))*(F172/100)</f>
        <v/>
      </c>
      <c r="K172">
        <f>J172*(1+((Inputs!$B$12*(1+Inputs!$B$13/100))*0.01+Inputs!$B$14*0.0025)/100)*(1+(Inputs!$B$15+1)/100)*(1+Inputs!$B$16/100)*(5000/(6000+Inputs!$B$42*(1-(Inputs!$B$19+0)/100)))*(1+(Inputs!$B$24+((C188=TRUE)*(F188-Calc!F26))+B198)/100)*(1+(IF(Skills!A10="EIGHT_LEGS_EASTON",Inputs!$B$17+((C185=TRUE)*(F185-Calc!F23))+((C189=TRUE)*(F189-Calc!F27)),Inputs!$B$18+0))/100)*((1+(((C179=TRUE)*F179)+((C186=TRUE)*(F186-Calc!F24)))/100)*I172)</f>
        <v/>
      </c>
      <c r="L172">
        <f>K172*(MIN(Inputs!$B$22+((C184=TRUE)*(F184-Calc!F22)),Inputs!$B$23+0)/100+(Inputs!$B$23+0)/100)/2</f>
        <v/>
      </c>
      <c r="M172">
        <f>L172*(1+(Inputs!$B$10+((C187=TRUE)*(F187-Calc!F25))+B197)/100)</f>
        <v/>
      </c>
      <c r="N172">
        <f>L172*(1-MIN((Inputs!$B$9+((C181=TRUE)*(F181-Calc!F19))+B192),100)/100)+M172*(MIN((Inputs!$B$9+((C181=TRUE)*(F181-Calc!F19))+B192),100)/100)</f>
        <v/>
      </c>
      <c r="O172">
        <f>(1-Summary!$B$55)*T172+Summary!$B$55*V172</f>
        <v/>
      </c>
      <c r="P172">
        <f>IF(B202=0,0,O172/B202)</f>
        <v/>
      </c>
      <c r="Q172">
        <f>IFERROR(1/IF(Inputs!$B$38="pvp",15,MAX(0.1,Skills!D10-IF(Skills!E10=TRUE,Inputs!$B$32,0))),0)</f>
        <v/>
      </c>
      <c r="R172">
        <f>IF(AND(Inputs!$B$38&lt;&gt;"pvp",Inputs!$B$43&gt;0),IF(MAX(0,Inputs!$B$43-B199)&lt;=0,0,(INT(MAX(0,Inputs!$B$43-B199)/IF(Inputs!$B$38="pvp",15,MAX(0.1,Skills!D10-IF(Skills!E10=TRUE,Inputs!$B$32,0))))+1)),0)</f>
        <v/>
      </c>
      <c r="S172">
        <f>IFERROR(O172/N172,0)</f>
        <v/>
      </c>
      <c r="T172">
        <f>IF(C172,(H172*N172*IF(AND(Inputs!$B$38&lt;&gt;"pvp",Inputs!$B$43&gt;0),((Skills!G10*((R172-1)*IF(Skills!H10&gt;0,Skills!I10/Skills!H10,1)+IF(Skills!H10&gt;0,MIN(Skills!I10,MAX(0,MAX(0,Inputs!$B$43-B199)-((R172-1)*IF(Inputs!$B$38="pvp",15,MAX(0.1,Skills!D10-IF(Skills!E10=TRUE,Inputs!$B$32,0))))))/Skills!H10,1)))/Inputs!$B$43),G172*Q172))*IF(Inputs!$B$38="pvp",1,1+(Inputs!$B$20+0+Skills!P10)/100),0)</f>
        <v/>
      </c>
      <c r="V172">
        <f>IF(C172,(H172*N172*IF(AND(Inputs!$B$38&lt;&gt;"pvp",Inputs!$B$43&gt;0),((Skills!G10*((R172-1)*IF(Skills!H10&gt;0,Skills!I10/Skills!H10,1)+IF(Skills!H10&gt;0,MIN(Skills!I10,MAX(0,MAX(0,Inputs!$B$43-B199)-((R172-1)*IF(Inputs!$B$38="pvp",15,MAX(0.1,Skills!D10-IF(Skills!E10=TRUE,Inputs!$B$32,0))))))/Skills!H10,1)))/Inputs!$B$43),G172*Q172))*IF(Inputs!$B$38="pvp",1,(1+(Inputs!$B$21+Skills!Q10)/100)*(MIN(Skills!R10,Inputs!$B$37))),0)</f>
        <v/>
      </c>
    </row>
    <row r="173">
      <c r="A173">
        <f>Skills!A11</f>
        <v/>
      </c>
      <c r="B173">
        <f>Skills!B11</f>
        <v/>
      </c>
      <c r="C173">
        <f>Inputs!$B$3&gt;=107</f>
        <v/>
      </c>
      <c r="D173">
        <f>IF(Skills!C11=1,60+Inputs!$B$25+Inputs!$B$29,IF(Skills!C11=2,90+Inputs!$B$26+Inputs!$B$29,IF(Skills!C11=3,120+Inputs!$B$27+Inputs!$B$29,MAX(0,(Inputs!$B$3-100)*3)+Inputs!$B$28+Inputs!$B$29)))</f>
        <v/>
      </c>
      <c r="E173">
        <f>INDEX(FactorTable!$B$2:$Y$301, MATCH(ROUND(MIN(300,MAX(1,D173)),0), FactorTable!$A$2:$A$301,0), Skills!M11+1)</f>
        <v/>
      </c>
      <c r="F173">
        <f>IF(Skills!N11=TRUE,(Skills!L11/10)*(E173/1000),Skills!L11/10)+Skills!O11</f>
        <v/>
      </c>
      <c r="G173">
        <f>Skills!G11*IF(Skills!H11&gt;0,Skills!I11/Skills!H11,1)</f>
        <v/>
      </c>
      <c r="H173">
        <f>1-(1-Skills!J11/100)^Skills!K11</f>
        <v/>
      </c>
      <c r="I173" t="inlineStr">
        <is>
          <t>1</t>
        </is>
      </c>
      <c r="J173">
        <f>((Inputs!$B$6*(1+Inputs!$B$7/100))+(((Inputs!$B$12*(1+Inputs!$B$13/100))-(Inputs!$B$12*(1+Inputs!$B$13/100)))+0.25*(Inputs!$B$14-Inputs!$B$14))*(1+Inputs!$B$7/100))*(F173/100)</f>
        <v/>
      </c>
      <c r="K173">
        <f>J173*(1+((Inputs!$B$12*(1+Inputs!$B$13/100))*0.01+Inputs!$B$14*0.0025)/100)*(1+(Inputs!$B$15+1)/100)*(1+Inputs!$B$16/100)*(5000/(6000+Inputs!$B$42*(1-(Inputs!$B$19+0)/100)))*(1+(Inputs!$B$24+((C188=TRUE)*(F188-Calc!F26))+B198)/100)*(1+(IF(Skills!A11="EIGHT_LEGS_EASTON",Inputs!$B$17+((C185=TRUE)*(F185-Calc!F23))+((C189=TRUE)*(F189-Calc!F27)),Inputs!$B$18+0))/100)*((1+(((C179=TRUE)*F179)+((C186=TRUE)*(F186-Calc!F24)))/100)*I173)</f>
        <v/>
      </c>
      <c r="L173">
        <f>K173*(MIN(Inputs!$B$22+((C184=TRUE)*(F184-Calc!F22)),Inputs!$B$23+0)/100+(Inputs!$B$23+0)/100)/2</f>
        <v/>
      </c>
      <c r="M173">
        <f>L173*(1+(Inputs!$B$10+((C187=TRUE)*(F187-Calc!F25))+B197)/100)</f>
        <v/>
      </c>
      <c r="N173">
        <f>L173*(1-MIN((Inputs!$B$9+((C181=TRUE)*(F181-Calc!F19))+B192),100)/100)+M173*(MIN((Inputs!$B$9+((C181=TRUE)*(F181-Calc!F19))+B192),100)/100)</f>
        <v/>
      </c>
      <c r="O173">
        <f>(1-Summary!$B$55)*T173+Summary!$B$55*V173</f>
        <v/>
      </c>
      <c r="P173">
        <f>IF(B202=0,0,O173/B202)</f>
        <v/>
      </c>
      <c r="Q173">
        <f>IFERROR(1/IF(Inputs!$B$38="pvp",15,MAX(0.1,Skills!D11-IF(Skills!E11=TRUE,Inputs!$B$32,0))),0)</f>
        <v/>
      </c>
      <c r="R173">
        <f>IF(AND(Inputs!$B$38&lt;&gt;"pvp",Inputs!$B$43&gt;0),IF(MAX(0,Inputs!$B$43-B199)&lt;=0,0,(INT(MAX(0,Inputs!$B$43-B199)/IF(Inputs!$B$38="pvp",15,MAX(0.1,Skills!D11-IF(Skills!E11=TRUE,Inputs!$B$32,0))))+1)),0)</f>
        <v/>
      </c>
      <c r="S173">
        <f>IFERROR(O173/N173,0)</f>
        <v/>
      </c>
      <c r="T173">
        <f>IF(C173,(H173*N173*IF(AND(Inputs!$B$38&lt;&gt;"pvp",Inputs!$B$43&gt;0),((Skills!G11*((R173-1)*IF(Skills!H11&gt;0,Skills!I11/Skills!H11,1)+IF(Skills!H11&gt;0,MIN(Skills!I11,MAX(0,MAX(0,Inputs!$B$43-B199)-((R173-1)*IF(Inputs!$B$38="pvp",15,MAX(0.1,Skills!D11-IF(Skills!E11=TRUE,Inputs!$B$32,0))))))/Skills!H11,1)))/Inputs!$B$43),G173*Q173))*IF(Inputs!$B$38="pvp",1,1+(Inputs!$B$20+0+Skills!P11)/100),0)</f>
        <v/>
      </c>
      <c r="V173">
        <f>IF(C173,(H173*N173*IF(AND(Inputs!$B$38&lt;&gt;"pvp",Inputs!$B$43&gt;0),((Skills!G11*((R173-1)*IF(Skills!H11&gt;0,Skills!I11/Skills!H11,1)+IF(Skills!H11&gt;0,MIN(Skills!I11,MAX(0,MAX(0,Inputs!$B$43-B199)-((R173-1)*IF(Inputs!$B$38="pvp",15,MAX(0.1,Skills!D11-IF(Skills!E11=TRUE,Inputs!$B$32,0))))))/Skills!H11,1)))/Inputs!$B$43),G173*Q173))*IF(Inputs!$B$38="pvp",1,(1+(Inputs!$B$21+Skills!Q11)/100)*(MIN(Skills!R11,Inputs!$B$37))),0)</f>
        <v/>
      </c>
    </row>
    <row r="174">
      <c r="A174">
        <f>Skills!A12</f>
        <v/>
      </c>
      <c r="B174">
        <f>Skills!B12</f>
        <v/>
      </c>
      <c r="C174">
        <f>Inputs!$B$3&gt;=110</f>
        <v/>
      </c>
      <c r="D174">
        <f>IF(Skills!C12=1,60+Inputs!$B$25+Inputs!$B$29,IF(Skills!C12=2,90+Inputs!$B$26+Inputs!$B$29,IF(Skills!C12=3,120+Inputs!$B$27+Inputs!$B$29,MAX(0,(Inputs!$B$3-100)*3)+Inputs!$B$28+Inputs!$B$29)))</f>
        <v/>
      </c>
      <c r="E174">
        <f>INDEX(FactorTable!$B$2:$Y$301, MATCH(ROUND(MIN(300,MAX(1,D174)),0), FactorTable!$A$2:$A$301,0), Skills!M12+1)</f>
        <v/>
      </c>
      <c r="F174">
        <f>IF(Skills!N12=TRUE,(Skills!L12/10)*(E174/1000),Skills!L12/10)+Skills!O12</f>
        <v/>
      </c>
      <c r="G174">
        <f>Skills!G12*IF(Skills!H12&gt;0,Skills!I12/Skills!H12,1)</f>
        <v/>
      </c>
      <c r="H174">
        <f>1-(1-Skills!J12/100)^Skills!K12</f>
        <v/>
      </c>
      <c r="I174" t="inlineStr">
        <is>
          <t>1</t>
        </is>
      </c>
      <c r="J174">
        <f>((Inputs!$B$6*(1+Inputs!$B$7/100))+(((Inputs!$B$12*(1+Inputs!$B$13/100))-(Inputs!$B$12*(1+Inputs!$B$13/100)))+0.25*(Inputs!$B$14-Inputs!$B$14))*(1+Inputs!$B$7/100))*(F174/100)</f>
        <v/>
      </c>
      <c r="K174">
        <f>J174*(1+((Inputs!$B$12*(1+Inputs!$B$13/100))*0.01+Inputs!$B$14*0.0025)/100)*(1+(Inputs!$B$15+1)/100)*(1+Inputs!$B$16/100)*(5000/(6000+Inputs!$B$42*(1-(Inputs!$B$19+0)/100)))*(1+(Inputs!$B$24+((C188=TRUE)*(F188-Calc!F26))+B198)/100)*(1+(IF(Skills!A12="EIGHT_LEGS_EASTON",Inputs!$B$17+((C185=TRUE)*(F185-Calc!F23))+((C189=TRUE)*(F189-Calc!F27)),Inputs!$B$18+0))/100)*((1+(((C179=TRUE)*F179)+((C186=TRUE)*(F186-Calc!F24)))/100)*I174)</f>
        <v/>
      </c>
      <c r="L174">
        <f>K174*(MIN(Inputs!$B$22+((C184=TRUE)*(F184-Calc!F22)),Inputs!$B$23+0)/100+(Inputs!$B$23+0)/100)/2</f>
        <v/>
      </c>
      <c r="M174">
        <f>L174*(1+(Inputs!$B$10+((C187=TRUE)*(F187-Calc!F25))+B197)/100)</f>
        <v/>
      </c>
      <c r="N174">
        <f>L174*(1-MIN((Inputs!$B$9+((C181=TRUE)*(F181-Calc!F19))+B192),100)/100)+M174*(MIN((Inputs!$B$9+((C181=TRUE)*(F181-Calc!F19))+B192),100)/100)</f>
        <v/>
      </c>
      <c r="O174">
        <f>(1-Summary!$B$55)*T174+Summary!$B$55*V174</f>
        <v/>
      </c>
      <c r="P174">
        <f>IF(B202=0,0,O174/B202)</f>
        <v/>
      </c>
      <c r="Q174">
        <f>IFERROR(1/IF(Inputs!$B$38="pvp",15,MAX(0.1,Skills!D12-IF(Skills!E12=TRUE,Inputs!$B$32,0))),0)</f>
        <v/>
      </c>
      <c r="R174">
        <f>IF(AND(Inputs!$B$38&lt;&gt;"pvp",Inputs!$B$43&gt;0),IF(MAX(0,Inputs!$B$43-B199)&lt;=0,0,(INT(MAX(0,Inputs!$B$43-B199)/IF(Inputs!$B$38="pvp",15,MAX(0.1,Skills!D12-IF(Skills!E12=TRUE,Inputs!$B$32,0))))+1)),0)</f>
        <v/>
      </c>
      <c r="S174">
        <f>IFERROR(O174/N174,0)</f>
        <v/>
      </c>
      <c r="T174">
        <f>IF(C174,(H174*N174*IF(AND(Inputs!$B$38&lt;&gt;"pvp",Inputs!$B$43&gt;0),((Skills!G12*((R174-1)*IF(Skills!H12&gt;0,Skills!I12/Skills!H12,1)+IF(Skills!H12&gt;0,MIN(Skills!I12,MAX(0,MAX(0,Inputs!$B$43-B199)-((R174-1)*IF(Inputs!$B$38="pvp",15,MAX(0.1,Skills!D12-IF(Skills!E12=TRUE,Inputs!$B$32,0))))))/Skills!H12,1)))/Inputs!$B$43),G174*Q174))*IF(Inputs!$B$38="pvp",1,1+(Inputs!$B$20+0+Skills!P12)/100),0)</f>
        <v/>
      </c>
      <c r="V174">
        <f>IF(C174,(H174*N174*IF(AND(Inputs!$B$38&lt;&gt;"pvp",Inputs!$B$43&gt;0),((Skills!G12*((R174-1)*IF(Skills!H12&gt;0,Skills!I12/Skills!H12,1)+IF(Skills!H12&gt;0,MIN(Skills!I12,MAX(0,MAX(0,Inputs!$B$43-B199)-((R174-1)*IF(Inputs!$B$38="pvp",15,MAX(0.1,Skills!D12-IF(Skills!E12=TRUE,Inputs!$B$32,0))))))/Skills!H12,1)))/Inputs!$B$43),G174*Q174))*IF(Inputs!$B$38="pvp",1,(1+(Inputs!$B$21+Skills!Q12)/100)*(MIN(Skills!R12,Inputs!$B$37))),0)</f>
        <v/>
      </c>
    </row>
    <row r="175">
      <c r="A175">
        <f>Skills!A13</f>
        <v/>
      </c>
      <c r="B175">
        <f>Skills!B13</f>
        <v/>
      </c>
      <c r="C175">
        <f>Inputs!$B$3&gt;=110</f>
        <v/>
      </c>
      <c r="D175">
        <f>IF(Skills!C13=1,60+Inputs!$B$25+Inputs!$B$29,IF(Skills!C13=2,90+Inputs!$B$26+Inputs!$B$29,IF(Skills!C13=3,120+Inputs!$B$27+Inputs!$B$29,MAX(0,(Inputs!$B$3-100)*3)+Inputs!$B$28+Inputs!$B$29)))</f>
        <v/>
      </c>
      <c r="E175">
        <f>INDEX(FactorTable!$B$2:$Y$301, MATCH(ROUND(MIN(300,MAX(1,D175)),0), FactorTable!$A$2:$A$301,0), Skills!M13+1)</f>
        <v/>
      </c>
      <c r="F175">
        <f>IF(Skills!N13=TRUE,(Skills!L13/10)*(E175/1000),Skills!L13/10)+Skills!O13</f>
        <v/>
      </c>
      <c r="G175">
        <f>Skills!G13*IF(Skills!H13&gt;0,Skills!I13/Skills!H13,1)</f>
        <v/>
      </c>
      <c r="H175">
        <f>1-(1-Skills!J13/100)^Skills!K13</f>
        <v/>
      </c>
      <c r="I175" t="inlineStr">
        <is>
          <t>1</t>
        </is>
      </c>
      <c r="J175">
        <f>((Inputs!$B$6*(1+Inputs!$B$7/100))+(((Inputs!$B$12*(1+Inputs!$B$13/100))-(Inputs!$B$12*(1+Inputs!$B$13/100)))+0.25*(Inputs!$B$14-Inputs!$B$14))*(1+Inputs!$B$7/100))*(F175/100)</f>
        <v/>
      </c>
      <c r="K175">
        <f>J175*(1+((Inputs!$B$12*(1+Inputs!$B$13/100))*0.01+Inputs!$B$14*0.0025)/100)*(1+(Inputs!$B$15+1)/100)*(1+Inputs!$B$16/100)*(5000/(6000+Inputs!$B$42*(1-(Inputs!$B$19+0)/100)))*(1+(Inputs!$B$24+((C188=TRUE)*(F188-Calc!F26))+B198)/100)*(1+(IF(Skills!A13="EIGHT_LEGS_EASTON",Inputs!$B$17+((C185=TRUE)*(F185-Calc!F23))+((C189=TRUE)*(F189-Calc!F27)),Inputs!$B$18+0))/100)*((1+(((C179=TRUE)*F179)+((C186=TRUE)*(F186-Calc!F24)))/100)*I175)</f>
        <v/>
      </c>
      <c r="L175">
        <f>K175*(MIN(Inputs!$B$22+((C184=TRUE)*(F184-Calc!F22)),Inputs!$B$23+0)/100+(Inputs!$B$23+0)/100)/2</f>
        <v/>
      </c>
      <c r="M175">
        <f>L175*(1+(Inputs!$B$10+((C187=TRUE)*(F187-Calc!F25))+B197)/100)</f>
        <v/>
      </c>
      <c r="N175">
        <f>L175*(1-MIN((Inputs!$B$9+((C181=TRUE)*(F181-Calc!F19))+B192),100)/100)+M175*(MIN((Inputs!$B$9+((C181=TRUE)*(F181-Calc!F19))+B192),100)/100)</f>
        <v/>
      </c>
      <c r="O175">
        <f>(1-Summary!$B$55)*T175+Summary!$B$55*V175</f>
        <v/>
      </c>
      <c r="P175">
        <f>IF(B202=0,0,O175/B202)</f>
        <v/>
      </c>
      <c r="Q175">
        <f>IFERROR(1/IF(Inputs!$B$38="pvp",15,MAX(0.1,Skills!D13-IF(Skills!E13=TRUE,Inputs!$B$32,0))),0)</f>
        <v/>
      </c>
      <c r="R175">
        <f>IF(AND(Inputs!$B$38&lt;&gt;"pvp",Inputs!$B$43&gt;0),IF(MAX(0,Inputs!$B$43-B199)&lt;=0,0,(INT(MAX(0,Inputs!$B$43-B199)/IF(Inputs!$B$38="pvp",15,MAX(0.1,Skills!D13-IF(Skills!E13=TRUE,Inputs!$B$32,0))))+1)),0)</f>
        <v/>
      </c>
      <c r="S175">
        <f>IFERROR(O175/N175,0)</f>
        <v/>
      </c>
      <c r="T175">
        <f>IF(C175,(H175*N175*IF(AND(Inputs!$B$38&lt;&gt;"pvp",Inputs!$B$43&gt;0),((Skills!G13*((R175-1)*IF(Skills!H13&gt;0,Skills!I13/Skills!H13,1)+IF(Skills!H13&gt;0,MIN(Skills!I13,MAX(0,MAX(0,Inputs!$B$43-B199)-((R175-1)*IF(Inputs!$B$38="pvp",15,MAX(0.1,Skills!D13-IF(Skills!E13=TRUE,Inputs!$B$32,0))))))/Skills!H13,1)))/Inputs!$B$43),G175*Q175))*IF(Inputs!$B$38="pvp",1,1+(Inputs!$B$20+0+Skills!P13)/100),0)</f>
        <v/>
      </c>
      <c r="V175">
        <f>IF(C175,(H175*N175*IF(AND(Inputs!$B$38&lt;&gt;"pvp",Inputs!$B$43&gt;0),((Skills!G13*((R175-1)*IF(Skills!H13&gt;0,Skills!I13/Skills!H13,1)+IF(Skills!H13&gt;0,MIN(Skills!I13,MAX(0,MAX(0,Inputs!$B$43-B199)-((R175-1)*IF(Inputs!$B$38="pvp",15,MAX(0.1,Skills!D13-IF(Skills!E13=TRUE,Inputs!$B$32,0))))))/Skills!H13,1)))/Inputs!$B$43),G175*Q175))*IF(Inputs!$B$38="pvp",1,(1+(Inputs!$B$21+Skills!Q13)/100)*(MIN(Skills!R13,Inputs!$B$37))),0)</f>
        <v/>
      </c>
    </row>
    <row r="176">
      <c r="A176">
        <f>Skills!A14</f>
        <v/>
      </c>
      <c r="B176">
        <f>Skills!B14</f>
        <v/>
      </c>
      <c r="C176">
        <f>Inputs!$B$3&gt;=125</f>
        <v/>
      </c>
      <c r="D176">
        <f>IF(Skills!C14=1,60+Inputs!$B$25+Inputs!$B$29,IF(Skills!C14=2,90+Inputs!$B$26+Inputs!$B$29,IF(Skills!C14=3,120+Inputs!$B$27+Inputs!$B$29,MAX(0,(Inputs!$B$3-100)*3)+Inputs!$B$28+Inputs!$B$29)))</f>
        <v/>
      </c>
      <c r="E176">
        <f>INDEX(FactorTable!$B$2:$Y$301, MATCH(ROUND(MIN(300,MAX(1,D176)),0), FactorTable!$A$2:$A$301,0), Skills!M14+1)</f>
        <v/>
      </c>
      <c r="F176">
        <f>IF(Skills!N14=TRUE,(Skills!L14/10)*(E176/1000),Skills!L14/10)+Skills!O14</f>
        <v/>
      </c>
      <c r="G176">
        <f>Skills!G14*IF(Skills!H14&gt;0,Skills!I14/Skills!H14,1)</f>
        <v/>
      </c>
      <c r="H176">
        <f>1-(1-Skills!J14/100)^Skills!K14</f>
        <v/>
      </c>
      <c r="I176" t="inlineStr">
        <is>
          <t>1</t>
        </is>
      </c>
      <c r="J176">
        <f>((Inputs!$B$6*(1+Inputs!$B$7/100))+(((Inputs!$B$12*(1+Inputs!$B$13/100))-(Inputs!$B$12*(1+Inputs!$B$13/100)))+0.25*(Inputs!$B$14-Inputs!$B$14))*(1+Inputs!$B$7/100))*(F176/100)</f>
        <v/>
      </c>
      <c r="K176">
        <f>J176*(1+((Inputs!$B$12*(1+Inputs!$B$13/100))*0.01+Inputs!$B$14*0.0025)/100)*(1+(Inputs!$B$15+1)/100)*(1+Inputs!$B$16/100)*(5000/(6000+Inputs!$B$42*(1-(Inputs!$B$19+0)/100)))*(1+(Inputs!$B$24+((C188=TRUE)*(F188-Calc!F26))+B198)/100)*(1+(IF(Skills!A14="EIGHT_LEGS_EASTON",Inputs!$B$17+((C185=TRUE)*(F185-Calc!F23))+((C189=TRUE)*(F189-Calc!F27)),Inputs!$B$18+0))/100)*((1+(((C179=TRUE)*F179)+((C186=TRUE)*(F186-Calc!F24)))/100)*I176)</f>
        <v/>
      </c>
      <c r="L176">
        <f>K176*(MIN(Inputs!$B$22+((C184=TRUE)*(F184-Calc!F22)),Inputs!$B$23+0)/100+(Inputs!$B$23+0)/100)/2</f>
        <v/>
      </c>
      <c r="M176">
        <f>L176*(1+(Inputs!$B$10+((C187=TRUE)*(F187-Calc!F25))+B197)/100)</f>
        <v/>
      </c>
      <c r="N176">
        <f>L176*(1-MIN((Inputs!$B$9+((C181=TRUE)*(F181-Calc!F19))+B192),100)/100)+M176*(MIN((Inputs!$B$9+((C181=TRUE)*(F181-Calc!F19))+B192),100)/100)</f>
        <v/>
      </c>
      <c r="O176">
        <f>(1-Summary!$B$55)*T176+Summary!$B$55*V176</f>
        <v/>
      </c>
      <c r="P176">
        <f>IF(B202=0,0,O176/B202)</f>
        <v/>
      </c>
      <c r="Q176" t="n">
        <v>0</v>
      </c>
      <c r="R176" t="n">
        <v>0</v>
      </c>
      <c r="S176">
        <f>IFERROR(O176/N176,0)</f>
        <v/>
      </c>
      <c r="T176">
        <f>IF(C176,(H176*N176*(B196+IF(AND(Inputs!$B$38&lt;&gt;"pvp",Inputs!$B$43&gt;0),((Skills!G8*((R170-1)*IF(Skills!H8&gt;0,Skills!I8/Skills!H8,1)+IF(Skills!H8&gt;0,MIN(Skills!I8,MAX(0,MAX(0,Inputs!$B$43-B199)-((R170-1)*IF(Inputs!$B$38="pvp",15,MAX(0.1,Skills!D8-IF(Skills!E8=TRUE,Inputs!$B$32,0))))))/Skills!H8,1)))/Inputs!$B$43),G170*Q170)+IF(AND(Inputs!$B$38&lt;&gt;"pvp",Inputs!$B$43&gt;0),((Skills!G11*((R173-1)*IF(Skills!H11&gt;0,Skills!I11/Skills!H11,1)+IF(Skills!H11&gt;0,MIN(Skills!I11,MAX(0,MAX(0,Inputs!$B$43-B199)-((R173-1)*IF(Inputs!$B$38="pvp",15,MAX(0.1,Skills!D11-IF(Skills!E11=TRUE,Inputs!$B$32,0))))))/Skills!H11,1)))/Inputs!$B$43),G173*Q173)))*IF(Inputs!$B$38="pvp",1,1+(Inputs!$B$20+0+Skills!P14)/100),0)</f>
        <v/>
      </c>
      <c r="V176">
        <f>IF(C176,(H176*N176*(B196+IF(AND(Inputs!$B$38&lt;&gt;"pvp",Inputs!$B$43&gt;0),((Skills!G8*((R170-1)*IF(Skills!H8&gt;0,Skills!I8/Skills!H8,1)+IF(Skills!H8&gt;0,MIN(Skills!I8,MAX(0,MAX(0,Inputs!$B$43-B199)-((R170-1)*IF(Inputs!$B$38="pvp",15,MAX(0.1,Skills!D8-IF(Skills!E8=TRUE,Inputs!$B$32,0))))))/Skills!H8,1)))/Inputs!$B$43),G170*Q170)+IF(AND(Inputs!$B$38&lt;&gt;"pvp",Inputs!$B$43&gt;0),((Skills!G11*((R173-1)*IF(Skills!H11&gt;0,Skills!I11/Skills!H11,1)+IF(Skills!H11&gt;0,MIN(Skills!I11,MAX(0,MAX(0,Inputs!$B$43-B199)-((R173-1)*IF(Inputs!$B$38="pvp",15,MAX(0.1,Skills!D11-IF(Skills!E11=TRUE,Inputs!$B$32,0))))))/Skills!H11,1)))/Inputs!$B$43),G173*Q173)))*IF(Inputs!$B$38="pvp",1,(1+(Inputs!$B$21+Skills!Q14)/100)*(MIN(Skills!R14,Inputs!$B$37))),0)</f>
        <v/>
      </c>
    </row>
    <row r="177">
      <c r="A177">
        <f>Skills!A15</f>
        <v/>
      </c>
      <c r="B177">
        <f>Skills!B15</f>
        <v/>
      </c>
      <c r="C177">
        <f>Inputs!$B$3&gt;=100</f>
        <v/>
      </c>
      <c r="D177">
        <f>IF(Skills!C15=1,60+Inputs!$B$25+Inputs!$B$29,IF(Skills!C15=2,90+Inputs!$B$26+Inputs!$B$29,IF(Skills!C15=3,120+Inputs!$B$27+Inputs!$B$29,MAX(0,(Inputs!$B$3-100)*3)+Inputs!$B$28+Inputs!$B$29)))</f>
        <v/>
      </c>
      <c r="E177">
        <f>INDEX(FactorTable!$B$2:$Y$301, MATCH(ROUND(MIN(300,MAX(1,D177)),0), FactorTable!$A$2:$A$301,0), Skills!M15+1)</f>
        <v/>
      </c>
      <c r="F177">
        <f>IF(Skills!N15=TRUE,(Skills!L15/10)*(E177/1000),Skills!L15/10)+Skills!O15</f>
        <v/>
      </c>
      <c r="G177" t="inlineStr"/>
      <c r="H177" t="inlineStr"/>
      <c r="I177" t="inlineStr">
        <is>
          <t>1</t>
        </is>
      </c>
      <c r="J177" t="inlineStr"/>
      <c r="K177" t="inlineStr"/>
      <c r="L177" t="inlineStr"/>
      <c r="M177" t="inlineStr"/>
      <c r="N177" t="inlineStr"/>
      <c r="O177" t="inlineStr"/>
      <c r="P177" t="inlineStr"/>
      <c r="Q177" t="inlineStr"/>
      <c r="R177" t="inlineStr"/>
      <c r="S177" t="inlineStr"/>
    </row>
    <row r="178">
      <c r="A178">
        <f>Skills!A16</f>
        <v/>
      </c>
      <c r="B178">
        <f>Skills!B16</f>
        <v/>
      </c>
      <c r="C178">
        <f>Inputs!$B$3&gt;=120</f>
        <v/>
      </c>
      <c r="D178">
        <f>IF(Skills!C16=1,60+Inputs!$B$25+Inputs!$B$29,IF(Skills!C16=2,90+Inputs!$B$26+Inputs!$B$29,IF(Skills!C16=3,120+Inputs!$B$27+Inputs!$B$29,MAX(0,(Inputs!$B$3-100)*3)+Inputs!$B$28+Inputs!$B$29)))</f>
        <v/>
      </c>
      <c r="E178">
        <f>INDEX(FactorTable!$B$2:$Y$301, MATCH(ROUND(MIN(300,MAX(1,D178)),0), FactorTable!$A$2:$A$301,0), Skills!M16+1)</f>
        <v/>
      </c>
      <c r="F178">
        <f>IF(Skills!N16=TRUE,(Skills!L16/10)*(E178/1000),Skills!L16/10)+Skills!O16</f>
        <v/>
      </c>
      <c r="G178" t="inlineStr"/>
      <c r="H178" t="inlineStr"/>
      <c r="I178" t="inlineStr">
        <is>
          <t>1</t>
        </is>
      </c>
      <c r="J178" t="inlineStr"/>
      <c r="K178" t="inlineStr"/>
      <c r="L178" t="inlineStr"/>
      <c r="M178" t="inlineStr"/>
      <c r="N178" t="inlineStr"/>
      <c r="O178" t="inlineStr"/>
      <c r="P178" t="inlineStr"/>
      <c r="Q178" t="inlineStr"/>
      <c r="R178" t="inlineStr"/>
      <c r="S178" t="inlineStr"/>
    </row>
    <row r="179">
      <c r="A179">
        <f>Skills!A17</f>
        <v/>
      </c>
      <c r="B179">
        <f>Skills!B17</f>
        <v/>
      </c>
      <c r="C179">
        <f>Inputs!$B$3&gt;=66</f>
        <v/>
      </c>
      <c r="D179">
        <f>IF(Skills!C17=1,60+Inputs!$B$25+Inputs!$B$29,IF(Skills!C17=2,90+Inputs!$B$26+Inputs!$B$29,IF(Skills!C17=3,120+Inputs!$B$27+Inputs!$B$29,MAX(0,(Inputs!$B$3-100)*3)+Inputs!$B$28+Inputs!$B$29)))</f>
        <v/>
      </c>
      <c r="E179">
        <f>INDEX(FactorTable!$B$2:$Y$301, MATCH(ROUND(MIN(300,MAX(1,D179)),0), FactorTable!$A$2:$A$301,0), Skills!M17+1)</f>
        <v/>
      </c>
      <c r="F179">
        <f>IF(Skills!N17=TRUE,(Skills!L17/10)*(E179/1000),Skills!L17/10)+Skills!O17</f>
        <v/>
      </c>
      <c r="G179">
        <f>Skills!G17*IF(Skills!H17&gt;0,Skills!I17/Skills!H17,1)</f>
        <v/>
      </c>
      <c r="H179">
        <f>1-(1-Skills!J17/100)^Skills!K17</f>
        <v/>
      </c>
      <c r="I179" t="inlineStr">
        <is>
          <t>1</t>
        </is>
      </c>
      <c r="J179" t="inlineStr"/>
      <c r="K179" t="inlineStr"/>
      <c r="L179" t="inlineStr"/>
      <c r="M179" t="inlineStr"/>
      <c r="N179" t="inlineStr"/>
      <c r="O179">
        <f>(1-Summary!$B$55)*T179+Summary!$B$55*V179</f>
        <v/>
      </c>
      <c r="P179">
        <f>IF(B202=0,0,O179/B202)</f>
        <v/>
      </c>
      <c r="Q179" t="n">
        <v>0</v>
      </c>
      <c r="R179" t="n">
        <v>0</v>
      </c>
      <c r="S179">
        <f>IFERROR(O179/N179,0)</f>
        <v/>
      </c>
      <c r="T179" t="n">
        <v>0</v>
      </c>
      <c r="V179" t="n">
        <v>0</v>
      </c>
    </row>
    <row r="180">
      <c r="A180">
        <f>Skills!A18</f>
        <v/>
      </c>
      <c r="B180">
        <f>Skills!B18</f>
        <v/>
      </c>
      <c r="C180">
        <f>Inputs!$B$3&gt;=115</f>
        <v/>
      </c>
      <c r="D180">
        <f>IF(Skills!C18=1,60+Inputs!$B$25+Inputs!$B$29,IF(Skills!C18=2,90+Inputs!$B$26+Inputs!$B$29,IF(Skills!C18=3,120+Inputs!$B$27+Inputs!$B$29,MAX(0,(Inputs!$B$3-100)*3)+Inputs!$B$28+Inputs!$B$29)))</f>
        <v/>
      </c>
      <c r="E180">
        <f>INDEX(FactorTable!$B$2:$Y$301, MATCH(ROUND(MIN(300,MAX(1,D180)),0), FactorTable!$A$2:$A$301,0), Skills!M18+1)</f>
        <v/>
      </c>
      <c r="F180">
        <f>IF(Skills!N18=TRUE,(Skills!L18/10)*(E180/1000),Skills!L18/10)+Skills!O18</f>
        <v/>
      </c>
      <c r="G180">
        <f>Skills!G18*IF(Skills!H18&gt;0,Skills!I18/Skills!H18,1)</f>
        <v/>
      </c>
      <c r="H180">
        <f>1-(1-Skills!J18/100)^Skills!K18</f>
        <v/>
      </c>
      <c r="I180" t="inlineStr">
        <is>
          <t>1</t>
        </is>
      </c>
      <c r="J180" t="inlineStr"/>
      <c r="K180" t="inlineStr"/>
      <c r="L180" t="inlineStr"/>
      <c r="M180" t="inlineStr"/>
      <c r="N180" t="inlineStr"/>
      <c r="O180">
        <f>(1-Summary!$B$55)*T180+Summary!$B$55*V180</f>
        <v/>
      </c>
      <c r="P180">
        <f>IF(B202=0,0,O180/B202)</f>
        <v/>
      </c>
      <c r="Q180" t="n">
        <v>0</v>
      </c>
      <c r="R180" t="n">
        <v>0</v>
      </c>
      <c r="S180">
        <f>IFERROR(O180/N180,0)</f>
        <v/>
      </c>
      <c r="T180" t="n">
        <v>0</v>
      </c>
      <c r="V180" t="n">
        <v>0</v>
      </c>
    </row>
    <row r="181">
      <c r="A181">
        <f>Skills!A19</f>
        <v/>
      </c>
      <c r="B181">
        <f>Skills!B19</f>
        <v/>
      </c>
      <c r="C181">
        <f>Inputs!$B$3&gt;=15</f>
        <v/>
      </c>
      <c r="D181">
        <f>IF(Skills!C19=1,60+Inputs!$B$25+Inputs!$B$29,IF(Skills!C19=2,90+Inputs!$B$26+Inputs!$B$29,IF(Skills!C19=3,120+Inputs!$B$27+Inputs!$B$29,MAX(0,(Inputs!$B$3-100)*3)+Inputs!$B$28+Inputs!$B$29)))</f>
        <v/>
      </c>
      <c r="E181">
        <f>INDEX(FactorTable!$B$2:$Y$301, MATCH(ROUND(MIN(300,MAX(1,D181)),0), FactorTable!$A$2:$A$301,0), Skills!M19+1)</f>
        <v/>
      </c>
      <c r="F181">
        <f>IF(Skills!N19=TRUE,(Skills!L19/10)*(E181/1000),Skills!L19/10)+Skills!O19</f>
        <v/>
      </c>
      <c r="G181">
        <f>Skills!G19*IF(Skills!H19&gt;0,Skills!I19/Skills!H19,1)</f>
        <v/>
      </c>
      <c r="H181">
        <f>1-(1-Skills!J19/100)^Skills!K19</f>
        <v/>
      </c>
      <c r="I181" t="inlineStr">
        <is>
          <t>1</t>
        </is>
      </c>
      <c r="J181" t="inlineStr"/>
      <c r="K181" t="inlineStr"/>
      <c r="L181" t="inlineStr"/>
      <c r="M181" t="inlineStr"/>
      <c r="N181" t="inlineStr"/>
      <c r="O181">
        <f>(1-Summary!$B$55)*T181+Summary!$B$55*V181</f>
        <v/>
      </c>
      <c r="P181">
        <f>IF(B202=0,0,O181/B202)</f>
        <v/>
      </c>
      <c r="Q181" t="n">
        <v>0</v>
      </c>
      <c r="R181" t="n">
        <v>0</v>
      </c>
      <c r="S181">
        <f>IFERROR(O181/N181,0)</f>
        <v/>
      </c>
      <c r="T181" t="n">
        <v>0</v>
      </c>
      <c r="V181" t="n">
        <v>0</v>
      </c>
    </row>
    <row r="182">
      <c r="A182">
        <f>Skills!A20</f>
        <v/>
      </c>
      <c r="B182">
        <f>Skills!B20</f>
        <v/>
      </c>
      <c r="C182">
        <f>Inputs!$B$3&gt;=10</f>
        <v/>
      </c>
      <c r="D182">
        <f>IF(Skills!C20=1,60+Inputs!$B$25+Inputs!$B$29,IF(Skills!C20=2,90+Inputs!$B$26+Inputs!$B$29,IF(Skills!C20=3,120+Inputs!$B$27+Inputs!$B$29,MAX(0,(Inputs!$B$3-100)*3)+Inputs!$B$28+Inputs!$B$29)))</f>
        <v/>
      </c>
      <c r="E182">
        <f>INDEX(FactorTable!$B$2:$Y$301, MATCH(ROUND(MIN(300,MAX(1,D182)),0), FactorTable!$A$2:$A$301,0), Skills!M20+1)</f>
        <v/>
      </c>
      <c r="F182">
        <f>IF(Skills!N20=TRUE,(Skills!L20/10)*(E182/1000),Skills!L20/10)+Skills!O20</f>
        <v/>
      </c>
      <c r="G182">
        <f>Skills!G20*IF(Skills!H20&gt;0,Skills!I20/Skills!H20,1)</f>
        <v/>
      </c>
      <c r="H182">
        <f>1-(1-Skills!J20/100)^Skills!K20</f>
        <v/>
      </c>
      <c r="I182" t="inlineStr">
        <is>
          <t>1</t>
        </is>
      </c>
      <c r="J182" t="inlineStr"/>
      <c r="K182" t="inlineStr"/>
      <c r="L182" t="inlineStr"/>
      <c r="M182" t="inlineStr"/>
      <c r="N182" t="inlineStr"/>
      <c r="O182">
        <f>(1-Summary!$B$55)*T182+Summary!$B$55*V182</f>
        <v/>
      </c>
      <c r="P182">
        <f>IF(B202=0,0,O182/B202)</f>
        <v/>
      </c>
      <c r="Q182" t="n">
        <v>0</v>
      </c>
      <c r="R182" t="n">
        <v>0</v>
      </c>
      <c r="S182">
        <f>IFERROR(O182/N182,0)</f>
        <v/>
      </c>
      <c r="T182" t="n">
        <v>0</v>
      </c>
      <c r="V182" t="n">
        <v>0</v>
      </c>
    </row>
    <row r="183">
      <c r="A183">
        <f>Skills!A21</f>
        <v/>
      </c>
      <c r="B183">
        <f>Skills!B21</f>
        <v/>
      </c>
      <c r="C183">
        <f>Inputs!$B$3&gt;=33</f>
        <v/>
      </c>
      <c r="D183">
        <f>IF(Skills!C21=1,60+Inputs!$B$25+Inputs!$B$29,IF(Skills!C21=2,90+Inputs!$B$26+Inputs!$B$29,IF(Skills!C21=3,120+Inputs!$B$27+Inputs!$B$29,MAX(0,(Inputs!$B$3-100)*3)+Inputs!$B$28+Inputs!$B$29)))</f>
        <v/>
      </c>
      <c r="E183">
        <f>INDEX(FactorTable!$B$2:$Y$301, MATCH(ROUND(MIN(300,MAX(1,D183)),0), FactorTable!$A$2:$A$301,0), Skills!M21+1)</f>
        <v/>
      </c>
      <c r="F183">
        <f>IF(Skills!N21=TRUE,(Skills!L21/10)*(E183/1000),Skills!L21/10)+Skills!O21</f>
        <v/>
      </c>
      <c r="G183">
        <f>Skills!G21*IF(Skills!H21&gt;0,Skills!I21/Skills!H21,1)</f>
        <v/>
      </c>
      <c r="H183">
        <f>1-(1-Skills!J21/100)^Skills!K21</f>
        <v/>
      </c>
      <c r="I183" t="inlineStr">
        <is>
          <t>1</t>
        </is>
      </c>
      <c r="J183" t="inlineStr"/>
      <c r="K183" t="inlineStr"/>
      <c r="L183" t="inlineStr"/>
      <c r="M183" t="inlineStr"/>
      <c r="N183" t="inlineStr"/>
      <c r="O183">
        <f>(1-Summary!$B$55)*T183+Summary!$B$55*V183</f>
        <v/>
      </c>
      <c r="P183">
        <f>IF(B202=0,0,O183/B202)</f>
        <v/>
      </c>
      <c r="Q183" t="n">
        <v>0</v>
      </c>
      <c r="R183" t="n">
        <v>0</v>
      </c>
      <c r="S183">
        <f>IFERROR(O183/N183,0)</f>
        <v/>
      </c>
      <c r="T183" t="n">
        <v>0</v>
      </c>
      <c r="V183" t="n">
        <v>0</v>
      </c>
    </row>
    <row r="184">
      <c r="A184">
        <f>Skills!A22</f>
        <v/>
      </c>
      <c r="B184">
        <f>Skills!B22</f>
        <v/>
      </c>
      <c r="C184">
        <f>Inputs!$B$3&gt;=43</f>
        <v/>
      </c>
      <c r="D184">
        <f>IF(Skills!C22=1,60+Inputs!$B$25+Inputs!$B$29,IF(Skills!C22=2,90+Inputs!$B$26+Inputs!$B$29,IF(Skills!C22=3,120+Inputs!$B$27+Inputs!$B$29,MAX(0,(Inputs!$B$3-100)*3)+Inputs!$B$28+Inputs!$B$29)))</f>
        <v/>
      </c>
      <c r="E184">
        <f>INDEX(FactorTable!$B$2:$Y$301, MATCH(ROUND(MIN(300,MAX(1,D184)),0), FactorTable!$A$2:$A$301,0), Skills!M22+1)</f>
        <v/>
      </c>
      <c r="F184">
        <f>IF(Skills!N22=TRUE,(Skills!L22/10)*(E184/1000),Skills!L22/10)+Skills!O22</f>
        <v/>
      </c>
      <c r="G184">
        <f>Skills!G22*IF(Skills!H22&gt;0,Skills!I22/Skills!H22,1)</f>
        <v/>
      </c>
      <c r="H184">
        <f>1-(1-Skills!J22/100)^Skills!K22</f>
        <v/>
      </c>
      <c r="I184" t="inlineStr">
        <is>
          <t>1</t>
        </is>
      </c>
      <c r="J184" t="inlineStr"/>
      <c r="K184" t="inlineStr"/>
      <c r="L184" t="inlineStr"/>
      <c r="M184" t="inlineStr"/>
      <c r="N184" t="inlineStr"/>
      <c r="O184">
        <f>(1-Summary!$B$55)*T184+Summary!$B$55*V184</f>
        <v/>
      </c>
      <c r="P184">
        <f>IF(B202=0,0,O184/B202)</f>
        <v/>
      </c>
      <c r="Q184" t="n">
        <v>0</v>
      </c>
      <c r="R184" t="n">
        <v>0</v>
      </c>
      <c r="S184">
        <f>IFERROR(O184/N184,0)</f>
        <v/>
      </c>
      <c r="T184" t="n">
        <v>0</v>
      </c>
      <c r="V184" t="n">
        <v>0</v>
      </c>
    </row>
    <row r="185">
      <c r="A185">
        <f>Skills!A23</f>
        <v/>
      </c>
      <c r="B185">
        <f>Skills!B23</f>
        <v/>
      </c>
      <c r="C185">
        <f>Inputs!$B$3&gt;=38</f>
        <v/>
      </c>
      <c r="D185">
        <f>IF(Skills!C23=1,60+Inputs!$B$25+Inputs!$B$29,IF(Skills!C23=2,90+Inputs!$B$26+Inputs!$B$29,IF(Skills!C23=3,120+Inputs!$B$27+Inputs!$B$29,MAX(0,(Inputs!$B$3-100)*3)+Inputs!$B$28+Inputs!$B$29)))</f>
        <v/>
      </c>
      <c r="E185">
        <f>INDEX(FactorTable!$B$2:$Y$301, MATCH(ROUND(MIN(300,MAX(1,D185)),0), FactorTable!$A$2:$A$301,0), Skills!M23+1)</f>
        <v/>
      </c>
      <c r="F185">
        <f>IF(Skills!N23=TRUE,(Skills!L23/10)*(E185/1000),Skills!L23/10)+Skills!O23</f>
        <v/>
      </c>
      <c r="G185">
        <f>Skills!G23*IF(Skills!H23&gt;0,Skills!I23/Skills!H23,1)</f>
        <v/>
      </c>
      <c r="H185">
        <f>1-(1-Skills!J23/100)^Skills!K23</f>
        <v/>
      </c>
      <c r="I185" t="inlineStr">
        <is>
          <t>1</t>
        </is>
      </c>
      <c r="J185" t="inlineStr"/>
      <c r="K185" t="inlineStr"/>
      <c r="L185" t="inlineStr"/>
      <c r="M185" t="inlineStr"/>
      <c r="N185" t="inlineStr"/>
      <c r="O185">
        <f>(1-Summary!$B$55)*T185+Summary!$B$55*V185</f>
        <v/>
      </c>
      <c r="P185">
        <f>IF(B202=0,0,O185/B202)</f>
        <v/>
      </c>
      <c r="Q185" t="n">
        <v>0</v>
      </c>
      <c r="R185" t="n">
        <v>0</v>
      </c>
      <c r="S185">
        <f>IFERROR(O185/N185,0)</f>
        <v/>
      </c>
      <c r="T185" t="n">
        <v>0</v>
      </c>
      <c r="V185" t="n">
        <v>0</v>
      </c>
    </row>
    <row r="186">
      <c r="A186">
        <f>Skills!A24</f>
        <v/>
      </c>
      <c r="B186">
        <f>Skills!B24</f>
        <v/>
      </c>
      <c r="C186">
        <f>Inputs!$B$3&gt;=40</f>
        <v/>
      </c>
      <c r="D186">
        <f>IF(Skills!C24=1,60+Inputs!$B$25+Inputs!$B$29,IF(Skills!C24=2,90+Inputs!$B$26+Inputs!$B$29,IF(Skills!C24=3,120+Inputs!$B$27+Inputs!$B$29,MAX(0,(Inputs!$B$3-100)*3)+Inputs!$B$28+Inputs!$B$29)))</f>
        <v/>
      </c>
      <c r="E186">
        <f>INDEX(FactorTable!$B$2:$Y$301, MATCH(ROUND(MIN(300,MAX(1,D186)),0), FactorTable!$A$2:$A$301,0), Skills!M24+1)</f>
        <v/>
      </c>
      <c r="F186">
        <f>IF(Skills!N24=TRUE,(Skills!L24/10)*(E186/1000),Skills!L24/10)+Skills!O24</f>
        <v/>
      </c>
      <c r="G186">
        <f>Skills!G24*IF(Skills!H24&gt;0,Skills!I24/Skills!H24,1)</f>
        <v/>
      </c>
      <c r="H186">
        <f>1-(1-Skills!J24/100)^Skills!K24</f>
        <v/>
      </c>
      <c r="I186" t="inlineStr">
        <is>
          <t>1</t>
        </is>
      </c>
      <c r="J186" t="inlineStr"/>
      <c r="K186" t="inlineStr"/>
      <c r="L186" t="inlineStr"/>
      <c r="M186" t="inlineStr"/>
      <c r="N186" t="inlineStr"/>
      <c r="O186">
        <f>(1-Summary!$B$55)*T186+Summary!$B$55*V186</f>
        <v/>
      </c>
      <c r="P186">
        <f>IF(B202=0,0,O186/B202)</f>
        <v/>
      </c>
      <c r="Q186" t="n">
        <v>0</v>
      </c>
      <c r="R186" t="n">
        <v>0</v>
      </c>
      <c r="S186">
        <f>IFERROR(O186/N186,0)</f>
        <v/>
      </c>
      <c r="T186" t="n">
        <v>0</v>
      </c>
      <c r="V186" t="n">
        <v>0</v>
      </c>
    </row>
    <row r="187">
      <c r="A187">
        <f>Skills!A25</f>
        <v/>
      </c>
      <c r="B187">
        <f>Skills!B25</f>
        <v/>
      </c>
      <c r="C187">
        <f>Inputs!$B$3&gt;=72</f>
        <v/>
      </c>
      <c r="D187">
        <f>IF(Skills!C25=1,60+Inputs!$B$25+Inputs!$B$29,IF(Skills!C25=2,90+Inputs!$B$26+Inputs!$B$29,IF(Skills!C25=3,120+Inputs!$B$27+Inputs!$B$29,MAX(0,(Inputs!$B$3-100)*3)+Inputs!$B$28+Inputs!$B$29)))</f>
        <v/>
      </c>
      <c r="E187">
        <f>INDEX(FactorTable!$B$2:$Y$301, MATCH(ROUND(MIN(300,MAX(1,D187)),0), FactorTable!$A$2:$A$301,0), Skills!M25+1)</f>
        <v/>
      </c>
      <c r="F187">
        <f>IF(Skills!N25=TRUE,(Skills!L25/10)*(E187/1000),Skills!L25/10)+Skills!O25</f>
        <v/>
      </c>
      <c r="G187">
        <f>Skills!G25*IF(Skills!H25&gt;0,Skills!I25/Skills!H25,1)</f>
        <v/>
      </c>
      <c r="H187">
        <f>1-(1-Skills!J25/100)^Skills!K25</f>
        <v/>
      </c>
      <c r="I187" t="inlineStr">
        <is>
          <t>1</t>
        </is>
      </c>
      <c r="J187" t="inlineStr"/>
      <c r="K187" t="inlineStr"/>
      <c r="L187" t="inlineStr"/>
      <c r="M187" t="inlineStr"/>
      <c r="N187" t="inlineStr"/>
      <c r="O187">
        <f>(1-Summary!$B$55)*T187+Summary!$B$55*V187</f>
        <v/>
      </c>
      <c r="P187">
        <f>IF(B202=0,0,O187/B202)</f>
        <v/>
      </c>
      <c r="Q187" t="n">
        <v>0</v>
      </c>
      <c r="R187" t="n">
        <v>0</v>
      </c>
      <c r="S187">
        <f>IFERROR(O187/N187,0)</f>
        <v/>
      </c>
      <c r="T187" t="n">
        <v>0</v>
      </c>
      <c r="V187" t="n">
        <v>0</v>
      </c>
    </row>
    <row r="188">
      <c r="A188">
        <f>Skills!A26</f>
        <v/>
      </c>
      <c r="B188">
        <f>Skills!B26</f>
        <v/>
      </c>
      <c r="C188">
        <f>Inputs!$B$3&gt;=75</f>
        <v/>
      </c>
      <c r="D188">
        <f>IF(Skills!C26=1,60+Inputs!$B$25+Inputs!$B$29,IF(Skills!C26=2,90+Inputs!$B$26+Inputs!$B$29,IF(Skills!C26=3,120+Inputs!$B$27+Inputs!$B$29,MAX(0,(Inputs!$B$3-100)*3)+Inputs!$B$28+Inputs!$B$29)))</f>
        <v/>
      </c>
      <c r="E188">
        <f>INDEX(FactorTable!$B$2:$Y$301, MATCH(ROUND(MIN(300,MAX(1,D188)),0), FactorTable!$A$2:$A$301,0), Skills!M26+1)</f>
        <v/>
      </c>
      <c r="F188">
        <f>IF(Skills!N26=TRUE,(Skills!L26/10)*(E188/1000),Skills!L26/10)+Skills!O26</f>
        <v/>
      </c>
      <c r="G188">
        <f>Skills!G26*IF(Skills!H26&gt;0,Skills!I26/Skills!H26,1)</f>
        <v/>
      </c>
      <c r="H188">
        <f>1-(1-Skills!J26/100)^Skills!K26</f>
        <v/>
      </c>
      <c r="I188" t="inlineStr">
        <is>
          <t>1</t>
        </is>
      </c>
      <c r="J188" t="inlineStr"/>
      <c r="K188" t="inlineStr"/>
      <c r="L188" t="inlineStr"/>
      <c r="M188" t="inlineStr"/>
      <c r="N188" t="inlineStr"/>
      <c r="O188">
        <f>(1-Summary!$B$55)*T188+Summary!$B$55*V188</f>
        <v/>
      </c>
      <c r="P188">
        <f>IF(B202=0,0,O188/B202)</f>
        <v/>
      </c>
      <c r="Q188" t="n">
        <v>0</v>
      </c>
      <c r="R188" t="n">
        <v>0</v>
      </c>
      <c r="S188">
        <f>IFERROR(O188/N188,0)</f>
        <v/>
      </c>
      <c r="T188" t="n">
        <v>0</v>
      </c>
      <c r="V188" t="n">
        <v>0</v>
      </c>
    </row>
    <row r="189">
      <c r="A189">
        <f>Skills!A27</f>
        <v/>
      </c>
      <c r="B189">
        <f>Skills!B27</f>
        <v/>
      </c>
      <c r="C189">
        <f>Inputs!$B$3&gt;=117</f>
        <v/>
      </c>
      <c r="D189">
        <f>IF(Skills!C27=1,60+Inputs!$B$25+Inputs!$B$29,IF(Skills!C27=2,90+Inputs!$B$26+Inputs!$B$29,IF(Skills!C27=3,120+Inputs!$B$27+Inputs!$B$29,MAX(0,(Inputs!$B$3-100)*3)+Inputs!$B$28+Inputs!$B$29)))</f>
        <v/>
      </c>
      <c r="E189">
        <f>INDEX(FactorTable!$B$2:$Y$301, MATCH(ROUND(MIN(300,MAX(1,D189)),0), FactorTable!$A$2:$A$301,0), Skills!M27+1)</f>
        <v/>
      </c>
      <c r="F189">
        <f>IF(Skills!N27=TRUE,(Skills!L27/10)*(E189/1000),Skills!L27/10)+Skills!O27</f>
        <v/>
      </c>
      <c r="G189">
        <f>Skills!G27*IF(Skills!H27&gt;0,Skills!I27/Skills!H27,1)</f>
        <v/>
      </c>
      <c r="H189">
        <f>1-(1-Skills!J27/100)^Skills!K27</f>
        <v/>
      </c>
      <c r="I189" t="inlineStr">
        <is>
          <t>1</t>
        </is>
      </c>
      <c r="J189" t="inlineStr"/>
      <c r="K189" t="inlineStr"/>
      <c r="L189" t="inlineStr"/>
      <c r="M189" t="inlineStr"/>
      <c r="N189" t="inlineStr"/>
      <c r="O189">
        <f>(1-Summary!$B$55)*T189+Summary!$B$55*V189</f>
        <v/>
      </c>
      <c r="P189">
        <f>IF(B202=0,0,O189/B202)</f>
        <v/>
      </c>
      <c r="Q189" t="n">
        <v>0</v>
      </c>
      <c r="R189" t="n">
        <v>0</v>
      </c>
      <c r="S189">
        <f>IFERROR(O189/N189,0)</f>
        <v/>
      </c>
      <c r="T189" t="n">
        <v>0</v>
      </c>
      <c r="V189" t="n">
        <v>0</v>
      </c>
    </row>
    <row r="191">
      <c r="A191" t="inlineStr">
        <is>
          <t>Attack% Bucket Multiplier</t>
        </is>
      </c>
      <c r="B191">
        <f>(1+(((C179=TRUE)*F179)+((C186=TRUE)*(F186-Calc!F24)))/100)</f>
        <v/>
      </c>
    </row>
    <row r="192">
      <c r="A192" t="inlineStr">
        <is>
          <t>Global Crit Rate Bonus %</t>
        </is>
      </c>
      <c r="B192" t="n">
        <v>0</v>
      </c>
    </row>
    <row r="193">
      <c r="A193" t="inlineStr">
        <is>
          <t>Attack Speed Buff Bonus % (unused)</t>
        </is>
      </c>
      <c r="B193" t="n">
        <v>0</v>
      </c>
    </row>
    <row r="194">
      <c r="A194" t="inlineStr">
        <is>
          <t>Actions Per Second</t>
        </is>
      </c>
      <c r="B194">
        <f>1+MIN(150,150*(1-(1-(Inputs!$B$11+((C182=TRUE)*(F182-Calc!F20))+((C183=TRUE)*(F183-Calc!F21)))/150)*(1-B193/150)))/100</f>
        <v/>
      </c>
    </row>
    <row r="195">
      <c r="A195" t="inlineStr">
        <is>
          <t>Skill + Buff Cast Rate</t>
        </is>
      </c>
      <c r="B195">
        <f>IF(AND(Inputs!$B$38&lt;&gt;"pvp",Inputs!$B$43&gt;0),SUMPRODUCT((Skills!E2:E27=TRUE)*(C164:C189=TRUE)*R164:R189*Skills!F2:F27)/Inputs!$B$43,SUMPRODUCT((Skills!E2:E27=TRUE)*(C164:C189=TRUE)*Q164:Q189*Skills!F2:F27))</f>
        <v/>
      </c>
    </row>
    <row r="196">
      <c r="A196" t="inlineStr">
        <is>
          <t>Eight-Legs Easton Casts Per Second</t>
        </is>
      </c>
      <c r="B196">
        <f>MAX(0,B194-B195)</f>
        <v/>
      </c>
    </row>
    <row r="197">
      <c r="A197" t="inlineStr">
        <is>
          <t>Global Critical Damage Bonus % (unused)</t>
        </is>
      </c>
      <c r="B197" t="n">
        <v>0</v>
      </c>
    </row>
    <row r="198">
      <c r="A198" t="inlineStr">
        <is>
          <t>Global Final Damage Bonus % (Jolly Roger only)</t>
        </is>
      </c>
      <c r="B198">
        <f>((C180=TRUE)*F180)</f>
        <v/>
      </c>
    </row>
    <row r="199">
      <c r="A199" t="inlineStr">
        <is>
          <t>Buff-Casting Startup Delay (s, fixed-duration only)</t>
        </is>
      </c>
      <c r="B199">
        <f>IF(AND(Inputs!$B$38&lt;&gt;"pvp",Inputs!$B$43&gt;0),SUMPRODUCT((Skills!T2:T27&gt;0)*(Skills!E2:E27=TRUE)*(C164:C189=TRUE))/B194,0)</f>
        <v/>
      </c>
    </row>
    <row r="200">
      <c r="A200" t="inlineStr">
        <is>
          <t>Boss-Only Total DPS (this block's swept value)</t>
        </is>
      </c>
      <c r="B200">
        <f>SUM(T164:T189)</f>
        <v/>
      </c>
    </row>
    <row r="201">
      <c r="A201" t="inlineStr">
        <is>
          <t>Normal-Only Total DPS (this block's swept value)</t>
        </is>
      </c>
      <c r="B201">
        <f>SUM(V164:V189)</f>
        <v/>
      </c>
    </row>
    <row r="202">
      <c r="A202" s="5" t="inlineStr">
        <is>
          <t>TOTAL DPS</t>
        </is>
      </c>
      <c r="B202" s="5">
        <f>SUM(O164:O189)</f>
        <v/>
      </c>
    </row>
    <row r="205">
      <c r="A205" s="5" t="inlineStr">
        <is>
          <t>Stat: DAMAGE_AMP %</t>
        </is>
      </c>
    </row>
    <row r="206">
      <c r="A206" s="9" t="inlineStr">
        <is>
          <t>Key</t>
        </is>
      </c>
      <c r="B206" s="9" t="inlineStr">
        <is>
          <t>Name</t>
        </is>
      </c>
      <c r="C206" s="9" t="inlineStr">
        <is>
          <t>Unlocked</t>
        </is>
      </c>
      <c r="D206" s="9" t="inlineStr">
        <is>
          <t>InputLevel</t>
        </is>
      </c>
      <c r="E206" s="9" t="inlineStr">
        <is>
          <t>Factor</t>
        </is>
      </c>
      <c r="F206" s="9" t="inlineStr">
        <is>
          <t>CoefficientPercent</t>
        </is>
      </c>
      <c r="G206" s="9" t="inlineStr">
        <is>
          <t>EffectiveHits</t>
        </is>
      </c>
      <c r="H206" s="9" t="inlineStr">
        <is>
          <t>ProcProbability</t>
        </is>
      </c>
      <c r="I206" s="9" t="inlineStr">
        <is>
          <t>MapleHeroMultiplier</t>
        </is>
      </c>
      <c r="J206" s="9" t="inlineStr">
        <is>
          <t>BaseDamage</t>
        </is>
      </c>
      <c r="K206" s="9" t="inlineStr">
        <is>
          <t>BaseHitDamage</t>
        </is>
      </c>
      <c r="L206" s="9" t="inlineStr">
        <is>
          <t>NonCritAvg</t>
        </is>
      </c>
      <c r="M206" s="9" t="inlineStr">
        <is>
          <t>CritAvg</t>
        </is>
      </c>
      <c r="N206" s="9" t="inlineStr">
        <is>
          <t>ExpectedDamage(perHit)</t>
        </is>
      </c>
      <c r="O206" s="9" t="inlineStr">
        <is>
          <t>DPS</t>
        </is>
      </c>
      <c r="P206" s="9" t="inlineStr">
        <is>
          <t>% of Total</t>
        </is>
      </c>
      <c r="Q206" s="9" t="inlineStr">
        <is>
          <t>InvCooldown</t>
        </is>
      </c>
      <c r="R206" s="9" t="inlineStr">
        <is>
          <t>CastsInFight</t>
        </is>
      </c>
      <c r="S206" s="9" t="inlineStr">
        <is>
          <t>HitRate(perSec)</t>
        </is>
      </c>
      <c r="U206" t="inlineStr">
        <is>
          <t>helpers</t>
        </is>
      </c>
    </row>
    <row r="207">
      <c r="A207">
        <f>Skills!A2</f>
        <v/>
      </c>
      <c r="B207">
        <f>Skills!B2</f>
        <v/>
      </c>
      <c r="C207">
        <f>Inputs!$B$3&gt;=100</f>
        <v/>
      </c>
      <c r="D207" t="inlineStr"/>
      <c r="E207" t="inlineStr"/>
      <c r="F207">
        <f>U209+Skills!O2</f>
        <v/>
      </c>
      <c r="G207">
        <f>Skills!G2*IF(Skills!H2&gt;0,Skills!I2/Skills!H2,1)</f>
        <v/>
      </c>
      <c r="H207">
        <f>1-(1-Skills!J2/100)^Skills!K2</f>
        <v/>
      </c>
      <c r="I207" t="inlineStr">
        <is>
          <t>1</t>
        </is>
      </c>
      <c r="J207">
        <f>((Inputs!$B$6*(1+Inputs!$B$7/100))+(((Inputs!$B$12*(1+Inputs!$B$13/100))-(Inputs!$B$12*(1+Inputs!$B$13/100)))+0.25*(Inputs!$B$14-Inputs!$B$14))*(1+Inputs!$B$7/100))*(F207/100)</f>
        <v/>
      </c>
      <c r="K207">
        <f>J207*(1+((Inputs!$B$12*(1+Inputs!$B$13/100))*0.01+Inputs!$B$14*0.0025)/100)*(1+Inputs!$B$15/100)*(1+(Inputs!$B$16+1)/100)*(5000/(6000+Inputs!$B$42*(1-(Inputs!$B$19+0)/100)))*(1+(Inputs!$B$24+((C231=TRUE)*(F231-Calc!F26))+B241)/100)*(1+(IF(Skills!A2="EIGHT_LEGS_EASTON",Inputs!$B$17+((C228=TRUE)*(F228-Calc!F23))+((C232=TRUE)*(F232-Calc!F27)),Inputs!$B$18+0))/100)*((1+(((C222=TRUE)*F222)+((C229=TRUE)*(F229-Calc!F24)))/100)*I207)</f>
        <v/>
      </c>
      <c r="L207">
        <f>K207*(MIN(Inputs!$B$22+((C227=TRUE)*(F227-Calc!F22)),Inputs!$B$23+0)/100+(Inputs!$B$23+0)/100)/2</f>
        <v/>
      </c>
      <c r="M207">
        <f>L207*(1+(Inputs!$B$10+((C230=TRUE)*(F230-Calc!F25))+B240)/100)</f>
        <v/>
      </c>
      <c r="N207">
        <f>L207*(1-MIN((Inputs!$B$9+((C224=TRUE)*(F224-Calc!F19))+B235),100)/100)+M207*(MIN((Inputs!$B$9+((C224=TRUE)*(F224-Calc!F19))+B235),100)/100)</f>
        <v/>
      </c>
      <c r="O207">
        <f>(1-Summary!$B$55)*T207+Summary!$B$55*V207</f>
        <v/>
      </c>
      <c r="P207">
        <f>IF(B245=0,0,O207/B245)</f>
        <v/>
      </c>
      <c r="Q207" t="n">
        <v>0</v>
      </c>
      <c r="R207" t="n">
        <v>0</v>
      </c>
      <c r="S207">
        <f>IFERROR(O207/N207,0)</f>
        <v/>
      </c>
      <c r="T207">
        <f>IF(C207,(Skills!G2*N207*B239)*IF(Inputs!$B$38="pvp",1,1+(Inputs!$B$20+0+Skills!P2)/100),0)</f>
        <v/>
      </c>
      <c r="U207">
        <f>MAX(0,(Inputs!$B$3-100)*3)+Inputs!$B$28+Inputs!$B$29</f>
        <v/>
      </c>
      <c r="V207">
        <f>IF(C207,(Skills!G2*N207*B239)*IF(Inputs!$B$38="pvp",1,(1+(Inputs!$B$21+Skills!Q2)/100)*(MIN((6+Inputs!$B$33),Inputs!$B$37))),0)</f>
        <v/>
      </c>
    </row>
    <row r="208">
      <c r="A208">
        <f>Skills!A3</f>
        <v/>
      </c>
      <c r="B208">
        <f>Skills!B3</f>
        <v/>
      </c>
      <c r="C208">
        <f>Inputs!$B$3&gt;=35</f>
        <v/>
      </c>
      <c r="D208">
        <f>IF(Skills!C3=1,60+Inputs!$B$25+Inputs!$B$29,IF(Skills!C3=2,90+Inputs!$B$26+Inputs!$B$29,IF(Skills!C3=3,120+Inputs!$B$27+Inputs!$B$29,MAX(0,(Inputs!$B$3-100)*3)+Inputs!$B$28+Inputs!$B$29)))</f>
        <v/>
      </c>
      <c r="E208">
        <f>INDEX(FactorTable!$B$2:$Y$301, MATCH(ROUND(MIN(300,MAX(1,D208)),0), FactorTable!$A$2:$A$301,0), Skills!M3+1)</f>
        <v/>
      </c>
      <c r="F208">
        <f>IF(Skills!N3=TRUE,(Skills!L3/10)*(E208/1000),Skills!L3/10)+Skills!O3</f>
        <v/>
      </c>
      <c r="G208">
        <f>Skills!G3*IF(Skills!H3&gt;0,Skills!I3/Skills!H3,1)</f>
        <v/>
      </c>
      <c r="H208">
        <f>1-(1-Skills!J3/100)^Skills!K3</f>
        <v/>
      </c>
      <c r="I208" t="inlineStr">
        <is>
          <t>1</t>
        </is>
      </c>
      <c r="J208">
        <f>((Inputs!$B$6*(1+Inputs!$B$7/100))+(((Inputs!$B$12*(1+Inputs!$B$13/100))-(Inputs!$B$12*(1+Inputs!$B$13/100)))+0.25*(Inputs!$B$14-Inputs!$B$14))*(1+Inputs!$B$7/100))*(F208/100)</f>
        <v/>
      </c>
      <c r="K208">
        <f>J208*(1+((Inputs!$B$12*(1+Inputs!$B$13/100))*0.01+Inputs!$B$14*0.0025)/100)*(1+Inputs!$B$15/100)*(1+(Inputs!$B$16+1)/100)*(5000/(6000+Inputs!$B$42*(1-(Inputs!$B$19+0)/100)))*(1+(Inputs!$B$24+((C231=TRUE)*(F231-Calc!F26))+B241)/100)*(1+4.0*IF(C220=TRUE,F220,0)/100)*(1+(IF(Skills!A3="EIGHT_LEGS_EASTON",Inputs!$B$17+((C228=TRUE)*(F228-Calc!F23))+((C232=TRUE)*(F232-Calc!F27)),Inputs!$B$18+0))/100)*((1+(((C222=TRUE)*F222)+((C229=TRUE)*(F229-Calc!F24)))/100)*I208)</f>
        <v/>
      </c>
      <c r="L208">
        <f>K208*(MIN(Inputs!$B$22+((C227=TRUE)*(F227-Calc!F22)),Inputs!$B$23+0)/100+(Inputs!$B$23+0)/100)/2</f>
        <v/>
      </c>
      <c r="M208">
        <f>L208*(1+(Inputs!$B$10+((C230=TRUE)*(F230-Calc!F25))+B240)/100)</f>
        <v/>
      </c>
      <c r="N208">
        <f>L208*(1-MIN((Inputs!$B$9+((C224=TRUE)*(F224-Calc!F19))+B235),100)/100)+M208*(MIN((Inputs!$B$9+((C224=TRUE)*(F224-Calc!F19))+B235),100)/100)</f>
        <v/>
      </c>
      <c r="O208">
        <f>(1-Summary!$B$55)*T208+Summary!$B$55*V208</f>
        <v/>
      </c>
      <c r="P208">
        <f>IF(B245=0,0,O208/B245)</f>
        <v/>
      </c>
      <c r="Q208">
        <f>IFERROR(1/IF(Inputs!$B$38="pvp",15,MAX(0.1,Skills!D3-IF(Skills!E3=TRUE,Inputs!$B$32,0))),0)</f>
        <v/>
      </c>
      <c r="R208">
        <f>IF(AND(Inputs!$B$38&lt;&gt;"pvp",Inputs!$B$43&gt;0),IF(MAX(0,Inputs!$B$43-B242)&lt;=0,0,(INT(MAX(0,Inputs!$B$43-B242)/IF(Inputs!$B$38="pvp",15,MAX(0.1,Skills!D3-IF(Skills!E3=TRUE,Inputs!$B$32,0))))+1)),0)</f>
        <v/>
      </c>
      <c r="S208">
        <f>IFERROR(O208/N208,0)</f>
        <v/>
      </c>
      <c r="T208">
        <f>IF(C208,(H208*N208*IF(AND(Inputs!$B$38&lt;&gt;"pvp",Inputs!$B$43&gt;0),((Skills!G3*((R208-1)*IF(Skills!H3&gt;0,Skills!I3/Skills!H3,1)+IF(Skills!H3&gt;0,MIN(Skills!I3,MAX(0,MAX(0,Inputs!$B$43-B242)-((R208-1)*IF(Inputs!$B$38="pvp",15,MAX(0.1,Skills!D3-IF(Skills!E3=TRUE,Inputs!$B$32,0))))))/Skills!H3,1)))/Inputs!$B$43),G208*Q208))*IF(Inputs!$B$38="pvp",1,1+(Inputs!$B$20+0+Skills!P3)/100),0)</f>
        <v/>
      </c>
      <c r="U208">
        <f>INDEX(FactorTable!$B$2:$Y$301, MATCH(ROUND(MIN(300,MAX(1,U207)),0), FactorTable!$A$2:$A$301,0), 22)</f>
        <v/>
      </c>
      <c r="V208">
        <f>IF(C208,(H208*N208*IF(AND(Inputs!$B$38&lt;&gt;"pvp",Inputs!$B$43&gt;0),((Skills!G3*((R208-1)*IF(Skills!H3&gt;0,Skills!I3/Skills!H3,1)+IF(Skills!H3&gt;0,MIN(Skills!I3,MAX(0,MAX(0,Inputs!$B$43-B242)-((R208-1)*IF(Inputs!$B$38="pvp",15,MAX(0.1,Skills!D3-IF(Skills!E3=TRUE,Inputs!$B$32,0))))))/Skills!H3,1)))/Inputs!$B$43),G208*Q208))*IF(Inputs!$B$38="pvp",1,(1+(Inputs!$B$21+Skills!Q3)/100)*(MIN(Skills!R3,Inputs!$B$37))),0)</f>
        <v/>
      </c>
    </row>
    <row r="209">
      <c r="A209">
        <f>Skills!A4</f>
        <v/>
      </c>
      <c r="B209">
        <f>Skills!B4</f>
        <v/>
      </c>
      <c r="C209">
        <f>Inputs!$B$3&gt;=40</f>
        <v/>
      </c>
      <c r="D209">
        <f>IF(Skills!C4=1,60+Inputs!$B$25+Inputs!$B$29,IF(Skills!C4=2,90+Inputs!$B$26+Inputs!$B$29,IF(Skills!C4=3,120+Inputs!$B$27+Inputs!$B$29,MAX(0,(Inputs!$B$3-100)*3)+Inputs!$B$28+Inputs!$B$29)))</f>
        <v/>
      </c>
      <c r="E209">
        <f>INDEX(FactorTable!$B$2:$Y$301, MATCH(ROUND(MIN(300,MAX(1,D209)),0), FactorTable!$A$2:$A$301,0), Skills!M4+1)</f>
        <v/>
      </c>
      <c r="F209">
        <f>IF(Skills!N4=TRUE,(Skills!L4/10)*(E209/1000),Skills!L4/10)+Skills!O4</f>
        <v/>
      </c>
      <c r="G209">
        <f>Skills!G4*IF(Skills!H4&gt;0,Skills!I4/Skills!H4,1)</f>
        <v/>
      </c>
      <c r="H209">
        <f>1-(1-Skills!J4/100)^Skills!K4</f>
        <v/>
      </c>
      <c r="I209" t="inlineStr">
        <is>
          <t>1</t>
        </is>
      </c>
      <c r="J209">
        <f>((Inputs!$B$6*(1+Inputs!$B$7/100))+(((Inputs!$B$12*(1+Inputs!$B$13/100))-(Inputs!$B$12*(1+Inputs!$B$13/100)))+0.25*(Inputs!$B$14-Inputs!$B$14))*(1+Inputs!$B$7/100))*(F209/100)</f>
        <v/>
      </c>
      <c r="K209">
        <f>J209*(1+((Inputs!$B$12*(1+Inputs!$B$13/100))*0.01+Inputs!$B$14*0.0025)/100)*(1+Inputs!$B$15/100)*(1+(Inputs!$B$16+1)/100)*(5000/(6000+Inputs!$B$42*(1-(Inputs!$B$19+0)/100)))*(1+(Inputs!$B$24+((C231=TRUE)*(F231-Calc!F26))+B241)/100)*(1+1.0*IF(C221=TRUE,F221,0)/100)*(1+(IF(Skills!A4="EIGHT_LEGS_EASTON",Inputs!$B$17+((C228=TRUE)*(F228-Calc!F23))+((C232=TRUE)*(F232-Calc!F27)),Inputs!$B$18+0))/100)*((1+(((C222=TRUE)*F222)+((C229=TRUE)*(F229-Calc!F24)))/100)*I209)</f>
        <v/>
      </c>
      <c r="L209">
        <f>K209*(MIN(Inputs!$B$22+((C227=TRUE)*(F227-Calc!F22)),Inputs!$B$23+0)/100+(Inputs!$B$23+0)/100)/2</f>
        <v/>
      </c>
      <c r="M209">
        <f>L209*(1+(Inputs!$B$10+((C230=TRUE)*(F230-Calc!F25))+B240)/100)</f>
        <v/>
      </c>
      <c r="N209">
        <f>L209*(1-MIN((Inputs!$B$9+((C224=TRUE)*(F224-Calc!F19))+B235),100)/100)+M209*(MIN((Inputs!$B$9+((C224=TRUE)*(F224-Calc!F19))+B235),100)/100)</f>
        <v/>
      </c>
      <c r="O209">
        <f>(1-Summary!$B$55)*T209+Summary!$B$55*V209</f>
        <v/>
      </c>
      <c r="P209">
        <f>IF(B245=0,0,O209/B245)</f>
        <v/>
      </c>
      <c r="Q209">
        <f>IFERROR(1/IF(Inputs!$B$38="pvp",15,MAX(0.1,Skills!D4-IF(Skills!E4=TRUE,Inputs!$B$32,0))),0)</f>
        <v/>
      </c>
      <c r="R209">
        <f>IF(AND(Inputs!$B$38&lt;&gt;"pvp",Inputs!$B$43&gt;0),IF(MAX(0,Inputs!$B$43-B242)&lt;=0,0,(INT(MAX(0,Inputs!$B$43-B242)/IF(Inputs!$B$38="pvp",15,MAX(0.1,Skills!D4-IF(Skills!E4=TRUE,Inputs!$B$32,0))))+1)),0)</f>
        <v/>
      </c>
      <c r="S209">
        <f>IFERROR(O209/N209,0)</f>
        <v/>
      </c>
      <c r="T209">
        <f>IF(C209,(H209*N209*IF(AND(Inputs!$B$38&lt;&gt;"pvp",Inputs!$B$43&gt;0),((Skills!G4*((R209-1)*IF(Skills!H4&gt;0,Skills!I4/Skills!H4,1)+IF(Skills!H4&gt;0,MIN(Skills!I4,MAX(0,MAX(0,Inputs!$B$43-B242)-((R209-1)*IF(Inputs!$B$38="pvp",15,MAX(0.1,Skills!D4-IF(Skills!E4=TRUE,Inputs!$B$32,0))))))/Skills!H4,1)))/Inputs!$B$43),G209*Q209))*IF(Inputs!$B$38="pvp",1,1+(Inputs!$B$20+0+Skills!P4)/100),0)</f>
        <v/>
      </c>
      <c r="U209">
        <f>290*U208/1000</f>
        <v/>
      </c>
      <c r="V209">
        <f>IF(C209,(H209*N209*IF(AND(Inputs!$B$38&lt;&gt;"pvp",Inputs!$B$43&gt;0),((Skills!G4*((R209-1)*IF(Skills!H4&gt;0,Skills!I4/Skills!H4,1)+IF(Skills!H4&gt;0,MIN(Skills!I4,MAX(0,MAX(0,Inputs!$B$43-B242)-((R209-1)*IF(Inputs!$B$38="pvp",15,MAX(0.1,Skills!D4-IF(Skills!E4=TRUE,Inputs!$B$32,0))))))/Skills!H4,1)))/Inputs!$B$43),G209*Q209))*IF(Inputs!$B$38="pvp",1,(1+(Inputs!$B$21+Skills!Q4)/100)*(MIN(Skills!R4,Inputs!$B$37))),0)</f>
        <v/>
      </c>
    </row>
    <row r="210">
      <c r="A210">
        <f>Skills!A5</f>
        <v/>
      </c>
      <c r="B210">
        <f>Skills!B5</f>
        <v/>
      </c>
      <c r="C210">
        <f>Inputs!$B$3&gt;=45</f>
        <v/>
      </c>
      <c r="D210">
        <f>IF(Skills!C5=1,60+Inputs!$B$25+Inputs!$B$29,IF(Skills!C5=2,90+Inputs!$B$26+Inputs!$B$29,IF(Skills!C5=3,120+Inputs!$B$27+Inputs!$B$29,MAX(0,(Inputs!$B$3-100)*3)+Inputs!$B$28+Inputs!$B$29)))</f>
        <v/>
      </c>
      <c r="E210">
        <f>INDEX(FactorTable!$B$2:$Y$301, MATCH(ROUND(MIN(300,MAX(1,D210)),0), FactorTable!$A$2:$A$301,0), Skills!M5+1)</f>
        <v/>
      </c>
      <c r="F210">
        <f>IF(Skills!N5=TRUE,(Skills!L5/10)*(E210/1000),Skills!L5/10)+Skills!O5</f>
        <v/>
      </c>
      <c r="G210">
        <f>Skills!G5*IF(Skills!H5&gt;0,Skills!I5/Skills!H5,1)</f>
        <v/>
      </c>
      <c r="H210">
        <f>1-(1-Skills!J5/100)^Skills!K5</f>
        <v/>
      </c>
      <c r="I210" t="inlineStr">
        <is>
          <t>1</t>
        </is>
      </c>
      <c r="J210">
        <f>((Inputs!$B$6*(1+Inputs!$B$7/100))+(((Inputs!$B$12*(1+Inputs!$B$13/100))-(Inputs!$B$12*(1+Inputs!$B$13/100)))+0.25*(Inputs!$B$14-Inputs!$B$14))*(1+Inputs!$B$7/100))*(F210/100)</f>
        <v/>
      </c>
      <c r="K210">
        <f>J210*(1+((Inputs!$B$12*(1+Inputs!$B$13/100))*0.01+Inputs!$B$14*0.0025)/100)*(1+Inputs!$B$15/100)*(1+(Inputs!$B$16+1)/100)*(5000/(6000+Inputs!$B$42*(1-(Inputs!$B$19+0)/100)))*(1+(Inputs!$B$24+((C231=TRUE)*(F231-Calc!F26))+B241)/100)*(1+0.4*IF(C221=TRUE,F221,0)/100)*(1+(IF(Skills!A5="EIGHT_LEGS_EASTON",Inputs!$B$17+((C228=TRUE)*(F228-Calc!F23))+((C232=TRUE)*(F232-Calc!F27)),Inputs!$B$18+0))/100)*((1+(((C222=TRUE)*F222)+((C229=TRUE)*(F229-Calc!F24)))/100)*I210)</f>
        <v/>
      </c>
      <c r="L210">
        <f>K210*(MIN(Inputs!$B$22+((C227=TRUE)*(F227-Calc!F22)),Inputs!$B$23+0)/100+(Inputs!$B$23+0)/100)/2</f>
        <v/>
      </c>
      <c r="M210">
        <f>L210*(1+(Inputs!$B$10+((C230=TRUE)*(F230-Calc!F25))+B240)/100)</f>
        <v/>
      </c>
      <c r="N210">
        <f>L210*(1-MIN((Inputs!$B$9+((C224=TRUE)*(F224-Calc!F19))+B235),100)/100)+M210*(MIN((Inputs!$B$9+((C224=TRUE)*(F224-Calc!F19))+B235),100)/100)</f>
        <v/>
      </c>
      <c r="O210">
        <f>(1-Summary!$B$55)*T210+Summary!$B$55*V210</f>
        <v/>
      </c>
      <c r="P210">
        <f>IF(B245=0,0,O210/B245)</f>
        <v/>
      </c>
      <c r="Q210">
        <f>IFERROR(1/IF(Inputs!$B$38="pvp",15,MAX(0.1,Skills!D5-IF(Skills!E5=TRUE,Inputs!$B$32,0))),0)</f>
        <v/>
      </c>
      <c r="R210">
        <f>IF(AND(Inputs!$B$38&lt;&gt;"pvp",Inputs!$B$43&gt;0),IF(MAX(0,Inputs!$B$43-B242)&lt;=0,0,(INT(MAX(0,Inputs!$B$43-B242)/IF(Inputs!$B$38="pvp",15,MAX(0.1,Skills!D5-IF(Skills!E5=TRUE,Inputs!$B$32,0))))+1)),0)</f>
        <v/>
      </c>
      <c r="S210">
        <f>IFERROR(O210/N210,0)</f>
        <v/>
      </c>
      <c r="T210">
        <f>IF(C210,(H210*N210*IF(AND(Inputs!$B$38&lt;&gt;"pvp",Inputs!$B$43&gt;0),((Skills!G5*((R210-1)*IF(Skills!H5&gt;0,Skills!I5/Skills!H5,1)+IF(Skills!H5&gt;0,MIN(Skills!I5,MAX(0,MAX(0,Inputs!$B$43-B242)-((R210-1)*IF(Inputs!$B$38="pvp",15,MAX(0.1,Skills!D5-IF(Skills!E5=TRUE,Inputs!$B$32,0))))))/Skills!H5,1)))/Inputs!$B$43),G210*Q210))*IF(Inputs!$B$38="pvp",1,1+(Inputs!$B$20+0+Skills!P5)/100),0)</f>
        <v/>
      </c>
      <c r="V210">
        <f>IF(C210,(H210*N210*IF(AND(Inputs!$B$38&lt;&gt;"pvp",Inputs!$B$43&gt;0),((Skills!G5*((R210-1)*IF(Skills!H5&gt;0,Skills!I5/Skills!H5,1)+IF(Skills!H5&gt;0,MIN(Skills!I5,MAX(0,MAX(0,Inputs!$B$43-B242)-((R210-1)*IF(Inputs!$B$38="pvp",15,MAX(0.1,Skills!D5-IF(Skills!E5=TRUE,Inputs!$B$32,0))))))/Skills!H5,1)))/Inputs!$B$43),G210*Q210))*IF(Inputs!$B$38="pvp",1,(1+(Inputs!$B$21+Skills!Q5)/100)*(MIN(Skills!R5,Inputs!$B$37))),0)</f>
        <v/>
      </c>
    </row>
    <row r="211">
      <c r="A211">
        <f>Skills!A6</f>
        <v/>
      </c>
      <c r="B211">
        <f>Skills!B6</f>
        <v/>
      </c>
      <c r="C211">
        <f>Inputs!$B$3&gt;=63</f>
        <v/>
      </c>
      <c r="D211">
        <f>IF(Skills!C6=1,60+Inputs!$B$25+Inputs!$B$29,IF(Skills!C6=2,90+Inputs!$B$26+Inputs!$B$29,IF(Skills!C6=3,120+Inputs!$B$27+Inputs!$B$29,MAX(0,(Inputs!$B$3-100)*3)+Inputs!$B$28+Inputs!$B$29)))</f>
        <v/>
      </c>
      <c r="E211">
        <f>INDEX(FactorTable!$B$2:$Y$301, MATCH(ROUND(MIN(300,MAX(1,D211)),0), FactorTable!$A$2:$A$301,0), Skills!M6+1)</f>
        <v/>
      </c>
      <c r="F211">
        <f>IF(Skills!N6=TRUE,(Skills!L6/10)*(E211/1000),Skills!L6/10)+Skills!O6</f>
        <v/>
      </c>
      <c r="G211">
        <f>Skills!G6*IF(Skills!H6&gt;0,Skills!I6/Skills!H6,1)</f>
        <v/>
      </c>
      <c r="H211">
        <f>1-(1-Skills!J6/100)^Skills!K6</f>
        <v/>
      </c>
      <c r="I211" t="inlineStr">
        <is>
          <t>1</t>
        </is>
      </c>
      <c r="J211">
        <f>((Inputs!$B$6*(1+Inputs!$B$7/100))+(((Inputs!$B$12*(1+Inputs!$B$13/100))-(Inputs!$B$12*(1+Inputs!$B$13/100)))+0.25*(Inputs!$B$14-Inputs!$B$14))*(1+Inputs!$B$7/100))*(F211/100)</f>
        <v/>
      </c>
      <c r="K211">
        <f>J211*(1+((Inputs!$B$12*(1+Inputs!$B$13/100))*0.01+Inputs!$B$14*0.0025)/100)*(1+Inputs!$B$15/100)*(1+(Inputs!$B$16+1)/100)*(5000/(6000+Inputs!$B$42*(1-(Inputs!$B$19+0)/100)))*(1+(Inputs!$B$24+((C231=TRUE)*(F231-Calc!F26))+B241)/100)*(1+2.0*IF(C220=TRUE,F220,0)/100)*(1+(IF(Skills!A6="EIGHT_LEGS_EASTON",Inputs!$B$17+((C228=TRUE)*(F228-Calc!F23))+((C232=TRUE)*(F232-Calc!F27)),Inputs!$B$18+0))/100)*((1+(((C222=TRUE)*F222)+((C229=TRUE)*(F229-Calc!F24)))/100)*I211)</f>
        <v/>
      </c>
      <c r="L211">
        <f>K211*(MIN(Inputs!$B$22+((C227=TRUE)*(F227-Calc!F22)),Inputs!$B$23+0)/100+(Inputs!$B$23+0)/100)/2</f>
        <v/>
      </c>
      <c r="M211">
        <f>L211*(1+(Inputs!$B$10+((C230=TRUE)*(F230-Calc!F25))+B240)/100)</f>
        <v/>
      </c>
      <c r="N211">
        <f>L211*(1-MIN((Inputs!$B$9+((C224=TRUE)*(F224-Calc!F19))+B235),100)/100)+M211*(MIN((Inputs!$B$9+((C224=TRUE)*(F224-Calc!F19))+B235),100)/100)</f>
        <v/>
      </c>
      <c r="O211">
        <f>(1-Summary!$B$55)*T211+Summary!$B$55*V211</f>
        <v/>
      </c>
      <c r="P211">
        <f>IF(B245=0,0,O211/B245)</f>
        <v/>
      </c>
      <c r="Q211">
        <f>IFERROR(1/IF(Inputs!$B$38="pvp",15,MAX(0.1,Skills!D6-IF(Skills!E6=TRUE,Inputs!$B$32,0))),0)</f>
        <v/>
      </c>
      <c r="R211">
        <f>IF(AND(Inputs!$B$38&lt;&gt;"pvp",Inputs!$B$43&gt;0),IF(MAX(0,Inputs!$B$43-B242)&lt;=0,0,(INT(MAX(0,Inputs!$B$43-B242)/IF(Inputs!$B$38="pvp",15,MAX(0.1,Skills!D6-IF(Skills!E6=TRUE,Inputs!$B$32,0))))+1)),0)</f>
        <v/>
      </c>
      <c r="S211">
        <f>IFERROR(O211/N211,0)</f>
        <v/>
      </c>
      <c r="T211">
        <f>IF(C211,(H211*N211*IF(AND(Inputs!$B$38&lt;&gt;"pvp",Inputs!$B$43&gt;0),((Skills!G6*((R211-1)*IF(Skills!H6&gt;0,Skills!I6/Skills!H6,1)+IF(Skills!H6&gt;0,MIN(Skills!I6,MAX(0,MAX(0,Inputs!$B$43-B242)-((R211-1)*IF(Inputs!$B$38="pvp",15,MAX(0.1,Skills!D6-IF(Skills!E6=TRUE,Inputs!$B$32,0))))))/Skills!H6,1)))/Inputs!$B$43),G211*Q211))*IF(Inputs!$B$38="pvp",1,1+(Inputs!$B$20+0+Skills!P6)/100),0)</f>
        <v/>
      </c>
      <c r="V211">
        <f>IF(C211,(H211*N211*IF(AND(Inputs!$B$38&lt;&gt;"pvp",Inputs!$B$43&gt;0),((Skills!G6*((R211-1)*IF(Skills!H6&gt;0,Skills!I6/Skills!H6,1)+IF(Skills!H6&gt;0,MIN(Skills!I6,MAX(0,MAX(0,Inputs!$B$43-B242)-((R211-1)*IF(Inputs!$B$38="pvp",15,MAX(0.1,Skills!D6-IF(Skills!E6=TRUE,Inputs!$B$32,0))))))/Skills!H6,1)))/Inputs!$B$43),G211*Q211))*IF(Inputs!$B$38="pvp",1,(1+(Inputs!$B$21+Skills!Q6)/100)*(MIN(Skills!R6,Inputs!$B$37))),0)</f>
        <v/>
      </c>
    </row>
    <row r="212">
      <c r="A212">
        <f>Skills!A7</f>
        <v/>
      </c>
      <c r="B212">
        <f>Skills!B7</f>
        <v/>
      </c>
      <c r="C212">
        <f>Inputs!$B$3&gt;=66</f>
        <v/>
      </c>
      <c r="D212">
        <f>IF(Skills!C7=1,60+Inputs!$B$25+Inputs!$B$29,IF(Skills!C7=2,90+Inputs!$B$26+Inputs!$B$29,IF(Skills!C7=3,120+Inputs!$B$27+Inputs!$B$29,MAX(0,(Inputs!$B$3-100)*3)+Inputs!$B$28+Inputs!$B$29)))</f>
        <v/>
      </c>
      <c r="E212">
        <f>INDEX(FactorTable!$B$2:$Y$301, MATCH(ROUND(MIN(300,MAX(1,D212)),0), FactorTable!$A$2:$A$301,0), Skills!M7+1)</f>
        <v/>
      </c>
      <c r="F212">
        <f>IF(Skills!N7=TRUE,(Skills!L7/10)*(E212/1000),Skills!L7/10)+Skills!O7</f>
        <v/>
      </c>
      <c r="G212">
        <f>Skills!G7*IF(Skills!H7&gt;0,Skills!I7/Skills!H7,1)</f>
        <v/>
      </c>
      <c r="H212">
        <f>1-(1-Skills!J7/100)^Skills!K7</f>
        <v/>
      </c>
      <c r="I212" t="inlineStr">
        <is>
          <t>1</t>
        </is>
      </c>
      <c r="J212">
        <f>((Inputs!$B$6*(1+Inputs!$B$7/100))+(((Inputs!$B$12*(1+Inputs!$B$13/100))-(Inputs!$B$12*(1+Inputs!$B$13/100)))+0.25*(Inputs!$B$14-Inputs!$B$14))*(1+Inputs!$B$7/100))*(F212/100)</f>
        <v/>
      </c>
      <c r="K212">
        <f>J212*(1+((Inputs!$B$12*(1+Inputs!$B$13/100))*0.01+Inputs!$B$14*0.0025)/100)*(1+Inputs!$B$15/100)*(1+(Inputs!$B$16+1)/100)*(5000/(6000+Inputs!$B$42*(1-(Inputs!$B$19+0)/100)))*(1+(Inputs!$B$24+((C231=TRUE)*(F231-Calc!F26))+B241)/100)*(1+1.0*IF(C220=TRUE,F220,0)/100)*(1+(IF(Skills!A7="EIGHT_LEGS_EASTON",Inputs!$B$17+((C228=TRUE)*(F228-Calc!F23))+((C232=TRUE)*(F232-Calc!F27)),Inputs!$B$18+0))/100)*((1+(((C222=TRUE)*F222)+((C229=TRUE)*(F229-Calc!F24)))/100)*I212)</f>
        <v/>
      </c>
      <c r="L212">
        <f>K212*(MIN(Inputs!$B$22+((C227=TRUE)*(F227-Calc!F22)),Inputs!$B$23+0)/100+(Inputs!$B$23+0)/100)/2</f>
        <v/>
      </c>
      <c r="M212">
        <f>L212*(1+(Inputs!$B$10+((C230=TRUE)*(F230-Calc!F25))+B240)/100)</f>
        <v/>
      </c>
      <c r="N212">
        <f>L212*(1-MIN((Inputs!$B$9+((C224=TRUE)*(F224-Calc!F19))+B235),100)/100)+M212*(MIN((Inputs!$B$9+((C224=TRUE)*(F224-Calc!F19))+B235),100)/100)</f>
        <v/>
      </c>
      <c r="O212">
        <f>(1-Summary!$B$55)*T212+Summary!$B$55*V212</f>
        <v/>
      </c>
      <c r="P212">
        <f>IF(B245=0,0,O212/B245)</f>
        <v/>
      </c>
      <c r="Q212">
        <f>IFERROR(1/IF(Inputs!$B$38="pvp",15,MAX(0.1,Skills!D7-IF(Skills!E7=TRUE,Inputs!$B$32,0))),0)</f>
        <v/>
      </c>
      <c r="R212">
        <f>IF(AND(Inputs!$B$38&lt;&gt;"pvp",Inputs!$B$43&gt;0),IF(MAX(0,Inputs!$B$43-B242)&lt;=0,0,(INT(MAX(0,Inputs!$B$43-B242)/IF(Inputs!$B$38="pvp",15,MAX(0.1,Skills!D7-IF(Skills!E7=TRUE,Inputs!$B$32,0))))+1)),0)</f>
        <v/>
      </c>
      <c r="S212">
        <f>IFERROR(O212/N212,0)</f>
        <v/>
      </c>
      <c r="T212">
        <f>IF(C212,(H212*N212*IF(AND(Inputs!$B$38&lt;&gt;"pvp",Inputs!$B$43&gt;0),((Skills!G7*((R212-1)*IF(Skills!H7&gt;0,Skills!I7/Skills!H7,1)+IF(Skills!H7&gt;0,MIN(Skills!I7,MAX(0,MAX(0,Inputs!$B$43-B242)-((R212-1)*IF(Inputs!$B$38="pvp",15,MAX(0.1,Skills!D7-IF(Skills!E7=TRUE,Inputs!$B$32,0))))))/Skills!H7,1)))/Inputs!$B$43),G212*Q212))*IF(Inputs!$B$38="pvp",1,1+(Inputs!$B$20+0+Skills!P7)/100),0)</f>
        <v/>
      </c>
      <c r="V212">
        <f>IF(C212,(H212*N212*IF(AND(Inputs!$B$38&lt;&gt;"pvp",Inputs!$B$43&gt;0),((Skills!G7*((R212-1)*IF(Skills!H7&gt;0,Skills!I7/Skills!H7,1)+IF(Skills!H7&gt;0,MIN(Skills!I7,MAX(0,MAX(0,Inputs!$B$43-B242)-((R212-1)*IF(Inputs!$B$38="pvp",15,MAX(0.1,Skills!D7-IF(Skills!E7=TRUE,Inputs!$B$32,0))))))/Skills!H7,1)))/Inputs!$B$43),G212*Q212))*IF(Inputs!$B$38="pvp",1,(1+(Inputs!$B$21+Skills!Q7)/100)*(MIN(Skills!R7,Inputs!$B$37))),0)</f>
        <v/>
      </c>
    </row>
    <row r="213">
      <c r="A213">
        <f>Skills!A8</f>
        <v/>
      </c>
      <c r="B213">
        <f>Skills!B8</f>
        <v/>
      </c>
      <c r="C213">
        <f>Inputs!$B$3&gt;=100</f>
        <v/>
      </c>
      <c r="D213">
        <f>IF(Skills!C8=1,60+Inputs!$B$25+Inputs!$B$29,IF(Skills!C8=2,90+Inputs!$B$26+Inputs!$B$29,IF(Skills!C8=3,120+Inputs!$B$27+Inputs!$B$29,MAX(0,(Inputs!$B$3-100)*3)+Inputs!$B$28+Inputs!$B$29)))</f>
        <v/>
      </c>
      <c r="E213">
        <f>INDEX(FactorTable!$B$2:$Y$301, MATCH(ROUND(MIN(300,MAX(1,D213)),0), FactorTable!$A$2:$A$301,0), Skills!M8+1)</f>
        <v/>
      </c>
      <c r="F213">
        <f>IF(Skills!N8=TRUE,(Skills!L8/10)*(E213/1000),Skills!L8/10)+Skills!O8</f>
        <v/>
      </c>
      <c r="G213">
        <f>Skills!G8*IF(Skills!H8&gt;0,Skills!I8/Skills!H8,1)</f>
        <v/>
      </c>
      <c r="H213">
        <f>1-(1-Skills!J8/100)^Skills!K8</f>
        <v/>
      </c>
      <c r="I213" t="inlineStr">
        <is>
          <t>1</t>
        </is>
      </c>
      <c r="J213">
        <f>((Inputs!$B$6*(1+Inputs!$B$7/100))+(((Inputs!$B$12*(1+Inputs!$B$13/100))-(Inputs!$B$12*(1+Inputs!$B$13/100)))+0.25*(Inputs!$B$14-Inputs!$B$14))*(1+Inputs!$B$7/100))*(F213/100)</f>
        <v/>
      </c>
      <c r="K213">
        <f>J213*(1+((Inputs!$B$12*(1+Inputs!$B$13/100))*0.01+Inputs!$B$14*0.0025)/100)*(1+Inputs!$B$15/100)*(1+(Inputs!$B$16+1)/100)*(5000/(6000+Inputs!$B$42*(1-(Inputs!$B$19+0)/100)))*(1+(Inputs!$B$24+((C231=TRUE)*(F231-Calc!F26))+B241)/100)*(1+(IF(Skills!A8="EIGHT_LEGS_EASTON",Inputs!$B$17+((C228=TRUE)*(F228-Calc!F23))+((C232=TRUE)*(F232-Calc!F27)),Inputs!$B$18+0))/100)*((1+(((C222=TRUE)*F222)+((C229=TRUE)*(F229-Calc!F24)))/100)*I213)</f>
        <v/>
      </c>
      <c r="L213">
        <f>K213*(MIN(Inputs!$B$22+((C227=TRUE)*(F227-Calc!F22)),Inputs!$B$23+0)/100+(Inputs!$B$23+0)/100)/2</f>
        <v/>
      </c>
      <c r="M213">
        <f>L213*(1+(Inputs!$B$10+((C230=TRUE)*(F230-Calc!F25))+B240)/100)</f>
        <v/>
      </c>
      <c r="N213">
        <f>L213*(1-MIN((Inputs!$B$9+((C224=TRUE)*(F224-Calc!F19))+B235),100)/100)+M213*(MIN((Inputs!$B$9+((C224=TRUE)*(F224-Calc!F19))+B235),100)/100)</f>
        <v/>
      </c>
      <c r="O213">
        <f>(1-Summary!$B$55)*T213+Summary!$B$55*V213</f>
        <v/>
      </c>
      <c r="P213">
        <f>IF(B245=0,0,O213/B245)</f>
        <v/>
      </c>
      <c r="Q213">
        <f>IFERROR(1/IF(Inputs!$B$38="pvp",15,MAX(0.1,Skills!D8-IF(Skills!E8=TRUE,Inputs!$B$32,0))),0)</f>
        <v/>
      </c>
      <c r="R213">
        <f>IF(AND(Inputs!$B$38&lt;&gt;"pvp",Inputs!$B$43&gt;0),IF(MAX(0,Inputs!$B$43-B242)&lt;=0,0,(INT(MAX(0,Inputs!$B$43-B242)/IF(Inputs!$B$38="pvp",15,MAX(0.1,Skills!D8-IF(Skills!E8=TRUE,Inputs!$B$32,0))))+1)),0)</f>
        <v/>
      </c>
      <c r="S213">
        <f>IFERROR(O213/N213,0)</f>
        <v/>
      </c>
      <c r="T213">
        <f>IF(C213,(H213*N213*IF(AND(Inputs!$B$38&lt;&gt;"pvp",Inputs!$B$43&gt;0),((Skills!G8*((R213-1)*IF(Skills!H8&gt;0,Skills!I8/Skills!H8,1)+IF(Skills!H8&gt;0,MIN(Skills!I8,MAX(0,MAX(0,Inputs!$B$43-B242)-((R213-1)*IF(Inputs!$B$38="pvp",15,MAX(0.1,Skills!D8-IF(Skills!E8=TRUE,Inputs!$B$32,0))))))/Skills!H8,1)))/Inputs!$B$43),G213*Q213))*IF(Inputs!$B$38="pvp",1,1+(Inputs!$B$20+0+Skills!P8)/100),0)</f>
        <v/>
      </c>
      <c r="V213">
        <f>IF(C213,(H213*N213*IF(AND(Inputs!$B$38&lt;&gt;"pvp",Inputs!$B$43&gt;0),((Skills!G8*((R213-1)*IF(Skills!H8&gt;0,Skills!I8/Skills!H8,1)+IF(Skills!H8&gt;0,MIN(Skills!I8,MAX(0,MAX(0,Inputs!$B$43-B242)-((R213-1)*IF(Inputs!$B$38="pvp",15,MAX(0.1,Skills!D8-IF(Skills!E8=TRUE,Inputs!$B$32,0))))))/Skills!H8,1)))/Inputs!$B$43),G213*Q213))*IF(Inputs!$B$38="pvp",1,(1+(Inputs!$B$21+Skills!Q8)/100)*(MIN(Skills!R8,Inputs!$B$37))),0)</f>
        <v/>
      </c>
    </row>
    <row r="214">
      <c r="A214">
        <f>Skills!A9</f>
        <v/>
      </c>
      <c r="B214">
        <f>Skills!B9</f>
        <v/>
      </c>
      <c r="C214">
        <f>Inputs!$B$3&gt;=103</f>
        <v/>
      </c>
      <c r="D214">
        <f>IF(Skills!C9=1,60+Inputs!$B$25+Inputs!$B$29,IF(Skills!C9=2,90+Inputs!$B$26+Inputs!$B$29,IF(Skills!C9=3,120+Inputs!$B$27+Inputs!$B$29,MAX(0,(Inputs!$B$3-100)*3)+Inputs!$B$28+Inputs!$B$29)))</f>
        <v/>
      </c>
      <c r="E214">
        <f>INDEX(FactorTable!$B$2:$Y$301, MATCH(ROUND(MIN(300,MAX(1,D214)),0), FactorTable!$A$2:$A$301,0), Skills!M9+1)</f>
        <v/>
      </c>
      <c r="F214">
        <f>IF(Skills!N9=TRUE,(Skills!L9/10)*(E214/1000),Skills!L9/10)+Skills!O9</f>
        <v/>
      </c>
      <c r="G214">
        <f>Skills!G9*IF(Skills!H9&gt;0,Skills!I9/Skills!H9,1)</f>
        <v/>
      </c>
      <c r="H214">
        <f>1-(1-Skills!J9/100)^Skills!K9</f>
        <v/>
      </c>
      <c r="I214" t="inlineStr">
        <is>
          <t>1</t>
        </is>
      </c>
      <c r="J214">
        <f>((Inputs!$B$6*(1+Inputs!$B$7/100))+(((Inputs!$B$12*(1+Inputs!$B$13/100))-(Inputs!$B$12*(1+Inputs!$B$13/100)))+0.25*(Inputs!$B$14-Inputs!$B$14))*(1+Inputs!$B$7/100))*(F214/100)</f>
        <v/>
      </c>
      <c r="K214">
        <f>J214*(1+((Inputs!$B$12*(1+Inputs!$B$13/100))*0.01+Inputs!$B$14*0.0025)/100)*(1+Inputs!$B$15/100)*(1+(Inputs!$B$16+1)/100)*(5000/(6000+Inputs!$B$42*(1-(Inputs!$B$19+0)/100)))*(1+(Inputs!$B$24+((C231=TRUE)*(F231-Calc!F26))+B241)/100)*(1+(IF(Skills!A9="EIGHT_LEGS_EASTON",Inputs!$B$17+((C228=TRUE)*(F228-Calc!F23))+((C232=TRUE)*(F232-Calc!F27)),Inputs!$B$18+0))/100)*((1+(((C222=TRUE)*F222)+((C229=TRUE)*(F229-Calc!F24)))/100)*I214)</f>
        <v/>
      </c>
      <c r="L214">
        <f>K214*(MIN(Inputs!$B$22+((C227=TRUE)*(F227-Calc!F22)),Inputs!$B$23+0)/100+(Inputs!$B$23+0)/100)/2</f>
        <v/>
      </c>
      <c r="M214">
        <f>L214*(1+(Inputs!$B$10+((C230=TRUE)*(F230-Calc!F25))+B240)/100)</f>
        <v/>
      </c>
      <c r="N214">
        <f>L214*(1-MIN((Inputs!$B$9+((C224=TRUE)*(F224-Calc!F19))+B235),100)/100)+M214*(MIN((Inputs!$B$9+((C224=TRUE)*(F224-Calc!F19))+B235),100)/100)</f>
        <v/>
      </c>
      <c r="O214">
        <f>(1-Summary!$B$55)*T214+Summary!$B$55*V214</f>
        <v/>
      </c>
      <c r="P214">
        <f>IF(B245=0,0,O214/B245)</f>
        <v/>
      </c>
      <c r="Q214">
        <f>IFERROR(1/IF(Inputs!$B$38="pvp",15,MAX(0.1,Skills!D9-IF(Skills!E9=TRUE,Inputs!$B$32,0))),0)</f>
        <v/>
      </c>
      <c r="R214">
        <f>IF(AND(Inputs!$B$38&lt;&gt;"pvp",Inputs!$B$43&gt;0),IF(MAX(0,Inputs!$B$43-B242)&lt;=0,0,(INT(MAX(0,Inputs!$B$43-B242)/IF(Inputs!$B$38="pvp",15,MAX(0.1,Skills!D9-IF(Skills!E9=TRUE,Inputs!$B$32,0))))+1)),0)</f>
        <v/>
      </c>
      <c r="S214">
        <f>IFERROR(O214/N214,0)</f>
        <v/>
      </c>
      <c r="T214">
        <f>IF(C214,(H214*N214*IF(AND(Inputs!$B$38&lt;&gt;"pvp",Inputs!$B$43&gt;0),((Skills!G9*((R214-1)*IF(Skills!H9&gt;0,Skills!I9/Skills!H9,1)+IF(Skills!H9&gt;0,MIN(Skills!I9,MAX(0,MAX(0,Inputs!$B$43-B242)-((R214-1)*IF(Inputs!$B$38="pvp",15,MAX(0.1,Skills!D9-IF(Skills!E9=TRUE,Inputs!$B$32,0))))))/Skills!H9,1)))/Inputs!$B$43),G214*Q214))*IF(Inputs!$B$38="pvp",1,1+(Inputs!$B$20+0+Skills!P9)/100),0)</f>
        <v/>
      </c>
      <c r="V214">
        <f>IF(C214,(H214*N214*IF(AND(Inputs!$B$38&lt;&gt;"pvp",Inputs!$B$43&gt;0),((Skills!G9*((R214-1)*IF(Skills!H9&gt;0,Skills!I9/Skills!H9,1)+IF(Skills!H9&gt;0,MIN(Skills!I9,MAX(0,MAX(0,Inputs!$B$43-B242)-((R214-1)*IF(Inputs!$B$38="pvp",15,MAX(0.1,Skills!D9-IF(Skills!E9=TRUE,Inputs!$B$32,0))))))/Skills!H9,1)))/Inputs!$B$43),G214*Q214))*IF(Inputs!$B$38="pvp",1,(1+(Inputs!$B$21+Skills!Q9)/100)*(MIN(Skills!R9,Inputs!$B$37))),0)</f>
        <v/>
      </c>
    </row>
    <row r="215">
      <c r="A215">
        <f>Skills!A10</f>
        <v/>
      </c>
      <c r="B215">
        <f>Skills!B10</f>
        <v/>
      </c>
      <c r="C215">
        <f>Inputs!$B$3&gt;=113</f>
        <v/>
      </c>
      <c r="D215">
        <f>IF(Skills!C10=1,60+Inputs!$B$25+Inputs!$B$29,IF(Skills!C10=2,90+Inputs!$B$26+Inputs!$B$29,IF(Skills!C10=3,120+Inputs!$B$27+Inputs!$B$29,MAX(0,(Inputs!$B$3-100)*3)+Inputs!$B$28+Inputs!$B$29)))</f>
        <v/>
      </c>
      <c r="E215">
        <f>INDEX(FactorTable!$B$2:$Y$301, MATCH(ROUND(MIN(300,MAX(1,D215)),0), FactorTable!$A$2:$A$301,0), Skills!M10+1)</f>
        <v/>
      </c>
      <c r="F215">
        <f>IF(Skills!N10=TRUE,(Skills!L10/10)*(E215/1000),Skills!L10/10)+Skills!O10</f>
        <v/>
      </c>
      <c r="G215">
        <f>Skills!G10*IF(Skills!H10&gt;0,Skills!I10/Skills!H10,1)</f>
        <v/>
      </c>
      <c r="H215">
        <f>1-(1-Skills!J10/100)^Skills!K10</f>
        <v/>
      </c>
      <c r="I215" t="inlineStr">
        <is>
          <t>1</t>
        </is>
      </c>
      <c r="J215">
        <f>((Inputs!$B$6*(1+Inputs!$B$7/100))+(((Inputs!$B$12*(1+Inputs!$B$13/100))-(Inputs!$B$12*(1+Inputs!$B$13/100)))+0.25*(Inputs!$B$14-Inputs!$B$14))*(1+Inputs!$B$7/100))*(F215/100)</f>
        <v/>
      </c>
      <c r="K215">
        <f>J215*(1+((Inputs!$B$12*(1+Inputs!$B$13/100))*0.01+Inputs!$B$14*0.0025)/100)*(1+Inputs!$B$15/100)*(1+(Inputs!$B$16+1)/100)*(5000/(6000+Inputs!$B$42*(1-(Inputs!$B$19+0)/100)))*(1+(Inputs!$B$24+((C231=TRUE)*(F231-Calc!F26))+B241)/100)*(1+(IF(Skills!A10="EIGHT_LEGS_EASTON",Inputs!$B$17+((C228=TRUE)*(F228-Calc!F23))+((C232=TRUE)*(F232-Calc!F27)),Inputs!$B$18+0))/100)*((1+(((C222=TRUE)*F222)+((C229=TRUE)*(F229-Calc!F24)))/100)*I215)</f>
        <v/>
      </c>
      <c r="L215">
        <f>K215*(MIN(Inputs!$B$22+((C227=TRUE)*(F227-Calc!F22)),Inputs!$B$23+0)/100+(Inputs!$B$23+0)/100)/2</f>
        <v/>
      </c>
      <c r="M215">
        <f>L215*(1+(Inputs!$B$10+((C230=TRUE)*(F230-Calc!F25))+B240)/100)</f>
        <v/>
      </c>
      <c r="N215">
        <f>L215*(1-MIN((Inputs!$B$9+((C224=TRUE)*(F224-Calc!F19))+B235),100)/100)+M215*(MIN((Inputs!$B$9+((C224=TRUE)*(F224-Calc!F19))+B235),100)/100)</f>
        <v/>
      </c>
      <c r="O215">
        <f>(1-Summary!$B$55)*T215+Summary!$B$55*V215</f>
        <v/>
      </c>
      <c r="P215">
        <f>IF(B245=0,0,O215/B245)</f>
        <v/>
      </c>
      <c r="Q215">
        <f>IFERROR(1/IF(Inputs!$B$38="pvp",15,MAX(0.1,Skills!D10-IF(Skills!E10=TRUE,Inputs!$B$32,0))),0)</f>
        <v/>
      </c>
      <c r="R215">
        <f>IF(AND(Inputs!$B$38&lt;&gt;"pvp",Inputs!$B$43&gt;0),IF(MAX(0,Inputs!$B$43-B242)&lt;=0,0,(INT(MAX(0,Inputs!$B$43-B242)/IF(Inputs!$B$38="pvp",15,MAX(0.1,Skills!D10-IF(Skills!E10=TRUE,Inputs!$B$32,0))))+1)),0)</f>
        <v/>
      </c>
      <c r="S215">
        <f>IFERROR(O215/N215,0)</f>
        <v/>
      </c>
      <c r="T215">
        <f>IF(C215,(H215*N215*IF(AND(Inputs!$B$38&lt;&gt;"pvp",Inputs!$B$43&gt;0),((Skills!G10*((R215-1)*IF(Skills!H10&gt;0,Skills!I10/Skills!H10,1)+IF(Skills!H10&gt;0,MIN(Skills!I10,MAX(0,MAX(0,Inputs!$B$43-B242)-((R215-1)*IF(Inputs!$B$38="pvp",15,MAX(0.1,Skills!D10-IF(Skills!E10=TRUE,Inputs!$B$32,0))))))/Skills!H10,1)))/Inputs!$B$43),G215*Q215))*IF(Inputs!$B$38="pvp",1,1+(Inputs!$B$20+0+Skills!P10)/100),0)</f>
        <v/>
      </c>
      <c r="V215">
        <f>IF(C215,(H215*N215*IF(AND(Inputs!$B$38&lt;&gt;"pvp",Inputs!$B$43&gt;0),((Skills!G10*((R215-1)*IF(Skills!H10&gt;0,Skills!I10/Skills!H10,1)+IF(Skills!H10&gt;0,MIN(Skills!I10,MAX(0,MAX(0,Inputs!$B$43-B242)-((R215-1)*IF(Inputs!$B$38="pvp",15,MAX(0.1,Skills!D10-IF(Skills!E10=TRUE,Inputs!$B$32,0))))))/Skills!H10,1)))/Inputs!$B$43),G215*Q215))*IF(Inputs!$B$38="pvp",1,(1+(Inputs!$B$21+Skills!Q10)/100)*(MIN(Skills!R10,Inputs!$B$37))),0)</f>
        <v/>
      </c>
    </row>
    <row r="216">
      <c r="A216">
        <f>Skills!A11</f>
        <v/>
      </c>
      <c r="B216">
        <f>Skills!B11</f>
        <v/>
      </c>
      <c r="C216">
        <f>Inputs!$B$3&gt;=107</f>
        <v/>
      </c>
      <c r="D216">
        <f>IF(Skills!C11=1,60+Inputs!$B$25+Inputs!$B$29,IF(Skills!C11=2,90+Inputs!$B$26+Inputs!$B$29,IF(Skills!C11=3,120+Inputs!$B$27+Inputs!$B$29,MAX(0,(Inputs!$B$3-100)*3)+Inputs!$B$28+Inputs!$B$29)))</f>
        <v/>
      </c>
      <c r="E216">
        <f>INDEX(FactorTable!$B$2:$Y$301, MATCH(ROUND(MIN(300,MAX(1,D216)),0), FactorTable!$A$2:$A$301,0), Skills!M11+1)</f>
        <v/>
      </c>
      <c r="F216">
        <f>IF(Skills!N11=TRUE,(Skills!L11/10)*(E216/1000),Skills!L11/10)+Skills!O11</f>
        <v/>
      </c>
      <c r="G216">
        <f>Skills!G11*IF(Skills!H11&gt;0,Skills!I11/Skills!H11,1)</f>
        <v/>
      </c>
      <c r="H216">
        <f>1-(1-Skills!J11/100)^Skills!K11</f>
        <v/>
      </c>
      <c r="I216" t="inlineStr">
        <is>
          <t>1</t>
        </is>
      </c>
      <c r="J216">
        <f>((Inputs!$B$6*(1+Inputs!$B$7/100))+(((Inputs!$B$12*(1+Inputs!$B$13/100))-(Inputs!$B$12*(1+Inputs!$B$13/100)))+0.25*(Inputs!$B$14-Inputs!$B$14))*(1+Inputs!$B$7/100))*(F216/100)</f>
        <v/>
      </c>
      <c r="K216">
        <f>J216*(1+((Inputs!$B$12*(1+Inputs!$B$13/100))*0.01+Inputs!$B$14*0.0025)/100)*(1+Inputs!$B$15/100)*(1+(Inputs!$B$16+1)/100)*(5000/(6000+Inputs!$B$42*(1-(Inputs!$B$19+0)/100)))*(1+(Inputs!$B$24+((C231=TRUE)*(F231-Calc!F26))+B241)/100)*(1+(IF(Skills!A11="EIGHT_LEGS_EASTON",Inputs!$B$17+((C228=TRUE)*(F228-Calc!F23))+((C232=TRUE)*(F232-Calc!F27)),Inputs!$B$18+0))/100)*((1+(((C222=TRUE)*F222)+((C229=TRUE)*(F229-Calc!F24)))/100)*I216)</f>
        <v/>
      </c>
      <c r="L216">
        <f>K216*(MIN(Inputs!$B$22+((C227=TRUE)*(F227-Calc!F22)),Inputs!$B$23+0)/100+(Inputs!$B$23+0)/100)/2</f>
        <v/>
      </c>
      <c r="M216">
        <f>L216*(1+(Inputs!$B$10+((C230=TRUE)*(F230-Calc!F25))+B240)/100)</f>
        <v/>
      </c>
      <c r="N216">
        <f>L216*(1-MIN((Inputs!$B$9+((C224=TRUE)*(F224-Calc!F19))+B235),100)/100)+M216*(MIN((Inputs!$B$9+((C224=TRUE)*(F224-Calc!F19))+B235),100)/100)</f>
        <v/>
      </c>
      <c r="O216">
        <f>(1-Summary!$B$55)*T216+Summary!$B$55*V216</f>
        <v/>
      </c>
      <c r="P216">
        <f>IF(B245=0,0,O216/B245)</f>
        <v/>
      </c>
      <c r="Q216">
        <f>IFERROR(1/IF(Inputs!$B$38="pvp",15,MAX(0.1,Skills!D11-IF(Skills!E11=TRUE,Inputs!$B$32,0))),0)</f>
        <v/>
      </c>
      <c r="R216">
        <f>IF(AND(Inputs!$B$38&lt;&gt;"pvp",Inputs!$B$43&gt;0),IF(MAX(0,Inputs!$B$43-B242)&lt;=0,0,(INT(MAX(0,Inputs!$B$43-B242)/IF(Inputs!$B$38="pvp",15,MAX(0.1,Skills!D11-IF(Skills!E11=TRUE,Inputs!$B$32,0))))+1)),0)</f>
        <v/>
      </c>
      <c r="S216">
        <f>IFERROR(O216/N216,0)</f>
        <v/>
      </c>
      <c r="T216">
        <f>IF(C216,(H216*N216*IF(AND(Inputs!$B$38&lt;&gt;"pvp",Inputs!$B$43&gt;0),((Skills!G11*((R216-1)*IF(Skills!H11&gt;0,Skills!I11/Skills!H11,1)+IF(Skills!H11&gt;0,MIN(Skills!I11,MAX(0,MAX(0,Inputs!$B$43-B242)-((R216-1)*IF(Inputs!$B$38="pvp",15,MAX(0.1,Skills!D11-IF(Skills!E11=TRUE,Inputs!$B$32,0))))))/Skills!H11,1)))/Inputs!$B$43),G216*Q216))*IF(Inputs!$B$38="pvp",1,1+(Inputs!$B$20+0+Skills!P11)/100),0)</f>
        <v/>
      </c>
      <c r="V216">
        <f>IF(C216,(H216*N216*IF(AND(Inputs!$B$38&lt;&gt;"pvp",Inputs!$B$43&gt;0),((Skills!G11*((R216-1)*IF(Skills!H11&gt;0,Skills!I11/Skills!H11,1)+IF(Skills!H11&gt;0,MIN(Skills!I11,MAX(0,MAX(0,Inputs!$B$43-B242)-((R216-1)*IF(Inputs!$B$38="pvp",15,MAX(0.1,Skills!D11-IF(Skills!E11=TRUE,Inputs!$B$32,0))))))/Skills!H11,1)))/Inputs!$B$43),G216*Q216))*IF(Inputs!$B$38="pvp",1,(1+(Inputs!$B$21+Skills!Q11)/100)*(MIN(Skills!R11,Inputs!$B$37))),0)</f>
        <v/>
      </c>
    </row>
    <row r="217">
      <c r="A217">
        <f>Skills!A12</f>
        <v/>
      </c>
      <c r="B217">
        <f>Skills!B12</f>
        <v/>
      </c>
      <c r="C217">
        <f>Inputs!$B$3&gt;=110</f>
        <v/>
      </c>
      <c r="D217">
        <f>IF(Skills!C12=1,60+Inputs!$B$25+Inputs!$B$29,IF(Skills!C12=2,90+Inputs!$B$26+Inputs!$B$29,IF(Skills!C12=3,120+Inputs!$B$27+Inputs!$B$29,MAX(0,(Inputs!$B$3-100)*3)+Inputs!$B$28+Inputs!$B$29)))</f>
        <v/>
      </c>
      <c r="E217">
        <f>INDEX(FactorTable!$B$2:$Y$301, MATCH(ROUND(MIN(300,MAX(1,D217)),0), FactorTable!$A$2:$A$301,0), Skills!M12+1)</f>
        <v/>
      </c>
      <c r="F217">
        <f>IF(Skills!N12=TRUE,(Skills!L12/10)*(E217/1000),Skills!L12/10)+Skills!O12</f>
        <v/>
      </c>
      <c r="G217">
        <f>Skills!G12*IF(Skills!H12&gt;0,Skills!I12/Skills!H12,1)</f>
        <v/>
      </c>
      <c r="H217">
        <f>1-(1-Skills!J12/100)^Skills!K12</f>
        <v/>
      </c>
      <c r="I217" t="inlineStr">
        <is>
          <t>1</t>
        </is>
      </c>
      <c r="J217">
        <f>((Inputs!$B$6*(1+Inputs!$B$7/100))+(((Inputs!$B$12*(1+Inputs!$B$13/100))-(Inputs!$B$12*(1+Inputs!$B$13/100)))+0.25*(Inputs!$B$14-Inputs!$B$14))*(1+Inputs!$B$7/100))*(F217/100)</f>
        <v/>
      </c>
      <c r="K217">
        <f>J217*(1+((Inputs!$B$12*(1+Inputs!$B$13/100))*0.01+Inputs!$B$14*0.0025)/100)*(1+Inputs!$B$15/100)*(1+(Inputs!$B$16+1)/100)*(5000/(6000+Inputs!$B$42*(1-(Inputs!$B$19+0)/100)))*(1+(Inputs!$B$24+((C231=TRUE)*(F231-Calc!F26))+B241)/100)*(1+(IF(Skills!A12="EIGHT_LEGS_EASTON",Inputs!$B$17+((C228=TRUE)*(F228-Calc!F23))+((C232=TRUE)*(F232-Calc!F27)),Inputs!$B$18+0))/100)*((1+(((C222=TRUE)*F222)+((C229=TRUE)*(F229-Calc!F24)))/100)*I217)</f>
        <v/>
      </c>
      <c r="L217">
        <f>K217*(MIN(Inputs!$B$22+((C227=TRUE)*(F227-Calc!F22)),Inputs!$B$23+0)/100+(Inputs!$B$23+0)/100)/2</f>
        <v/>
      </c>
      <c r="M217">
        <f>L217*(1+(Inputs!$B$10+((C230=TRUE)*(F230-Calc!F25))+B240)/100)</f>
        <v/>
      </c>
      <c r="N217">
        <f>L217*(1-MIN((Inputs!$B$9+((C224=TRUE)*(F224-Calc!F19))+B235),100)/100)+M217*(MIN((Inputs!$B$9+((C224=TRUE)*(F224-Calc!F19))+B235),100)/100)</f>
        <v/>
      </c>
      <c r="O217">
        <f>(1-Summary!$B$55)*T217+Summary!$B$55*V217</f>
        <v/>
      </c>
      <c r="P217">
        <f>IF(B245=0,0,O217/B245)</f>
        <v/>
      </c>
      <c r="Q217">
        <f>IFERROR(1/IF(Inputs!$B$38="pvp",15,MAX(0.1,Skills!D12-IF(Skills!E12=TRUE,Inputs!$B$32,0))),0)</f>
        <v/>
      </c>
      <c r="R217">
        <f>IF(AND(Inputs!$B$38&lt;&gt;"pvp",Inputs!$B$43&gt;0),IF(MAX(0,Inputs!$B$43-B242)&lt;=0,0,(INT(MAX(0,Inputs!$B$43-B242)/IF(Inputs!$B$38="pvp",15,MAX(0.1,Skills!D12-IF(Skills!E12=TRUE,Inputs!$B$32,0))))+1)),0)</f>
        <v/>
      </c>
      <c r="S217">
        <f>IFERROR(O217/N217,0)</f>
        <v/>
      </c>
      <c r="T217">
        <f>IF(C217,(H217*N217*IF(AND(Inputs!$B$38&lt;&gt;"pvp",Inputs!$B$43&gt;0),((Skills!G12*((R217-1)*IF(Skills!H12&gt;0,Skills!I12/Skills!H12,1)+IF(Skills!H12&gt;0,MIN(Skills!I12,MAX(0,MAX(0,Inputs!$B$43-B242)-((R217-1)*IF(Inputs!$B$38="pvp",15,MAX(0.1,Skills!D12-IF(Skills!E12=TRUE,Inputs!$B$32,0))))))/Skills!H12,1)))/Inputs!$B$43),G217*Q217))*IF(Inputs!$B$38="pvp",1,1+(Inputs!$B$20+0+Skills!P12)/100),0)</f>
        <v/>
      </c>
      <c r="V217">
        <f>IF(C217,(H217*N217*IF(AND(Inputs!$B$38&lt;&gt;"pvp",Inputs!$B$43&gt;0),((Skills!G12*((R217-1)*IF(Skills!H12&gt;0,Skills!I12/Skills!H12,1)+IF(Skills!H12&gt;0,MIN(Skills!I12,MAX(0,MAX(0,Inputs!$B$43-B242)-((R217-1)*IF(Inputs!$B$38="pvp",15,MAX(0.1,Skills!D12-IF(Skills!E12=TRUE,Inputs!$B$32,0))))))/Skills!H12,1)))/Inputs!$B$43),G217*Q217))*IF(Inputs!$B$38="pvp",1,(1+(Inputs!$B$21+Skills!Q12)/100)*(MIN(Skills!R12,Inputs!$B$37))),0)</f>
        <v/>
      </c>
    </row>
    <row r="218">
      <c r="A218">
        <f>Skills!A13</f>
        <v/>
      </c>
      <c r="B218">
        <f>Skills!B13</f>
        <v/>
      </c>
      <c r="C218">
        <f>Inputs!$B$3&gt;=110</f>
        <v/>
      </c>
      <c r="D218">
        <f>IF(Skills!C13=1,60+Inputs!$B$25+Inputs!$B$29,IF(Skills!C13=2,90+Inputs!$B$26+Inputs!$B$29,IF(Skills!C13=3,120+Inputs!$B$27+Inputs!$B$29,MAX(0,(Inputs!$B$3-100)*3)+Inputs!$B$28+Inputs!$B$29)))</f>
        <v/>
      </c>
      <c r="E218">
        <f>INDEX(FactorTable!$B$2:$Y$301, MATCH(ROUND(MIN(300,MAX(1,D218)),0), FactorTable!$A$2:$A$301,0), Skills!M13+1)</f>
        <v/>
      </c>
      <c r="F218">
        <f>IF(Skills!N13=TRUE,(Skills!L13/10)*(E218/1000),Skills!L13/10)+Skills!O13</f>
        <v/>
      </c>
      <c r="G218">
        <f>Skills!G13*IF(Skills!H13&gt;0,Skills!I13/Skills!H13,1)</f>
        <v/>
      </c>
      <c r="H218">
        <f>1-(1-Skills!J13/100)^Skills!K13</f>
        <v/>
      </c>
      <c r="I218" t="inlineStr">
        <is>
          <t>1</t>
        </is>
      </c>
      <c r="J218">
        <f>((Inputs!$B$6*(1+Inputs!$B$7/100))+(((Inputs!$B$12*(1+Inputs!$B$13/100))-(Inputs!$B$12*(1+Inputs!$B$13/100)))+0.25*(Inputs!$B$14-Inputs!$B$14))*(1+Inputs!$B$7/100))*(F218/100)</f>
        <v/>
      </c>
      <c r="K218">
        <f>J218*(1+((Inputs!$B$12*(1+Inputs!$B$13/100))*0.01+Inputs!$B$14*0.0025)/100)*(1+Inputs!$B$15/100)*(1+(Inputs!$B$16+1)/100)*(5000/(6000+Inputs!$B$42*(1-(Inputs!$B$19+0)/100)))*(1+(Inputs!$B$24+((C231=TRUE)*(F231-Calc!F26))+B241)/100)*(1+(IF(Skills!A13="EIGHT_LEGS_EASTON",Inputs!$B$17+((C228=TRUE)*(F228-Calc!F23))+((C232=TRUE)*(F232-Calc!F27)),Inputs!$B$18+0))/100)*((1+(((C222=TRUE)*F222)+((C229=TRUE)*(F229-Calc!F24)))/100)*I218)</f>
        <v/>
      </c>
      <c r="L218">
        <f>K218*(MIN(Inputs!$B$22+((C227=TRUE)*(F227-Calc!F22)),Inputs!$B$23+0)/100+(Inputs!$B$23+0)/100)/2</f>
        <v/>
      </c>
      <c r="M218">
        <f>L218*(1+(Inputs!$B$10+((C230=TRUE)*(F230-Calc!F25))+B240)/100)</f>
        <v/>
      </c>
      <c r="N218">
        <f>L218*(1-MIN((Inputs!$B$9+((C224=TRUE)*(F224-Calc!F19))+B235),100)/100)+M218*(MIN((Inputs!$B$9+((C224=TRUE)*(F224-Calc!F19))+B235),100)/100)</f>
        <v/>
      </c>
      <c r="O218">
        <f>(1-Summary!$B$55)*T218+Summary!$B$55*V218</f>
        <v/>
      </c>
      <c r="P218">
        <f>IF(B245=0,0,O218/B245)</f>
        <v/>
      </c>
      <c r="Q218">
        <f>IFERROR(1/IF(Inputs!$B$38="pvp",15,MAX(0.1,Skills!D13-IF(Skills!E13=TRUE,Inputs!$B$32,0))),0)</f>
        <v/>
      </c>
      <c r="R218">
        <f>IF(AND(Inputs!$B$38&lt;&gt;"pvp",Inputs!$B$43&gt;0),IF(MAX(0,Inputs!$B$43-B242)&lt;=0,0,(INT(MAX(0,Inputs!$B$43-B242)/IF(Inputs!$B$38="pvp",15,MAX(0.1,Skills!D13-IF(Skills!E13=TRUE,Inputs!$B$32,0))))+1)),0)</f>
        <v/>
      </c>
      <c r="S218">
        <f>IFERROR(O218/N218,0)</f>
        <v/>
      </c>
      <c r="T218">
        <f>IF(C218,(H218*N218*IF(AND(Inputs!$B$38&lt;&gt;"pvp",Inputs!$B$43&gt;0),((Skills!G13*((R218-1)*IF(Skills!H13&gt;0,Skills!I13/Skills!H13,1)+IF(Skills!H13&gt;0,MIN(Skills!I13,MAX(0,MAX(0,Inputs!$B$43-B242)-((R218-1)*IF(Inputs!$B$38="pvp",15,MAX(0.1,Skills!D13-IF(Skills!E13=TRUE,Inputs!$B$32,0))))))/Skills!H13,1)))/Inputs!$B$43),G218*Q218))*IF(Inputs!$B$38="pvp",1,1+(Inputs!$B$20+0+Skills!P13)/100),0)</f>
        <v/>
      </c>
      <c r="V218">
        <f>IF(C218,(H218*N218*IF(AND(Inputs!$B$38&lt;&gt;"pvp",Inputs!$B$43&gt;0),((Skills!G13*((R218-1)*IF(Skills!H13&gt;0,Skills!I13/Skills!H13,1)+IF(Skills!H13&gt;0,MIN(Skills!I13,MAX(0,MAX(0,Inputs!$B$43-B242)-((R218-1)*IF(Inputs!$B$38="pvp",15,MAX(0.1,Skills!D13-IF(Skills!E13=TRUE,Inputs!$B$32,0))))))/Skills!H13,1)))/Inputs!$B$43),G218*Q218))*IF(Inputs!$B$38="pvp",1,(1+(Inputs!$B$21+Skills!Q13)/100)*(MIN(Skills!R13,Inputs!$B$37))),0)</f>
        <v/>
      </c>
    </row>
    <row r="219">
      <c r="A219">
        <f>Skills!A14</f>
        <v/>
      </c>
      <c r="B219">
        <f>Skills!B14</f>
        <v/>
      </c>
      <c r="C219">
        <f>Inputs!$B$3&gt;=125</f>
        <v/>
      </c>
      <c r="D219">
        <f>IF(Skills!C14=1,60+Inputs!$B$25+Inputs!$B$29,IF(Skills!C14=2,90+Inputs!$B$26+Inputs!$B$29,IF(Skills!C14=3,120+Inputs!$B$27+Inputs!$B$29,MAX(0,(Inputs!$B$3-100)*3)+Inputs!$B$28+Inputs!$B$29)))</f>
        <v/>
      </c>
      <c r="E219">
        <f>INDEX(FactorTable!$B$2:$Y$301, MATCH(ROUND(MIN(300,MAX(1,D219)),0), FactorTable!$A$2:$A$301,0), Skills!M14+1)</f>
        <v/>
      </c>
      <c r="F219">
        <f>IF(Skills!N14=TRUE,(Skills!L14/10)*(E219/1000),Skills!L14/10)+Skills!O14</f>
        <v/>
      </c>
      <c r="G219">
        <f>Skills!G14*IF(Skills!H14&gt;0,Skills!I14/Skills!H14,1)</f>
        <v/>
      </c>
      <c r="H219">
        <f>1-(1-Skills!J14/100)^Skills!K14</f>
        <v/>
      </c>
      <c r="I219" t="inlineStr">
        <is>
          <t>1</t>
        </is>
      </c>
      <c r="J219">
        <f>((Inputs!$B$6*(1+Inputs!$B$7/100))+(((Inputs!$B$12*(1+Inputs!$B$13/100))-(Inputs!$B$12*(1+Inputs!$B$13/100)))+0.25*(Inputs!$B$14-Inputs!$B$14))*(1+Inputs!$B$7/100))*(F219/100)</f>
        <v/>
      </c>
      <c r="K219">
        <f>J219*(1+((Inputs!$B$12*(1+Inputs!$B$13/100))*0.01+Inputs!$B$14*0.0025)/100)*(1+Inputs!$B$15/100)*(1+(Inputs!$B$16+1)/100)*(5000/(6000+Inputs!$B$42*(1-(Inputs!$B$19+0)/100)))*(1+(Inputs!$B$24+((C231=TRUE)*(F231-Calc!F26))+B241)/100)*(1+(IF(Skills!A14="EIGHT_LEGS_EASTON",Inputs!$B$17+((C228=TRUE)*(F228-Calc!F23))+((C232=TRUE)*(F232-Calc!F27)),Inputs!$B$18+0))/100)*((1+(((C222=TRUE)*F222)+((C229=TRUE)*(F229-Calc!F24)))/100)*I219)</f>
        <v/>
      </c>
      <c r="L219">
        <f>K219*(MIN(Inputs!$B$22+((C227=TRUE)*(F227-Calc!F22)),Inputs!$B$23+0)/100+(Inputs!$B$23+0)/100)/2</f>
        <v/>
      </c>
      <c r="M219">
        <f>L219*(1+(Inputs!$B$10+((C230=TRUE)*(F230-Calc!F25))+B240)/100)</f>
        <v/>
      </c>
      <c r="N219">
        <f>L219*(1-MIN((Inputs!$B$9+((C224=TRUE)*(F224-Calc!F19))+B235),100)/100)+M219*(MIN((Inputs!$B$9+((C224=TRUE)*(F224-Calc!F19))+B235),100)/100)</f>
        <v/>
      </c>
      <c r="O219">
        <f>(1-Summary!$B$55)*T219+Summary!$B$55*V219</f>
        <v/>
      </c>
      <c r="P219">
        <f>IF(B245=0,0,O219/B245)</f>
        <v/>
      </c>
      <c r="Q219" t="n">
        <v>0</v>
      </c>
      <c r="R219" t="n">
        <v>0</v>
      </c>
      <c r="S219">
        <f>IFERROR(O219/N219,0)</f>
        <v/>
      </c>
      <c r="T219">
        <f>IF(C219,(H219*N219*(B239+IF(AND(Inputs!$B$38&lt;&gt;"pvp",Inputs!$B$43&gt;0),((Skills!G8*((R213-1)*IF(Skills!H8&gt;0,Skills!I8/Skills!H8,1)+IF(Skills!H8&gt;0,MIN(Skills!I8,MAX(0,MAX(0,Inputs!$B$43-B242)-((R213-1)*IF(Inputs!$B$38="pvp",15,MAX(0.1,Skills!D8-IF(Skills!E8=TRUE,Inputs!$B$32,0))))))/Skills!H8,1)))/Inputs!$B$43),G213*Q213)+IF(AND(Inputs!$B$38&lt;&gt;"pvp",Inputs!$B$43&gt;0),((Skills!G11*((R216-1)*IF(Skills!H11&gt;0,Skills!I11/Skills!H11,1)+IF(Skills!H11&gt;0,MIN(Skills!I11,MAX(0,MAX(0,Inputs!$B$43-B242)-((R216-1)*IF(Inputs!$B$38="pvp",15,MAX(0.1,Skills!D11-IF(Skills!E11=TRUE,Inputs!$B$32,0))))))/Skills!H11,1)))/Inputs!$B$43),G216*Q216)))*IF(Inputs!$B$38="pvp",1,1+(Inputs!$B$20+0+Skills!P14)/100),0)</f>
        <v/>
      </c>
      <c r="V219">
        <f>IF(C219,(H219*N219*(B239+IF(AND(Inputs!$B$38&lt;&gt;"pvp",Inputs!$B$43&gt;0),((Skills!G8*((R213-1)*IF(Skills!H8&gt;0,Skills!I8/Skills!H8,1)+IF(Skills!H8&gt;0,MIN(Skills!I8,MAX(0,MAX(0,Inputs!$B$43-B242)-((R213-1)*IF(Inputs!$B$38="pvp",15,MAX(0.1,Skills!D8-IF(Skills!E8=TRUE,Inputs!$B$32,0))))))/Skills!H8,1)))/Inputs!$B$43),G213*Q213)+IF(AND(Inputs!$B$38&lt;&gt;"pvp",Inputs!$B$43&gt;0),((Skills!G11*((R216-1)*IF(Skills!H11&gt;0,Skills!I11/Skills!H11,1)+IF(Skills!H11&gt;0,MIN(Skills!I11,MAX(0,MAX(0,Inputs!$B$43-B242)-((R216-1)*IF(Inputs!$B$38="pvp",15,MAX(0.1,Skills!D11-IF(Skills!E11=TRUE,Inputs!$B$32,0))))))/Skills!H11,1)))/Inputs!$B$43),G216*Q216)))*IF(Inputs!$B$38="pvp",1,(1+(Inputs!$B$21+Skills!Q14)/100)*(MIN(Skills!R14,Inputs!$B$37))),0)</f>
        <v/>
      </c>
    </row>
    <row r="220">
      <c r="A220">
        <f>Skills!A15</f>
        <v/>
      </c>
      <c r="B220">
        <f>Skills!B15</f>
        <v/>
      </c>
      <c r="C220">
        <f>Inputs!$B$3&gt;=100</f>
        <v/>
      </c>
      <c r="D220">
        <f>IF(Skills!C15=1,60+Inputs!$B$25+Inputs!$B$29,IF(Skills!C15=2,90+Inputs!$B$26+Inputs!$B$29,IF(Skills!C15=3,120+Inputs!$B$27+Inputs!$B$29,MAX(0,(Inputs!$B$3-100)*3)+Inputs!$B$28+Inputs!$B$29)))</f>
        <v/>
      </c>
      <c r="E220">
        <f>INDEX(FactorTable!$B$2:$Y$301, MATCH(ROUND(MIN(300,MAX(1,D220)),0), FactorTable!$A$2:$A$301,0), Skills!M15+1)</f>
        <v/>
      </c>
      <c r="F220">
        <f>IF(Skills!N15=TRUE,(Skills!L15/10)*(E220/1000),Skills!L15/10)+Skills!O15</f>
        <v/>
      </c>
      <c r="G220" t="inlineStr"/>
      <c r="H220" t="inlineStr"/>
      <c r="I220" t="inlineStr">
        <is>
          <t>1</t>
        </is>
      </c>
      <c r="J220" t="inlineStr"/>
      <c r="K220" t="inlineStr"/>
      <c r="L220" t="inlineStr"/>
      <c r="M220" t="inlineStr"/>
      <c r="N220" t="inlineStr"/>
      <c r="O220" t="inlineStr"/>
      <c r="P220" t="inlineStr"/>
      <c r="Q220" t="inlineStr"/>
      <c r="R220" t="inlineStr"/>
      <c r="S220" t="inlineStr"/>
    </row>
    <row r="221">
      <c r="A221">
        <f>Skills!A16</f>
        <v/>
      </c>
      <c r="B221">
        <f>Skills!B16</f>
        <v/>
      </c>
      <c r="C221">
        <f>Inputs!$B$3&gt;=120</f>
        <v/>
      </c>
      <c r="D221">
        <f>IF(Skills!C16=1,60+Inputs!$B$25+Inputs!$B$29,IF(Skills!C16=2,90+Inputs!$B$26+Inputs!$B$29,IF(Skills!C16=3,120+Inputs!$B$27+Inputs!$B$29,MAX(0,(Inputs!$B$3-100)*3)+Inputs!$B$28+Inputs!$B$29)))</f>
        <v/>
      </c>
      <c r="E221">
        <f>INDEX(FactorTable!$B$2:$Y$301, MATCH(ROUND(MIN(300,MAX(1,D221)),0), FactorTable!$A$2:$A$301,0), Skills!M16+1)</f>
        <v/>
      </c>
      <c r="F221">
        <f>IF(Skills!N16=TRUE,(Skills!L16/10)*(E221/1000),Skills!L16/10)+Skills!O16</f>
        <v/>
      </c>
      <c r="G221" t="inlineStr"/>
      <c r="H221" t="inlineStr"/>
      <c r="I221" t="inlineStr">
        <is>
          <t>1</t>
        </is>
      </c>
      <c r="J221" t="inlineStr"/>
      <c r="K221" t="inlineStr"/>
      <c r="L221" t="inlineStr"/>
      <c r="M221" t="inlineStr"/>
      <c r="N221" t="inlineStr"/>
      <c r="O221" t="inlineStr"/>
      <c r="P221" t="inlineStr"/>
      <c r="Q221" t="inlineStr"/>
      <c r="R221" t="inlineStr"/>
      <c r="S221" t="inlineStr"/>
    </row>
    <row r="222">
      <c r="A222">
        <f>Skills!A17</f>
        <v/>
      </c>
      <c r="B222">
        <f>Skills!B17</f>
        <v/>
      </c>
      <c r="C222">
        <f>Inputs!$B$3&gt;=66</f>
        <v/>
      </c>
      <c r="D222">
        <f>IF(Skills!C17=1,60+Inputs!$B$25+Inputs!$B$29,IF(Skills!C17=2,90+Inputs!$B$26+Inputs!$B$29,IF(Skills!C17=3,120+Inputs!$B$27+Inputs!$B$29,MAX(0,(Inputs!$B$3-100)*3)+Inputs!$B$28+Inputs!$B$29)))</f>
        <v/>
      </c>
      <c r="E222">
        <f>INDEX(FactorTable!$B$2:$Y$301, MATCH(ROUND(MIN(300,MAX(1,D222)),0), FactorTable!$A$2:$A$301,0), Skills!M17+1)</f>
        <v/>
      </c>
      <c r="F222">
        <f>IF(Skills!N17=TRUE,(Skills!L17/10)*(E222/1000),Skills!L17/10)+Skills!O17</f>
        <v/>
      </c>
      <c r="G222">
        <f>Skills!G17*IF(Skills!H17&gt;0,Skills!I17/Skills!H17,1)</f>
        <v/>
      </c>
      <c r="H222">
        <f>1-(1-Skills!J17/100)^Skills!K17</f>
        <v/>
      </c>
      <c r="I222" t="inlineStr">
        <is>
          <t>1</t>
        </is>
      </c>
      <c r="J222" t="inlineStr"/>
      <c r="K222" t="inlineStr"/>
      <c r="L222" t="inlineStr"/>
      <c r="M222" t="inlineStr"/>
      <c r="N222" t="inlineStr"/>
      <c r="O222">
        <f>(1-Summary!$B$55)*T222+Summary!$B$55*V222</f>
        <v/>
      </c>
      <c r="P222">
        <f>IF(B245=0,0,O222/B245)</f>
        <v/>
      </c>
      <c r="Q222" t="n">
        <v>0</v>
      </c>
      <c r="R222" t="n">
        <v>0</v>
      </c>
      <c r="S222">
        <f>IFERROR(O222/N222,0)</f>
        <v/>
      </c>
      <c r="T222" t="n">
        <v>0</v>
      </c>
      <c r="V222" t="n">
        <v>0</v>
      </c>
    </row>
    <row r="223">
      <c r="A223">
        <f>Skills!A18</f>
        <v/>
      </c>
      <c r="B223">
        <f>Skills!B18</f>
        <v/>
      </c>
      <c r="C223">
        <f>Inputs!$B$3&gt;=115</f>
        <v/>
      </c>
      <c r="D223">
        <f>IF(Skills!C18=1,60+Inputs!$B$25+Inputs!$B$29,IF(Skills!C18=2,90+Inputs!$B$26+Inputs!$B$29,IF(Skills!C18=3,120+Inputs!$B$27+Inputs!$B$29,MAX(0,(Inputs!$B$3-100)*3)+Inputs!$B$28+Inputs!$B$29)))</f>
        <v/>
      </c>
      <c r="E223">
        <f>INDEX(FactorTable!$B$2:$Y$301, MATCH(ROUND(MIN(300,MAX(1,D223)),0), FactorTable!$A$2:$A$301,0), Skills!M18+1)</f>
        <v/>
      </c>
      <c r="F223">
        <f>IF(Skills!N18=TRUE,(Skills!L18/10)*(E223/1000),Skills!L18/10)+Skills!O18</f>
        <v/>
      </c>
      <c r="G223">
        <f>Skills!G18*IF(Skills!H18&gt;0,Skills!I18/Skills!H18,1)</f>
        <v/>
      </c>
      <c r="H223">
        <f>1-(1-Skills!J18/100)^Skills!K18</f>
        <v/>
      </c>
      <c r="I223" t="inlineStr">
        <is>
          <t>1</t>
        </is>
      </c>
      <c r="J223" t="inlineStr"/>
      <c r="K223" t="inlineStr"/>
      <c r="L223" t="inlineStr"/>
      <c r="M223" t="inlineStr"/>
      <c r="N223" t="inlineStr"/>
      <c r="O223">
        <f>(1-Summary!$B$55)*T223+Summary!$B$55*V223</f>
        <v/>
      </c>
      <c r="P223">
        <f>IF(B245=0,0,O223/B245)</f>
        <v/>
      </c>
      <c r="Q223" t="n">
        <v>0</v>
      </c>
      <c r="R223" t="n">
        <v>0</v>
      </c>
      <c r="S223">
        <f>IFERROR(O223/N223,0)</f>
        <v/>
      </c>
      <c r="T223" t="n">
        <v>0</v>
      </c>
      <c r="V223" t="n">
        <v>0</v>
      </c>
    </row>
    <row r="224">
      <c r="A224">
        <f>Skills!A19</f>
        <v/>
      </c>
      <c r="B224">
        <f>Skills!B19</f>
        <v/>
      </c>
      <c r="C224">
        <f>Inputs!$B$3&gt;=15</f>
        <v/>
      </c>
      <c r="D224">
        <f>IF(Skills!C19=1,60+Inputs!$B$25+Inputs!$B$29,IF(Skills!C19=2,90+Inputs!$B$26+Inputs!$B$29,IF(Skills!C19=3,120+Inputs!$B$27+Inputs!$B$29,MAX(0,(Inputs!$B$3-100)*3)+Inputs!$B$28+Inputs!$B$29)))</f>
        <v/>
      </c>
      <c r="E224">
        <f>INDEX(FactorTable!$B$2:$Y$301, MATCH(ROUND(MIN(300,MAX(1,D224)),0), FactorTable!$A$2:$A$301,0), Skills!M19+1)</f>
        <v/>
      </c>
      <c r="F224">
        <f>IF(Skills!N19=TRUE,(Skills!L19/10)*(E224/1000),Skills!L19/10)+Skills!O19</f>
        <v/>
      </c>
      <c r="G224">
        <f>Skills!G19*IF(Skills!H19&gt;0,Skills!I19/Skills!H19,1)</f>
        <v/>
      </c>
      <c r="H224">
        <f>1-(1-Skills!J19/100)^Skills!K19</f>
        <v/>
      </c>
      <c r="I224" t="inlineStr">
        <is>
          <t>1</t>
        </is>
      </c>
      <c r="J224" t="inlineStr"/>
      <c r="K224" t="inlineStr"/>
      <c r="L224" t="inlineStr"/>
      <c r="M224" t="inlineStr"/>
      <c r="N224" t="inlineStr"/>
      <c r="O224">
        <f>(1-Summary!$B$55)*T224+Summary!$B$55*V224</f>
        <v/>
      </c>
      <c r="P224">
        <f>IF(B245=0,0,O224/B245)</f>
        <v/>
      </c>
      <c r="Q224" t="n">
        <v>0</v>
      </c>
      <c r="R224" t="n">
        <v>0</v>
      </c>
      <c r="S224">
        <f>IFERROR(O224/N224,0)</f>
        <v/>
      </c>
      <c r="T224" t="n">
        <v>0</v>
      </c>
      <c r="V224" t="n">
        <v>0</v>
      </c>
    </row>
    <row r="225">
      <c r="A225">
        <f>Skills!A20</f>
        <v/>
      </c>
      <c r="B225">
        <f>Skills!B20</f>
        <v/>
      </c>
      <c r="C225">
        <f>Inputs!$B$3&gt;=10</f>
        <v/>
      </c>
      <c r="D225">
        <f>IF(Skills!C20=1,60+Inputs!$B$25+Inputs!$B$29,IF(Skills!C20=2,90+Inputs!$B$26+Inputs!$B$29,IF(Skills!C20=3,120+Inputs!$B$27+Inputs!$B$29,MAX(0,(Inputs!$B$3-100)*3)+Inputs!$B$28+Inputs!$B$29)))</f>
        <v/>
      </c>
      <c r="E225">
        <f>INDEX(FactorTable!$B$2:$Y$301, MATCH(ROUND(MIN(300,MAX(1,D225)),0), FactorTable!$A$2:$A$301,0), Skills!M20+1)</f>
        <v/>
      </c>
      <c r="F225">
        <f>IF(Skills!N20=TRUE,(Skills!L20/10)*(E225/1000),Skills!L20/10)+Skills!O20</f>
        <v/>
      </c>
      <c r="G225">
        <f>Skills!G20*IF(Skills!H20&gt;0,Skills!I20/Skills!H20,1)</f>
        <v/>
      </c>
      <c r="H225">
        <f>1-(1-Skills!J20/100)^Skills!K20</f>
        <v/>
      </c>
      <c r="I225" t="inlineStr">
        <is>
          <t>1</t>
        </is>
      </c>
      <c r="J225" t="inlineStr"/>
      <c r="K225" t="inlineStr"/>
      <c r="L225" t="inlineStr"/>
      <c r="M225" t="inlineStr"/>
      <c r="N225" t="inlineStr"/>
      <c r="O225">
        <f>(1-Summary!$B$55)*T225+Summary!$B$55*V225</f>
        <v/>
      </c>
      <c r="P225">
        <f>IF(B245=0,0,O225/B245)</f>
        <v/>
      </c>
      <c r="Q225" t="n">
        <v>0</v>
      </c>
      <c r="R225" t="n">
        <v>0</v>
      </c>
      <c r="S225">
        <f>IFERROR(O225/N225,0)</f>
        <v/>
      </c>
      <c r="T225" t="n">
        <v>0</v>
      </c>
      <c r="V225" t="n">
        <v>0</v>
      </c>
    </row>
    <row r="226">
      <c r="A226">
        <f>Skills!A21</f>
        <v/>
      </c>
      <c r="B226">
        <f>Skills!B21</f>
        <v/>
      </c>
      <c r="C226">
        <f>Inputs!$B$3&gt;=33</f>
        <v/>
      </c>
      <c r="D226">
        <f>IF(Skills!C21=1,60+Inputs!$B$25+Inputs!$B$29,IF(Skills!C21=2,90+Inputs!$B$26+Inputs!$B$29,IF(Skills!C21=3,120+Inputs!$B$27+Inputs!$B$29,MAX(0,(Inputs!$B$3-100)*3)+Inputs!$B$28+Inputs!$B$29)))</f>
        <v/>
      </c>
      <c r="E226">
        <f>INDEX(FactorTable!$B$2:$Y$301, MATCH(ROUND(MIN(300,MAX(1,D226)),0), FactorTable!$A$2:$A$301,0), Skills!M21+1)</f>
        <v/>
      </c>
      <c r="F226">
        <f>IF(Skills!N21=TRUE,(Skills!L21/10)*(E226/1000),Skills!L21/10)+Skills!O21</f>
        <v/>
      </c>
      <c r="G226">
        <f>Skills!G21*IF(Skills!H21&gt;0,Skills!I21/Skills!H21,1)</f>
        <v/>
      </c>
      <c r="H226">
        <f>1-(1-Skills!J21/100)^Skills!K21</f>
        <v/>
      </c>
      <c r="I226" t="inlineStr">
        <is>
          <t>1</t>
        </is>
      </c>
      <c r="J226" t="inlineStr"/>
      <c r="K226" t="inlineStr"/>
      <c r="L226" t="inlineStr"/>
      <c r="M226" t="inlineStr"/>
      <c r="N226" t="inlineStr"/>
      <c r="O226">
        <f>(1-Summary!$B$55)*T226+Summary!$B$55*V226</f>
        <v/>
      </c>
      <c r="P226">
        <f>IF(B245=0,0,O226/B245)</f>
        <v/>
      </c>
      <c r="Q226" t="n">
        <v>0</v>
      </c>
      <c r="R226" t="n">
        <v>0</v>
      </c>
      <c r="S226">
        <f>IFERROR(O226/N226,0)</f>
        <v/>
      </c>
      <c r="T226" t="n">
        <v>0</v>
      </c>
      <c r="V226" t="n">
        <v>0</v>
      </c>
    </row>
    <row r="227">
      <c r="A227">
        <f>Skills!A22</f>
        <v/>
      </c>
      <c r="B227">
        <f>Skills!B22</f>
        <v/>
      </c>
      <c r="C227">
        <f>Inputs!$B$3&gt;=43</f>
        <v/>
      </c>
      <c r="D227">
        <f>IF(Skills!C22=1,60+Inputs!$B$25+Inputs!$B$29,IF(Skills!C22=2,90+Inputs!$B$26+Inputs!$B$29,IF(Skills!C22=3,120+Inputs!$B$27+Inputs!$B$29,MAX(0,(Inputs!$B$3-100)*3)+Inputs!$B$28+Inputs!$B$29)))</f>
        <v/>
      </c>
      <c r="E227">
        <f>INDEX(FactorTable!$B$2:$Y$301, MATCH(ROUND(MIN(300,MAX(1,D227)),0), FactorTable!$A$2:$A$301,0), Skills!M22+1)</f>
        <v/>
      </c>
      <c r="F227">
        <f>IF(Skills!N22=TRUE,(Skills!L22/10)*(E227/1000),Skills!L22/10)+Skills!O22</f>
        <v/>
      </c>
      <c r="G227">
        <f>Skills!G22*IF(Skills!H22&gt;0,Skills!I22/Skills!H22,1)</f>
        <v/>
      </c>
      <c r="H227">
        <f>1-(1-Skills!J22/100)^Skills!K22</f>
        <v/>
      </c>
      <c r="I227" t="inlineStr">
        <is>
          <t>1</t>
        </is>
      </c>
      <c r="J227" t="inlineStr"/>
      <c r="K227" t="inlineStr"/>
      <c r="L227" t="inlineStr"/>
      <c r="M227" t="inlineStr"/>
      <c r="N227" t="inlineStr"/>
      <c r="O227">
        <f>(1-Summary!$B$55)*T227+Summary!$B$55*V227</f>
        <v/>
      </c>
      <c r="P227">
        <f>IF(B245=0,0,O227/B245)</f>
        <v/>
      </c>
      <c r="Q227" t="n">
        <v>0</v>
      </c>
      <c r="R227" t="n">
        <v>0</v>
      </c>
      <c r="S227">
        <f>IFERROR(O227/N227,0)</f>
        <v/>
      </c>
      <c r="T227" t="n">
        <v>0</v>
      </c>
      <c r="V227" t="n">
        <v>0</v>
      </c>
    </row>
    <row r="228">
      <c r="A228">
        <f>Skills!A23</f>
        <v/>
      </c>
      <c r="B228">
        <f>Skills!B23</f>
        <v/>
      </c>
      <c r="C228">
        <f>Inputs!$B$3&gt;=38</f>
        <v/>
      </c>
      <c r="D228">
        <f>IF(Skills!C23=1,60+Inputs!$B$25+Inputs!$B$29,IF(Skills!C23=2,90+Inputs!$B$26+Inputs!$B$29,IF(Skills!C23=3,120+Inputs!$B$27+Inputs!$B$29,MAX(0,(Inputs!$B$3-100)*3)+Inputs!$B$28+Inputs!$B$29)))</f>
        <v/>
      </c>
      <c r="E228">
        <f>INDEX(FactorTable!$B$2:$Y$301, MATCH(ROUND(MIN(300,MAX(1,D228)),0), FactorTable!$A$2:$A$301,0), Skills!M23+1)</f>
        <v/>
      </c>
      <c r="F228">
        <f>IF(Skills!N23=TRUE,(Skills!L23/10)*(E228/1000),Skills!L23/10)+Skills!O23</f>
        <v/>
      </c>
      <c r="G228">
        <f>Skills!G23*IF(Skills!H23&gt;0,Skills!I23/Skills!H23,1)</f>
        <v/>
      </c>
      <c r="H228">
        <f>1-(1-Skills!J23/100)^Skills!K23</f>
        <v/>
      </c>
      <c r="I228" t="inlineStr">
        <is>
          <t>1</t>
        </is>
      </c>
      <c r="J228" t="inlineStr"/>
      <c r="K228" t="inlineStr"/>
      <c r="L228" t="inlineStr"/>
      <c r="M228" t="inlineStr"/>
      <c r="N228" t="inlineStr"/>
      <c r="O228">
        <f>(1-Summary!$B$55)*T228+Summary!$B$55*V228</f>
        <v/>
      </c>
      <c r="P228">
        <f>IF(B245=0,0,O228/B245)</f>
        <v/>
      </c>
      <c r="Q228" t="n">
        <v>0</v>
      </c>
      <c r="R228" t="n">
        <v>0</v>
      </c>
      <c r="S228">
        <f>IFERROR(O228/N228,0)</f>
        <v/>
      </c>
      <c r="T228" t="n">
        <v>0</v>
      </c>
      <c r="V228" t="n">
        <v>0</v>
      </c>
    </row>
    <row r="229">
      <c r="A229">
        <f>Skills!A24</f>
        <v/>
      </c>
      <c r="B229">
        <f>Skills!B24</f>
        <v/>
      </c>
      <c r="C229">
        <f>Inputs!$B$3&gt;=40</f>
        <v/>
      </c>
      <c r="D229">
        <f>IF(Skills!C24=1,60+Inputs!$B$25+Inputs!$B$29,IF(Skills!C24=2,90+Inputs!$B$26+Inputs!$B$29,IF(Skills!C24=3,120+Inputs!$B$27+Inputs!$B$29,MAX(0,(Inputs!$B$3-100)*3)+Inputs!$B$28+Inputs!$B$29)))</f>
        <v/>
      </c>
      <c r="E229">
        <f>INDEX(FactorTable!$B$2:$Y$301, MATCH(ROUND(MIN(300,MAX(1,D229)),0), FactorTable!$A$2:$A$301,0), Skills!M24+1)</f>
        <v/>
      </c>
      <c r="F229">
        <f>IF(Skills!N24=TRUE,(Skills!L24/10)*(E229/1000),Skills!L24/10)+Skills!O24</f>
        <v/>
      </c>
      <c r="G229">
        <f>Skills!G24*IF(Skills!H24&gt;0,Skills!I24/Skills!H24,1)</f>
        <v/>
      </c>
      <c r="H229">
        <f>1-(1-Skills!J24/100)^Skills!K24</f>
        <v/>
      </c>
      <c r="I229" t="inlineStr">
        <is>
          <t>1</t>
        </is>
      </c>
      <c r="J229" t="inlineStr"/>
      <c r="K229" t="inlineStr"/>
      <c r="L229" t="inlineStr"/>
      <c r="M229" t="inlineStr"/>
      <c r="N229" t="inlineStr"/>
      <c r="O229">
        <f>(1-Summary!$B$55)*T229+Summary!$B$55*V229</f>
        <v/>
      </c>
      <c r="P229">
        <f>IF(B245=0,0,O229/B245)</f>
        <v/>
      </c>
      <c r="Q229" t="n">
        <v>0</v>
      </c>
      <c r="R229" t="n">
        <v>0</v>
      </c>
      <c r="S229">
        <f>IFERROR(O229/N229,0)</f>
        <v/>
      </c>
      <c r="T229" t="n">
        <v>0</v>
      </c>
      <c r="V229" t="n">
        <v>0</v>
      </c>
    </row>
    <row r="230">
      <c r="A230">
        <f>Skills!A25</f>
        <v/>
      </c>
      <c r="B230">
        <f>Skills!B25</f>
        <v/>
      </c>
      <c r="C230">
        <f>Inputs!$B$3&gt;=72</f>
        <v/>
      </c>
      <c r="D230">
        <f>IF(Skills!C25=1,60+Inputs!$B$25+Inputs!$B$29,IF(Skills!C25=2,90+Inputs!$B$26+Inputs!$B$29,IF(Skills!C25=3,120+Inputs!$B$27+Inputs!$B$29,MAX(0,(Inputs!$B$3-100)*3)+Inputs!$B$28+Inputs!$B$29)))</f>
        <v/>
      </c>
      <c r="E230">
        <f>INDEX(FactorTable!$B$2:$Y$301, MATCH(ROUND(MIN(300,MAX(1,D230)),0), FactorTable!$A$2:$A$301,0), Skills!M25+1)</f>
        <v/>
      </c>
      <c r="F230">
        <f>IF(Skills!N25=TRUE,(Skills!L25/10)*(E230/1000),Skills!L25/10)+Skills!O25</f>
        <v/>
      </c>
      <c r="G230">
        <f>Skills!G25*IF(Skills!H25&gt;0,Skills!I25/Skills!H25,1)</f>
        <v/>
      </c>
      <c r="H230">
        <f>1-(1-Skills!J25/100)^Skills!K25</f>
        <v/>
      </c>
      <c r="I230" t="inlineStr">
        <is>
          <t>1</t>
        </is>
      </c>
      <c r="J230" t="inlineStr"/>
      <c r="K230" t="inlineStr"/>
      <c r="L230" t="inlineStr"/>
      <c r="M230" t="inlineStr"/>
      <c r="N230" t="inlineStr"/>
      <c r="O230">
        <f>(1-Summary!$B$55)*T230+Summary!$B$55*V230</f>
        <v/>
      </c>
      <c r="P230">
        <f>IF(B245=0,0,O230/B245)</f>
        <v/>
      </c>
      <c r="Q230" t="n">
        <v>0</v>
      </c>
      <c r="R230" t="n">
        <v>0</v>
      </c>
      <c r="S230">
        <f>IFERROR(O230/N230,0)</f>
        <v/>
      </c>
      <c r="T230" t="n">
        <v>0</v>
      </c>
      <c r="V230" t="n">
        <v>0</v>
      </c>
    </row>
    <row r="231">
      <c r="A231">
        <f>Skills!A26</f>
        <v/>
      </c>
      <c r="B231">
        <f>Skills!B26</f>
        <v/>
      </c>
      <c r="C231">
        <f>Inputs!$B$3&gt;=75</f>
        <v/>
      </c>
      <c r="D231">
        <f>IF(Skills!C26=1,60+Inputs!$B$25+Inputs!$B$29,IF(Skills!C26=2,90+Inputs!$B$26+Inputs!$B$29,IF(Skills!C26=3,120+Inputs!$B$27+Inputs!$B$29,MAX(0,(Inputs!$B$3-100)*3)+Inputs!$B$28+Inputs!$B$29)))</f>
        <v/>
      </c>
      <c r="E231">
        <f>INDEX(FactorTable!$B$2:$Y$301, MATCH(ROUND(MIN(300,MAX(1,D231)),0), FactorTable!$A$2:$A$301,0), Skills!M26+1)</f>
        <v/>
      </c>
      <c r="F231">
        <f>IF(Skills!N26=TRUE,(Skills!L26/10)*(E231/1000),Skills!L26/10)+Skills!O26</f>
        <v/>
      </c>
      <c r="G231">
        <f>Skills!G26*IF(Skills!H26&gt;0,Skills!I26/Skills!H26,1)</f>
        <v/>
      </c>
      <c r="H231">
        <f>1-(1-Skills!J26/100)^Skills!K26</f>
        <v/>
      </c>
      <c r="I231" t="inlineStr">
        <is>
          <t>1</t>
        </is>
      </c>
      <c r="J231" t="inlineStr"/>
      <c r="K231" t="inlineStr"/>
      <c r="L231" t="inlineStr"/>
      <c r="M231" t="inlineStr"/>
      <c r="N231" t="inlineStr"/>
      <c r="O231">
        <f>(1-Summary!$B$55)*T231+Summary!$B$55*V231</f>
        <v/>
      </c>
      <c r="P231">
        <f>IF(B245=0,0,O231/B245)</f>
        <v/>
      </c>
      <c r="Q231" t="n">
        <v>0</v>
      </c>
      <c r="R231" t="n">
        <v>0</v>
      </c>
      <c r="S231">
        <f>IFERROR(O231/N231,0)</f>
        <v/>
      </c>
      <c r="T231" t="n">
        <v>0</v>
      </c>
      <c r="V231" t="n">
        <v>0</v>
      </c>
    </row>
    <row r="232">
      <c r="A232">
        <f>Skills!A27</f>
        <v/>
      </c>
      <c r="B232">
        <f>Skills!B27</f>
        <v/>
      </c>
      <c r="C232">
        <f>Inputs!$B$3&gt;=117</f>
        <v/>
      </c>
      <c r="D232">
        <f>IF(Skills!C27=1,60+Inputs!$B$25+Inputs!$B$29,IF(Skills!C27=2,90+Inputs!$B$26+Inputs!$B$29,IF(Skills!C27=3,120+Inputs!$B$27+Inputs!$B$29,MAX(0,(Inputs!$B$3-100)*3)+Inputs!$B$28+Inputs!$B$29)))</f>
        <v/>
      </c>
      <c r="E232">
        <f>INDEX(FactorTable!$B$2:$Y$301, MATCH(ROUND(MIN(300,MAX(1,D232)),0), FactorTable!$A$2:$A$301,0), Skills!M27+1)</f>
        <v/>
      </c>
      <c r="F232">
        <f>IF(Skills!N27=TRUE,(Skills!L27/10)*(E232/1000),Skills!L27/10)+Skills!O27</f>
        <v/>
      </c>
      <c r="G232">
        <f>Skills!G27*IF(Skills!H27&gt;0,Skills!I27/Skills!H27,1)</f>
        <v/>
      </c>
      <c r="H232">
        <f>1-(1-Skills!J27/100)^Skills!K27</f>
        <v/>
      </c>
      <c r="I232" t="inlineStr">
        <is>
          <t>1</t>
        </is>
      </c>
      <c r="J232" t="inlineStr"/>
      <c r="K232" t="inlineStr"/>
      <c r="L232" t="inlineStr"/>
      <c r="M232" t="inlineStr"/>
      <c r="N232" t="inlineStr"/>
      <c r="O232">
        <f>(1-Summary!$B$55)*T232+Summary!$B$55*V232</f>
        <v/>
      </c>
      <c r="P232">
        <f>IF(B245=0,0,O232/B245)</f>
        <v/>
      </c>
      <c r="Q232" t="n">
        <v>0</v>
      </c>
      <c r="R232" t="n">
        <v>0</v>
      </c>
      <c r="S232">
        <f>IFERROR(O232/N232,0)</f>
        <v/>
      </c>
      <c r="T232" t="n">
        <v>0</v>
      </c>
      <c r="V232" t="n">
        <v>0</v>
      </c>
    </row>
    <row r="234">
      <c r="A234" t="inlineStr">
        <is>
          <t>Attack% Bucket Multiplier</t>
        </is>
      </c>
      <c r="B234">
        <f>(1+(((C222=TRUE)*F222)+((C229=TRUE)*(F229-Calc!F24)))/100)</f>
        <v/>
      </c>
    </row>
    <row r="235">
      <c r="A235" t="inlineStr">
        <is>
          <t>Global Crit Rate Bonus %</t>
        </is>
      </c>
      <c r="B235" t="n">
        <v>0</v>
      </c>
    </row>
    <row r="236">
      <c r="A236" t="inlineStr">
        <is>
          <t>Attack Speed Buff Bonus % (unused)</t>
        </is>
      </c>
      <c r="B236" t="n">
        <v>0</v>
      </c>
    </row>
    <row r="237">
      <c r="A237" t="inlineStr">
        <is>
          <t>Actions Per Second</t>
        </is>
      </c>
      <c r="B237">
        <f>1+MIN(150,150*(1-(1-(Inputs!$B$11+((C225=TRUE)*(F225-Calc!F20))+((C226=TRUE)*(F226-Calc!F21)))/150)*(1-B236/150)))/100</f>
        <v/>
      </c>
    </row>
    <row r="238">
      <c r="A238" t="inlineStr">
        <is>
          <t>Skill + Buff Cast Rate</t>
        </is>
      </c>
      <c r="B238">
        <f>IF(AND(Inputs!$B$38&lt;&gt;"pvp",Inputs!$B$43&gt;0),SUMPRODUCT((Skills!E2:E27=TRUE)*(C207:C232=TRUE)*R207:R232*Skills!F2:F27)/Inputs!$B$43,SUMPRODUCT((Skills!E2:E27=TRUE)*(C207:C232=TRUE)*Q207:Q232*Skills!F2:F27))</f>
        <v/>
      </c>
    </row>
    <row r="239">
      <c r="A239" t="inlineStr">
        <is>
          <t>Eight-Legs Easton Casts Per Second</t>
        </is>
      </c>
      <c r="B239">
        <f>MAX(0,B237-B238)</f>
        <v/>
      </c>
    </row>
    <row r="240">
      <c r="A240" t="inlineStr">
        <is>
          <t>Global Critical Damage Bonus % (unused)</t>
        </is>
      </c>
      <c r="B240" t="n">
        <v>0</v>
      </c>
    </row>
    <row r="241">
      <c r="A241" t="inlineStr">
        <is>
          <t>Global Final Damage Bonus % (Jolly Roger only)</t>
        </is>
      </c>
      <c r="B241">
        <f>((C223=TRUE)*F223)</f>
        <v/>
      </c>
    </row>
    <row r="242">
      <c r="A242" t="inlineStr">
        <is>
          <t>Buff-Casting Startup Delay (s, fixed-duration only)</t>
        </is>
      </c>
      <c r="B242">
        <f>IF(AND(Inputs!$B$38&lt;&gt;"pvp",Inputs!$B$43&gt;0),SUMPRODUCT((Skills!T2:T27&gt;0)*(Skills!E2:E27=TRUE)*(C207:C232=TRUE))/B237,0)</f>
        <v/>
      </c>
    </row>
    <row r="243">
      <c r="A243" t="inlineStr">
        <is>
          <t>Boss-Only Total DPS (this block's swept value)</t>
        </is>
      </c>
      <c r="B243">
        <f>SUM(T207:T232)</f>
        <v/>
      </c>
    </row>
    <row r="244">
      <c r="A244" t="inlineStr">
        <is>
          <t>Normal-Only Total DPS (this block's swept value)</t>
        </is>
      </c>
      <c r="B244">
        <f>SUM(V207:V232)</f>
        <v/>
      </c>
    </row>
    <row r="245">
      <c r="A245" s="5" t="inlineStr">
        <is>
          <t>TOTAL DPS</t>
        </is>
      </c>
      <c r="B245" s="5">
        <f>SUM(O207:O232)</f>
        <v/>
      </c>
    </row>
    <row r="248">
      <c r="A248" s="5" t="inlineStr">
        <is>
          <t>Stat: BOSS_DAMAGE %</t>
        </is>
      </c>
    </row>
    <row r="249">
      <c r="A249" s="9" t="inlineStr">
        <is>
          <t>Key</t>
        </is>
      </c>
      <c r="B249" s="9" t="inlineStr">
        <is>
          <t>Name</t>
        </is>
      </c>
      <c r="C249" s="9" t="inlineStr">
        <is>
          <t>Unlocked</t>
        </is>
      </c>
      <c r="D249" s="9" t="inlineStr">
        <is>
          <t>InputLevel</t>
        </is>
      </c>
      <c r="E249" s="9" t="inlineStr">
        <is>
          <t>Factor</t>
        </is>
      </c>
      <c r="F249" s="9" t="inlineStr">
        <is>
          <t>CoefficientPercent</t>
        </is>
      </c>
      <c r="G249" s="9" t="inlineStr">
        <is>
          <t>EffectiveHits</t>
        </is>
      </c>
      <c r="H249" s="9" t="inlineStr">
        <is>
          <t>ProcProbability</t>
        </is>
      </c>
      <c r="I249" s="9" t="inlineStr">
        <is>
          <t>MapleHeroMultiplier</t>
        </is>
      </c>
      <c r="J249" s="9" t="inlineStr">
        <is>
          <t>BaseDamage</t>
        </is>
      </c>
      <c r="K249" s="9" t="inlineStr">
        <is>
          <t>BaseHitDamage</t>
        </is>
      </c>
      <c r="L249" s="9" t="inlineStr">
        <is>
          <t>NonCritAvg</t>
        </is>
      </c>
      <c r="M249" s="9" t="inlineStr">
        <is>
          <t>CritAvg</t>
        </is>
      </c>
      <c r="N249" s="9" t="inlineStr">
        <is>
          <t>ExpectedDamage(perHit)</t>
        </is>
      </c>
      <c r="O249" s="9" t="inlineStr">
        <is>
          <t>DPS</t>
        </is>
      </c>
      <c r="P249" s="9" t="inlineStr">
        <is>
          <t>% of Total</t>
        </is>
      </c>
      <c r="Q249" s="9" t="inlineStr">
        <is>
          <t>InvCooldown</t>
        </is>
      </c>
      <c r="R249" s="9" t="inlineStr">
        <is>
          <t>CastsInFight</t>
        </is>
      </c>
      <c r="S249" s="9" t="inlineStr">
        <is>
          <t>HitRate(perSec)</t>
        </is>
      </c>
      <c r="U249" t="inlineStr">
        <is>
          <t>helpers</t>
        </is>
      </c>
    </row>
    <row r="250">
      <c r="A250">
        <f>Skills!A2</f>
        <v/>
      </c>
      <c r="B250">
        <f>Skills!B2</f>
        <v/>
      </c>
      <c r="C250">
        <f>Inputs!$B$3&gt;=100</f>
        <v/>
      </c>
      <c r="D250" t="inlineStr"/>
      <c r="E250" t="inlineStr"/>
      <c r="F250">
        <f>U252+Skills!O2</f>
        <v/>
      </c>
      <c r="G250">
        <f>Skills!G2*IF(Skills!H2&gt;0,Skills!I2/Skills!H2,1)</f>
        <v/>
      </c>
      <c r="H250">
        <f>1-(1-Skills!J2/100)^Skills!K2</f>
        <v/>
      </c>
      <c r="I250" t="inlineStr">
        <is>
          <t>1</t>
        </is>
      </c>
      <c r="J250">
        <f>((Inputs!$B$6*(1+Inputs!$B$7/100))+(((Inputs!$B$12*(1+Inputs!$B$13/100))-(Inputs!$B$12*(1+Inputs!$B$13/100)))+0.25*(Inputs!$B$14-Inputs!$B$14))*(1+Inputs!$B$7/100))*(F250/100)</f>
        <v/>
      </c>
      <c r="K250">
        <f>J250*(1+((Inputs!$B$12*(1+Inputs!$B$13/100))*0.01+Inputs!$B$14*0.0025)/100)*(1+Inputs!$B$15/100)*(1+Inputs!$B$16/100)*(5000/(6000+Inputs!$B$42*(1-(Inputs!$B$19+0)/100)))*(1+(Inputs!$B$24+((C274=TRUE)*(F274-Calc!F26))+B284)/100)*(1+(IF(Skills!A2="EIGHT_LEGS_EASTON",Inputs!$B$17+((C271=TRUE)*(F271-Calc!F23))+((C275=TRUE)*(F275-Calc!F27)),Inputs!$B$18+0))/100)*((1+(((C265=TRUE)*F265)+((C272=TRUE)*(F272-Calc!F24)))/100)*I250)</f>
        <v/>
      </c>
      <c r="L250">
        <f>K250*(MIN(Inputs!$B$22+((C270=TRUE)*(F270-Calc!F22)),Inputs!$B$23+0)/100+(Inputs!$B$23+0)/100)/2</f>
        <v/>
      </c>
      <c r="M250">
        <f>L250*(1+(Inputs!$B$10+((C273=TRUE)*(F273-Calc!F25))+B283)/100)</f>
        <v/>
      </c>
      <c r="N250">
        <f>L250*(1-MIN((Inputs!$B$9+((C267=TRUE)*(F267-Calc!F19))+B278),100)/100)+M250*(MIN((Inputs!$B$9+((C267=TRUE)*(F267-Calc!F19))+B278),100)/100)</f>
        <v/>
      </c>
      <c r="O250">
        <f>(1-Summary!$B$55)*T250+Summary!$B$55*V250</f>
        <v/>
      </c>
      <c r="P250">
        <f>IF(B288=0,0,O250/B288)</f>
        <v/>
      </c>
      <c r="Q250" t="n">
        <v>0</v>
      </c>
      <c r="R250" t="n">
        <v>0</v>
      </c>
      <c r="S250">
        <f>IFERROR(O250/N250,0)</f>
        <v/>
      </c>
      <c r="T250">
        <f>IF(C250,(Skills!G2*N250*B282)*IF(Inputs!$B$38="pvp",1,1+((Inputs!$B$20+1)+0+Skills!P2)/100),0)</f>
        <v/>
      </c>
      <c r="U250">
        <f>MAX(0,(Inputs!$B$3-100)*3)+Inputs!$B$28+Inputs!$B$29</f>
        <v/>
      </c>
      <c r="V250">
        <f>IF(C250,(Skills!G2*N250*B282)*IF(Inputs!$B$38="pvp",1,(1+(Inputs!$B$21+Skills!Q2)/100)*(MIN((6+Inputs!$B$33),Inputs!$B$37))),0)</f>
        <v/>
      </c>
    </row>
    <row r="251">
      <c r="A251">
        <f>Skills!A3</f>
        <v/>
      </c>
      <c r="B251">
        <f>Skills!B3</f>
        <v/>
      </c>
      <c r="C251">
        <f>Inputs!$B$3&gt;=35</f>
        <v/>
      </c>
      <c r="D251">
        <f>IF(Skills!C3=1,60+Inputs!$B$25+Inputs!$B$29,IF(Skills!C3=2,90+Inputs!$B$26+Inputs!$B$29,IF(Skills!C3=3,120+Inputs!$B$27+Inputs!$B$29,MAX(0,(Inputs!$B$3-100)*3)+Inputs!$B$28+Inputs!$B$29)))</f>
        <v/>
      </c>
      <c r="E251">
        <f>INDEX(FactorTable!$B$2:$Y$301, MATCH(ROUND(MIN(300,MAX(1,D251)),0), FactorTable!$A$2:$A$301,0), Skills!M3+1)</f>
        <v/>
      </c>
      <c r="F251">
        <f>IF(Skills!N3=TRUE,(Skills!L3/10)*(E251/1000),Skills!L3/10)+Skills!O3</f>
        <v/>
      </c>
      <c r="G251">
        <f>Skills!G3*IF(Skills!H3&gt;0,Skills!I3/Skills!H3,1)</f>
        <v/>
      </c>
      <c r="H251">
        <f>1-(1-Skills!J3/100)^Skills!K3</f>
        <v/>
      </c>
      <c r="I251" t="inlineStr">
        <is>
          <t>1</t>
        </is>
      </c>
      <c r="J251">
        <f>((Inputs!$B$6*(1+Inputs!$B$7/100))+(((Inputs!$B$12*(1+Inputs!$B$13/100))-(Inputs!$B$12*(1+Inputs!$B$13/100)))+0.25*(Inputs!$B$14-Inputs!$B$14))*(1+Inputs!$B$7/100))*(F251/100)</f>
        <v/>
      </c>
      <c r="K251">
        <f>J251*(1+((Inputs!$B$12*(1+Inputs!$B$13/100))*0.01+Inputs!$B$14*0.0025)/100)*(1+Inputs!$B$15/100)*(1+Inputs!$B$16/100)*(5000/(6000+Inputs!$B$42*(1-(Inputs!$B$19+0)/100)))*(1+(Inputs!$B$24+((C274=TRUE)*(F274-Calc!F26))+B284)/100)*(1+4.0*IF(C263=TRUE,F263,0)/100)*(1+(IF(Skills!A3="EIGHT_LEGS_EASTON",Inputs!$B$17+((C271=TRUE)*(F271-Calc!F23))+((C275=TRUE)*(F275-Calc!F27)),Inputs!$B$18+0))/100)*((1+(((C265=TRUE)*F265)+((C272=TRUE)*(F272-Calc!F24)))/100)*I251)</f>
        <v/>
      </c>
      <c r="L251">
        <f>K251*(MIN(Inputs!$B$22+((C270=TRUE)*(F270-Calc!F22)),Inputs!$B$23+0)/100+(Inputs!$B$23+0)/100)/2</f>
        <v/>
      </c>
      <c r="M251">
        <f>L251*(1+(Inputs!$B$10+((C273=TRUE)*(F273-Calc!F25))+B283)/100)</f>
        <v/>
      </c>
      <c r="N251">
        <f>L251*(1-MIN((Inputs!$B$9+((C267=TRUE)*(F267-Calc!F19))+B278),100)/100)+M251*(MIN((Inputs!$B$9+((C267=TRUE)*(F267-Calc!F19))+B278),100)/100)</f>
        <v/>
      </c>
      <c r="O251">
        <f>(1-Summary!$B$55)*T251+Summary!$B$55*V251</f>
        <v/>
      </c>
      <c r="P251">
        <f>IF(B288=0,0,O251/B288)</f>
        <v/>
      </c>
      <c r="Q251">
        <f>IFERROR(1/IF(Inputs!$B$38="pvp",15,MAX(0.1,Skills!D3-IF(Skills!E3=TRUE,Inputs!$B$32,0))),0)</f>
        <v/>
      </c>
      <c r="R251">
        <f>IF(AND(Inputs!$B$38&lt;&gt;"pvp",Inputs!$B$43&gt;0),IF(MAX(0,Inputs!$B$43-B285)&lt;=0,0,(INT(MAX(0,Inputs!$B$43-B285)/IF(Inputs!$B$38="pvp",15,MAX(0.1,Skills!D3-IF(Skills!E3=TRUE,Inputs!$B$32,0))))+1)),0)</f>
        <v/>
      </c>
      <c r="S251">
        <f>IFERROR(O251/N251,0)</f>
        <v/>
      </c>
      <c r="T251">
        <f>IF(C251,(H251*N251*IF(AND(Inputs!$B$38&lt;&gt;"pvp",Inputs!$B$43&gt;0),((Skills!G3*((R251-1)*IF(Skills!H3&gt;0,Skills!I3/Skills!H3,1)+IF(Skills!H3&gt;0,MIN(Skills!I3,MAX(0,MAX(0,Inputs!$B$43-B285)-((R251-1)*IF(Inputs!$B$38="pvp",15,MAX(0.1,Skills!D3-IF(Skills!E3=TRUE,Inputs!$B$32,0))))))/Skills!H3,1)))/Inputs!$B$43),G251*Q251))*IF(Inputs!$B$38="pvp",1,1+((Inputs!$B$20+1)+0+Skills!P3)/100),0)</f>
        <v/>
      </c>
      <c r="U251">
        <f>INDEX(FactorTable!$B$2:$Y$301, MATCH(ROUND(MIN(300,MAX(1,U250)),0), FactorTable!$A$2:$A$301,0), 22)</f>
        <v/>
      </c>
      <c r="V251">
        <f>IF(C251,(H251*N251*IF(AND(Inputs!$B$38&lt;&gt;"pvp",Inputs!$B$43&gt;0),((Skills!G3*((R251-1)*IF(Skills!H3&gt;0,Skills!I3/Skills!H3,1)+IF(Skills!H3&gt;0,MIN(Skills!I3,MAX(0,MAX(0,Inputs!$B$43-B285)-((R251-1)*IF(Inputs!$B$38="pvp",15,MAX(0.1,Skills!D3-IF(Skills!E3=TRUE,Inputs!$B$32,0))))))/Skills!H3,1)))/Inputs!$B$43),G251*Q251))*IF(Inputs!$B$38="pvp",1,(1+(Inputs!$B$21+Skills!Q3)/100)*(MIN(Skills!R3,Inputs!$B$37))),0)</f>
        <v/>
      </c>
    </row>
    <row r="252">
      <c r="A252">
        <f>Skills!A4</f>
        <v/>
      </c>
      <c r="B252">
        <f>Skills!B4</f>
        <v/>
      </c>
      <c r="C252">
        <f>Inputs!$B$3&gt;=40</f>
        <v/>
      </c>
      <c r="D252">
        <f>IF(Skills!C4=1,60+Inputs!$B$25+Inputs!$B$29,IF(Skills!C4=2,90+Inputs!$B$26+Inputs!$B$29,IF(Skills!C4=3,120+Inputs!$B$27+Inputs!$B$29,MAX(0,(Inputs!$B$3-100)*3)+Inputs!$B$28+Inputs!$B$29)))</f>
        <v/>
      </c>
      <c r="E252">
        <f>INDEX(FactorTable!$B$2:$Y$301, MATCH(ROUND(MIN(300,MAX(1,D252)),0), FactorTable!$A$2:$A$301,0), Skills!M4+1)</f>
        <v/>
      </c>
      <c r="F252">
        <f>IF(Skills!N4=TRUE,(Skills!L4/10)*(E252/1000),Skills!L4/10)+Skills!O4</f>
        <v/>
      </c>
      <c r="G252">
        <f>Skills!G4*IF(Skills!H4&gt;0,Skills!I4/Skills!H4,1)</f>
        <v/>
      </c>
      <c r="H252">
        <f>1-(1-Skills!J4/100)^Skills!K4</f>
        <v/>
      </c>
      <c r="I252" t="inlineStr">
        <is>
          <t>1</t>
        </is>
      </c>
      <c r="J252">
        <f>((Inputs!$B$6*(1+Inputs!$B$7/100))+(((Inputs!$B$12*(1+Inputs!$B$13/100))-(Inputs!$B$12*(1+Inputs!$B$13/100)))+0.25*(Inputs!$B$14-Inputs!$B$14))*(1+Inputs!$B$7/100))*(F252/100)</f>
        <v/>
      </c>
      <c r="K252">
        <f>J252*(1+((Inputs!$B$12*(1+Inputs!$B$13/100))*0.01+Inputs!$B$14*0.0025)/100)*(1+Inputs!$B$15/100)*(1+Inputs!$B$16/100)*(5000/(6000+Inputs!$B$42*(1-(Inputs!$B$19+0)/100)))*(1+(Inputs!$B$24+((C274=TRUE)*(F274-Calc!F26))+B284)/100)*(1+1.0*IF(C264=TRUE,F264,0)/100)*(1+(IF(Skills!A4="EIGHT_LEGS_EASTON",Inputs!$B$17+((C271=TRUE)*(F271-Calc!F23))+((C275=TRUE)*(F275-Calc!F27)),Inputs!$B$18+0))/100)*((1+(((C265=TRUE)*F265)+((C272=TRUE)*(F272-Calc!F24)))/100)*I252)</f>
        <v/>
      </c>
      <c r="L252">
        <f>K252*(MIN(Inputs!$B$22+((C270=TRUE)*(F270-Calc!F22)),Inputs!$B$23+0)/100+(Inputs!$B$23+0)/100)/2</f>
        <v/>
      </c>
      <c r="M252">
        <f>L252*(1+(Inputs!$B$10+((C273=TRUE)*(F273-Calc!F25))+B283)/100)</f>
        <v/>
      </c>
      <c r="N252">
        <f>L252*(1-MIN((Inputs!$B$9+((C267=TRUE)*(F267-Calc!F19))+B278),100)/100)+M252*(MIN((Inputs!$B$9+((C267=TRUE)*(F267-Calc!F19))+B278),100)/100)</f>
        <v/>
      </c>
      <c r="O252">
        <f>(1-Summary!$B$55)*T252+Summary!$B$55*V252</f>
        <v/>
      </c>
      <c r="P252">
        <f>IF(B288=0,0,O252/B288)</f>
        <v/>
      </c>
      <c r="Q252">
        <f>IFERROR(1/IF(Inputs!$B$38="pvp",15,MAX(0.1,Skills!D4-IF(Skills!E4=TRUE,Inputs!$B$32,0))),0)</f>
        <v/>
      </c>
      <c r="R252">
        <f>IF(AND(Inputs!$B$38&lt;&gt;"pvp",Inputs!$B$43&gt;0),IF(MAX(0,Inputs!$B$43-B285)&lt;=0,0,(INT(MAX(0,Inputs!$B$43-B285)/IF(Inputs!$B$38="pvp",15,MAX(0.1,Skills!D4-IF(Skills!E4=TRUE,Inputs!$B$32,0))))+1)),0)</f>
        <v/>
      </c>
      <c r="S252">
        <f>IFERROR(O252/N252,0)</f>
        <v/>
      </c>
      <c r="T252">
        <f>IF(C252,(H252*N252*IF(AND(Inputs!$B$38&lt;&gt;"pvp",Inputs!$B$43&gt;0),((Skills!G4*((R252-1)*IF(Skills!H4&gt;0,Skills!I4/Skills!H4,1)+IF(Skills!H4&gt;0,MIN(Skills!I4,MAX(0,MAX(0,Inputs!$B$43-B285)-((R252-1)*IF(Inputs!$B$38="pvp",15,MAX(0.1,Skills!D4-IF(Skills!E4=TRUE,Inputs!$B$32,0))))))/Skills!H4,1)))/Inputs!$B$43),G252*Q252))*IF(Inputs!$B$38="pvp",1,1+((Inputs!$B$20+1)+0+Skills!P4)/100),0)</f>
        <v/>
      </c>
      <c r="U252">
        <f>290*U251/1000</f>
        <v/>
      </c>
      <c r="V252">
        <f>IF(C252,(H252*N252*IF(AND(Inputs!$B$38&lt;&gt;"pvp",Inputs!$B$43&gt;0),((Skills!G4*((R252-1)*IF(Skills!H4&gt;0,Skills!I4/Skills!H4,1)+IF(Skills!H4&gt;0,MIN(Skills!I4,MAX(0,MAX(0,Inputs!$B$43-B285)-((R252-1)*IF(Inputs!$B$38="pvp",15,MAX(0.1,Skills!D4-IF(Skills!E4=TRUE,Inputs!$B$32,0))))))/Skills!H4,1)))/Inputs!$B$43),G252*Q252))*IF(Inputs!$B$38="pvp",1,(1+(Inputs!$B$21+Skills!Q4)/100)*(MIN(Skills!R4,Inputs!$B$37))),0)</f>
        <v/>
      </c>
    </row>
    <row r="253">
      <c r="A253">
        <f>Skills!A5</f>
        <v/>
      </c>
      <c r="B253">
        <f>Skills!B5</f>
        <v/>
      </c>
      <c r="C253">
        <f>Inputs!$B$3&gt;=45</f>
        <v/>
      </c>
      <c r="D253">
        <f>IF(Skills!C5=1,60+Inputs!$B$25+Inputs!$B$29,IF(Skills!C5=2,90+Inputs!$B$26+Inputs!$B$29,IF(Skills!C5=3,120+Inputs!$B$27+Inputs!$B$29,MAX(0,(Inputs!$B$3-100)*3)+Inputs!$B$28+Inputs!$B$29)))</f>
        <v/>
      </c>
      <c r="E253">
        <f>INDEX(FactorTable!$B$2:$Y$301, MATCH(ROUND(MIN(300,MAX(1,D253)),0), FactorTable!$A$2:$A$301,0), Skills!M5+1)</f>
        <v/>
      </c>
      <c r="F253">
        <f>IF(Skills!N5=TRUE,(Skills!L5/10)*(E253/1000),Skills!L5/10)+Skills!O5</f>
        <v/>
      </c>
      <c r="G253">
        <f>Skills!G5*IF(Skills!H5&gt;0,Skills!I5/Skills!H5,1)</f>
        <v/>
      </c>
      <c r="H253">
        <f>1-(1-Skills!J5/100)^Skills!K5</f>
        <v/>
      </c>
      <c r="I253" t="inlineStr">
        <is>
          <t>1</t>
        </is>
      </c>
      <c r="J253">
        <f>((Inputs!$B$6*(1+Inputs!$B$7/100))+(((Inputs!$B$12*(1+Inputs!$B$13/100))-(Inputs!$B$12*(1+Inputs!$B$13/100)))+0.25*(Inputs!$B$14-Inputs!$B$14))*(1+Inputs!$B$7/100))*(F253/100)</f>
        <v/>
      </c>
      <c r="K253">
        <f>J253*(1+((Inputs!$B$12*(1+Inputs!$B$13/100))*0.01+Inputs!$B$14*0.0025)/100)*(1+Inputs!$B$15/100)*(1+Inputs!$B$16/100)*(5000/(6000+Inputs!$B$42*(1-(Inputs!$B$19+0)/100)))*(1+(Inputs!$B$24+((C274=TRUE)*(F274-Calc!F26))+B284)/100)*(1+0.4*IF(C264=TRUE,F264,0)/100)*(1+(IF(Skills!A5="EIGHT_LEGS_EASTON",Inputs!$B$17+((C271=TRUE)*(F271-Calc!F23))+((C275=TRUE)*(F275-Calc!F27)),Inputs!$B$18+0))/100)*((1+(((C265=TRUE)*F265)+((C272=TRUE)*(F272-Calc!F24)))/100)*I253)</f>
        <v/>
      </c>
      <c r="L253">
        <f>K253*(MIN(Inputs!$B$22+((C270=TRUE)*(F270-Calc!F22)),Inputs!$B$23+0)/100+(Inputs!$B$23+0)/100)/2</f>
        <v/>
      </c>
      <c r="M253">
        <f>L253*(1+(Inputs!$B$10+((C273=TRUE)*(F273-Calc!F25))+B283)/100)</f>
        <v/>
      </c>
      <c r="N253">
        <f>L253*(1-MIN((Inputs!$B$9+((C267=TRUE)*(F267-Calc!F19))+B278),100)/100)+M253*(MIN((Inputs!$B$9+((C267=TRUE)*(F267-Calc!F19))+B278),100)/100)</f>
        <v/>
      </c>
      <c r="O253">
        <f>(1-Summary!$B$55)*T253+Summary!$B$55*V253</f>
        <v/>
      </c>
      <c r="P253">
        <f>IF(B288=0,0,O253/B288)</f>
        <v/>
      </c>
      <c r="Q253">
        <f>IFERROR(1/IF(Inputs!$B$38="pvp",15,MAX(0.1,Skills!D5-IF(Skills!E5=TRUE,Inputs!$B$32,0))),0)</f>
        <v/>
      </c>
      <c r="R253">
        <f>IF(AND(Inputs!$B$38&lt;&gt;"pvp",Inputs!$B$43&gt;0),IF(MAX(0,Inputs!$B$43-B285)&lt;=0,0,(INT(MAX(0,Inputs!$B$43-B285)/IF(Inputs!$B$38="pvp",15,MAX(0.1,Skills!D5-IF(Skills!E5=TRUE,Inputs!$B$32,0))))+1)),0)</f>
        <v/>
      </c>
      <c r="S253">
        <f>IFERROR(O253/N253,0)</f>
        <v/>
      </c>
      <c r="T253">
        <f>IF(C253,(H253*N253*IF(AND(Inputs!$B$38&lt;&gt;"pvp",Inputs!$B$43&gt;0),((Skills!G5*((R253-1)*IF(Skills!H5&gt;0,Skills!I5/Skills!H5,1)+IF(Skills!H5&gt;0,MIN(Skills!I5,MAX(0,MAX(0,Inputs!$B$43-B285)-((R253-1)*IF(Inputs!$B$38="pvp",15,MAX(0.1,Skills!D5-IF(Skills!E5=TRUE,Inputs!$B$32,0))))))/Skills!H5,1)))/Inputs!$B$43),G253*Q253))*IF(Inputs!$B$38="pvp",1,1+((Inputs!$B$20+1)+0+Skills!P5)/100),0)</f>
        <v/>
      </c>
      <c r="V253">
        <f>IF(C253,(H253*N253*IF(AND(Inputs!$B$38&lt;&gt;"pvp",Inputs!$B$43&gt;0),((Skills!G5*((R253-1)*IF(Skills!H5&gt;0,Skills!I5/Skills!H5,1)+IF(Skills!H5&gt;0,MIN(Skills!I5,MAX(0,MAX(0,Inputs!$B$43-B285)-((R253-1)*IF(Inputs!$B$38="pvp",15,MAX(0.1,Skills!D5-IF(Skills!E5=TRUE,Inputs!$B$32,0))))))/Skills!H5,1)))/Inputs!$B$43),G253*Q253))*IF(Inputs!$B$38="pvp",1,(1+(Inputs!$B$21+Skills!Q5)/100)*(MIN(Skills!R5,Inputs!$B$37))),0)</f>
        <v/>
      </c>
    </row>
    <row r="254">
      <c r="A254">
        <f>Skills!A6</f>
        <v/>
      </c>
      <c r="B254">
        <f>Skills!B6</f>
        <v/>
      </c>
      <c r="C254">
        <f>Inputs!$B$3&gt;=63</f>
        <v/>
      </c>
      <c r="D254">
        <f>IF(Skills!C6=1,60+Inputs!$B$25+Inputs!$B$29,IF(Skills!C6=2,90+Inputs!$B$26+Inputs!$B$29,IF(Skills!C6=3,120+Inputs!$B$27+Inputs!$B$29,MAX(0,(Inputs!$B$3-100)*3)+Inputs!$B$28+Inputs!$B$29)))</f>
        <v/>
      </c>
      <c r="E254">
        <f>INDEX(FactorTable!$B$2:$Y$301, MATCH(ROUND(MIN(300,MAX(1,D254)),0), FactorTable!$A$2:$A$301,0), Skills!M6+1)</f>
        <v/>
      </c>
      <c r="F254">
        <f>IF(Skills!N6=TRUE,(Skills!L6/10)*(E254/1000),Skills!L6/10)+Skills!O6</f>
        <v/>
      </c>
      <c r="G254">
        <f>Skills!G6*IF(Skills!H6&gt;0,Skills!I6/Skills!H6,1)</f>
        <v/>
      </c>
      <c r="H254">
        <f>1-(1-Skills!J6/100)^Skills!K6</f>
        <v/>
      </c>
      <c r="I254" t="inlineStr">
        <is>
          <t>1</t>
        </is>
      </c>
      <c r="J254">
        <f>((Inputs!$B$6*(1+Inputs!$B$7/100))+(((Inputs!$B$12*(1+Inputs!$B$13/100))-(Inputs!$B$12*(1+Inputs!$B$13/100)))+0.25*(Inputs!$B$14-Inputs!$B$14))*(1+Inputs!$B$7/100))*(F254/100)</f>
        <v/>
      </c>
      <c r="K254">
        <f>J254*(1+((Inputs!$B$12*(1+Inputs!$B$13/100))*0.01+Inputs!$B$14*0.0025)/100)*(1+Inputs!$B$15/100)*(1+Inputs!$B$16/100)*(5000/(6000+Inputs!$B$42*(1-(Inputs!$B$19+0)/100)))*(1+(Inputs!$B$24+((C274=TRUE)*(F274-Calc!F26))+B284)/100)*(1+2.0*IF(C263=TRUE,F263,0)/100)*(1+(IF(Skills!A6="EIGHT_LEGS_EASTON",Inputs!$B$17+((C271=TRUE)*(F271-Calc!F23))+((C275=TRUE)*(F275-Calc!F27)),Inputs!$B$18+0))/100)*((1+(((C265=TRUE)*F265)+((C272=TRUE)*(F272-Calc!F24)))/100)*I254)</f>
        <v/>
      </c>
      <c r="L254">
        <f>K254*(MIN(Inputs!$B$22+((C270=TRUE)*(F270-Calc!F22)),Inputs!$B$23+0)/100+(Inputs!$B$23+0)/100)/2</f>
        <v/>
      </c>
      <c r="M254">
        <f>L254*(1+(Inputs!$B$10+((C273=TRUE)*(F273-Calc!F25))+B283)/100)</f>
        <v/>
      </c>
      <c r="N254">
        <f>L254*(1-MIN((Inputs!$B$9+((C267=TRUE)*(F267-Calc!F19))+B278),100)/100)+M254*(MIN((Inputs!$B$9+((C267=TRUE)*(F267-Calc!F19))+B278),100)/100)</f>
        <v/>
      </c>
      <c r="O254">
        <f>(1-Summary!$B$55)*T254+Summary!$B$55*V254</f>
        <v/>
      </c>
      <c r="P254">
        <f>IF(B288=0,0,O254/B288)</f>
        <v/>
      </c>
      <c r="Q254">
        <f>IFERROR(1/IF(Inputs!$B$38="pvp",15,MAX(0.1,Skills!D6-IF(Skills!E6=TRUE,Inputs!$B$32,0))),0)</f>
        <v/>
      </c>
      <c r="R254">
        <f>IF(AND(Inputs!$B$38&lt;&gt;"pvp",Inputs!$B$43&gt;0),IF(MAX(0,Inputs!$B$43-B285)&lt;=0,0,(INT(MAX(0,Inputs!$B$43-B285)/IF(Inputs!$B$38="pvp",15,MAX(0.1,Skills!D6-IF(Skills!E6=TRUE,Inputs!$B$32,0))))+1)),0)</f>
        <v/>
      </c>
      <c r="S254">
        <f>IFERROR(O254/N254,0)</f>
        <v/>
      </c>
      <c r="T254">
        <f>IF(C254,(H254*N254*IF(AND(Inputs!$B$38&lt;&gt;"pvp",Inputs!$B$43&gt;0),((Skills!G6*((R254-1)*IF(Skills!H6&gt;0,Skills!I6/Skills!H6,1)+IF(Skills!H6&gt;0,MIN(Skills!I6,MAX(0,MAX(0,Inputs!$B$43-B285)-((R254-1)*IF(Inputs!$B$38="pvp",15,MAX(0.1,Skills!D6-IF(Skills!E6=TRUE,Inputs!$B$32,0))))))/Skills!H6,1)))/Inputs!$B$43),G254*Q254))*IF(Inputs!$B$38="pvp",1,1+((Inputs!$B$20+1)+0+Skills!P6)/100),0)</f>
        <v/>
      </c>
      <c r="V254">
        <f>IF(C254,(H254*N254*IF(AND(Inputs!$B$38&lt;&gt;"pvp",Inputs!$B$43&gt;0),((Skills!G6*((R254-1)*IF(Skills!H6&gt;0,Skills!I6/Skills!H6,1)+IF(Skills!H6&gt;0,MIN(Skills!I6,MAX(0,MAX(0,Inputs!$B$43-B285)-((R254-1)*IF(Inputs!$B$38="pvp",15,MAX(0.1,Skills!D6-IF(Skills!E6=TRUE,Inputs!$B$32,0))))))/Skills!H6,1)))/Inputs!$B$43),G254*Q254))*IF(Inputs!$B$38="pvp",1,(1+(Inputs!$B$21+Skills!Q6)/100)*(MIN(Skills!R6,Inputs!$B$37))),0)</f>
        <v/>
      </c>
    </row>
    <row r="255">
      <c r="A255">
        <f>Skills!A7</f>
        <v/>
      </c>
      <c r="B255">
        <f>Skills!B7</f>
        <v/>
      </c>
      <c r="C255">
        <f>Inputs!$B$3&gt;=66</f>
        <v/>
      </c>
      <c r="D255">
        <f>IF(Skills!C7=1,60+Inputs!$B$25+Inputs!$B$29,IF(Skills!C7=2,90+Inputs!$B$26+Inputs!$B$29,IF(Skills!C7=3,120+Inputs!$B$27+Inputs!$B$29,MAX(0,(Inputs!$B$3-100)*3)+Inputs!$B$28+Inputs!$B$29)))</f>
        <v/>
      </c>
      <c r="E255">
        <f>INDEX(FactorTable!$B$2:$Y$301, MATCH(ROUND(MIN(300,MAX(1,D255)),0), FactorTable!$A$2:$A$301,0), Skills!M7+1)</f>
        <v/>
      </c>
      <c r="F255">
        <f>IF(Skills!N7=TRUE,(Skills!L7/10)*(E255/1000),Skills!L7/10)+Skills!O7</f>
        <v/>
      </c>
      <c r="G255">
        <f>Skills!G7*IF(Skills!H7&gt;0,Skills!I7/Skills!H7,1)</f>
        <v/>
      </c>
      <c r="H255">
        <f>1-(1-Skills!J7/100)^Skills!K7</f>
        <v/>
      </c>
      <c r="I255" t="inlineStr">
        <is>
          <t>1</t>
        </is>
      </c>
      <c r="J255">
        <f>((Inputs!$B$6*(1+Inputs!$B$7/100))+(((Inputs!$B$12*(1+Inputs!$B$13/100))-(Inputs!$B$12*(1+Inputs!$B$13/100)))+0.25*(Inputs!$B$14-Inputs!$B$14))*(1+Inputs!$B$7/100))*(F255/100)</f>
        <v/>
      </c>
      <c r="K255">
        <f>J255*(1+((Inputs!$B$12*(1+Inputs!$B$13/100))*0.01+Inputs!$B$14*0.0025)/100)*(1+Inputs!$B$15/100)*(1+Inputs!$B$16/100)*(5000/(6000+Inputs!$B$42*(1-(Inputs!$B$19+0)/100)))*(1+(Inputs!$B$24+((C274=TRUE)*(F274-Calc!F26))+B284)/100)*(1+1.0*IF(C263=TRUE,F263,0)/100)*(1+(IF(Skills!A7="EIGHT_LEGS_EASTON",Inputs!$B$17+((C271=TRUE)*(F271-Calc!F23))+((C275=TRUE)*(F275-Calc!F27)),Inputs!$B$18+0))/100)*((1+(((C265=TRUE)*F265)+((C272=TRUE)*(F272-Calc!F24)))/100)*I255)</f>
        <v/>
      </c>
      <c r="L255">
        <f>K255*(MIN(Inputs!$B$22+((C270=TRUE)*(F270-Calc!F22)),Inputs!$B$23+0)/100+(Inputs!$B$23+0)/100)/2</f>
        <v/>
      </c>
      <c r="M255">
        <f>L255*(1+(Inputs!$B$10+((C273=TRUE)*(F273-Calc!F25))+B283)/100)</f>
        <v/>
      </c>
      <c r="N255">
        <f>L255*(1-MIN((Inputs!$B$9+((C267=TRUE)*(F267-Calc!F19))+B278),100)/100)+M255*(MIN((Inputs!$B$9+((C267=TRUE)*(F267-Calc!F19))+B278),100)/100)</f>
        <v/>
      </c>
      <c r="O255">
        <f>(1-Summary!$B$55)*T255+Summary!$B$55*V255</f>
        <v/>
      </c>
      <c r="P255">
        <f>IF(B288=0,0,O255/B288)</f>
        <v/>
      </c>
      <c r="Q255">
        <f>IFERROR(1/IF(Inputs!$B$38="pvp",15,MAX(0.1,Skills!D7-IF(Skills!E7=TRUE,Inputs!$B$32,0))),0)</f>
        <v/>
      </c>
      <c r="R255">
        <f>IF(AND(Inputs!$B$38&lt;&gt;"pvp",Inputs!$B$43&gt;0),IF(MAX(0,Inputs!$B$43-B285)&lt;=0,0,(INT(MAX(0,Inputs!$B$43-B285)/IF(Inputs!$B$38="pvp",15,MAX(0.1,Skills!D7-IF(Skills!E7=TRUE,Inputs!$B$32,0))))+1)),0)</f>
        <v/>
      </c>
      <c r="S255">
        <f>IFERROR(O255/N255,0)</f>
        <v/>
      </c>
      <c r="T255">
        <f>IF(C255,(H255*N255*IF(AND(Inputs!$B$38&lt;&gt;"pvp",Inputs!$B$43&gt;0),((Skills!G7*((R255-1)*IF(Skills!H7&gt;0,Skills!I7/Skills!H7,1)+IF(Skills!H7&gt;0,MIN(Skills!I7,MAX(0,MAX(0,Inputs!$B$43-B285)-((R255-1)*IF(Inputs!$B$38="pvp",15,MAX(0.1,Skills!D7-IF(Skills!E7=TRUE,Inputs!$B$32,0))))))/Skills!H7,1)))/Inputs!$B$43),G255*Q255))*IF(Inputs!$B$38="pvp",1,1+((Inputs!$B$20+1)+0+Skills!P7)/100),0)</f>
        <v/>
      </c>
      <c r="V255">
        <f>IF(C255,(H255*N255*IF(AND(Inputs!$B$38&lt;&gt;"pvp",Inputs!$B$43&gt;0),((Skills!G7*((R255-1)*IF(Skills!H7&gt;0,Skills!I7/Skills!H7,1)+IF(Skills!H7&gt;0,MIN(Skills!I7,MAX(0,MAX(0,Inputs!$B$43-B285)-((R255-1)*IF(Inputs!$B$38="pvp",15,MAX(0.1,Skills!D7-IF(Skills!E7=TRUE,Inputs!$B$32,0))))))/Skills!H7,1)))/Inputs!$B$43),G255*Q255))*IF(Inputs!$B$38="pvp",1,(1+(Inputs!$B$21+Skills!Q7)/100)*(MIN(Skills!R7,Inputs!$B$37))),0)</f>
        <v/>
      </c>
    </row>
    <row r="256">
      <c r="A256">
        <f>Skills!A8</f>
        <v/>
      </c>
      <c r="B256">
        <f>Skills!B8</f>
        <v/>
      </c>
      <c r="C256">
        <f>Inputs!$B$3&gt;=100</f>
        <v/>
      </c>
      <c r="D256">
        <f>IF(Skills!C8=1,60+Inputs!$B$25+Inputs!$B$29,IF(Skills!C8=2,90+Inputs!$B$26+Inputs!$B$29,IF(Skills!C8=3,120+Inputs!$B$27+Inputs!$B$29,MAX(0,(Inputs!$B$3-100)*3)+Inputs!$B$28+Inputs!$B$29)))</f>
        <v/>
      </c>
      <c r="E256">
        <f>INDEX(FactorTable!$B$2:$Y$301, MATCH(ROUND(MIN(300,MAX(1,D256)),0), FactorTable!$A$2:$A$301,0), Skills!M8+1)</f>
        <v/>
      </c>
      <c r="F256">
        <f>IF(Skills!N8=TRUE,(Skills!L8/10)*(E256/1000),Skills!L8/10)+Skills!O8</f>
        <v/>
      </c>
      <c r="G256">
        <f>Skills!G8*IF(Skills!H8&gt;0,Skills!I8/Skills!H8,1)</f>
        <v/>
      </c>
      <c r="H256">
        <f>1-(1-Skills!J8/100)^Skills!K8</f>
        <v/>
      </c>
      <c r="I256" t="inlineStr">
        <is>
          <t>1</t>
        </is>
      </c>
      <c r="J256">
        <f>((Inputs!$B$6*(1+Inputs!$B$7/100))+(((Inputs!$B$12*(1+Inputs!$B$13/100))-(Inputs!$B$12*(1+Inputs!$B$13/100)))+0.25*(Inputs!$B$14-Inputs!$B$14))*(1+Inputs!$B$7/100))*(F256/100)</f>
        <v/>
      </c>
      <c r="K256">
        <f>J256*(1+((Inputs!$B$12*(1+Inputs!$B$13/100))*0.01+Inputs!$B$14*0.0025)/100)*(1+Inputs!$B$15/100)*(1+Inputs!$B$16/100)*(5000/(6000+Inputs!$B$42*(1-(Inputs!$B$19+0)/100)))*(1+(Inputs!$B$24+((C274=TRUE)*(F274-Calc!F26))+B284)/100)*(1+(IF(Skills!A8="EIGHT_LEGS_EASTON",Inputs!$B$17+((C271=TRUE)*(F271-Calc!F23))+((C275=TRUE)*(F275-Calc!F27)),Inputs!$B$18+0))/100)*((1+(((C265=TRUE)*F265)+((C272=TRUE)*(F272-Calc!F24)))/100)*I256)</f>
        <v/>
      </c>
      <c r="L256">
        <f>K256*(MIN(Inputs!$B$22+((C270=TRUE)*(F270-Calc!F22)),Inputs!$B$23+0)/100+(Inputs!$B$23+0)/100)/2</f>
        <v/>
      </c>
      <c r="M256">
        <f>L256*(1+(Inputs!$B$10+((C273=TRUE)*(F273-Calc!F25))+B283)/100)</f>
        <v/>
      </c>
      <c r="N256">
        <f>L256*(1-MIN((Inputs!$B$9+((C267=TRUE)*(F267-Calc!F19))+B278),100)/100)+M256*(MIN((Inputs!$B$9+((C267=TRUE)*(F267-Calc!F19))+B278),100)/100)</f>
        <v/>
      </c>
      <c r="O256">
        <f>(1-Summary!$B$55)*T256+Summary!$B$55*V256</f>
        <v/>
      </c>
      <c r="P256">
        <f>IF(B288=0,0,O256/B288)</f>
        <v/>
      </c>
      <c r="Q256">
        <f>IFERROR(1/IF(Inputs!$B$38="pvp",15,MAX(0.1,Skills!D8-IF(Skills!E8=TRUE,Inputs!$B$32,0))),0)</f>
        <v/>
      </c>
      <c r="R256">
        <f>IF(AND(Inputs!$B$38&lt;&gt;"pvp",Inputs!$B$43&gt;0),IF(MAX(0,Inputs!$B$43-B285)&lt;=0,0,(INT(MAX(0,Inputs!$B$43-B285)/IF(Inputs!$B$38="pvp",15,MAX(0.1,Skills!D8-IF(Skills!E8=TRUE,Inputs!$B$32,0))))+1)),0)</f>
        <v/>
      </c>
      <c r="S256">
        <f>IFERROR(O256/N256,0)</f>
        <v/>
      </c>
      <c r="T256">
        <f>IF(C256,(H256*N256*IF(AND(Inputs!$B$38&lt;&gt;"pvp",Inputs!$B$43&gt;0),((Skills!G8*((R256-1)*IF(Skills!H8&gt;0,Skills!I8/Skills!H8,1)+IF(Skills!H8&gt;0,MIN(Skills!I8,MAX(0,MAX(0,Inputs!$B$43-B285)-((R256-1)*IF(Inputs!$B$38="pvp",15,MAX(0.1,Skills!D8-IF(Skills!E8=TRUE,Inputs!$B$32,0))))))/Skills!H8,1)))/Inputs!$B$43),G256*Q256))*IF(Inputs!$B$38="pvp",1,1+((Inputs!$B$20+1)+0+Skills!P8)/100),0)</f>
        <v/>
      </c>
      <c r="V256">
        <f>IF(C256,(H256*N256*IF(AND(Inputs!$B$38&lt;&gt;"pvp",Inputs!$B$43&gt;0),((Skills!G8*((R256-1)*IF(Skills!H8&gt;0,Skills!I8/Skills!H8,1)+IF(Skills!H8&gt;0,MIN(Skills!I8,MAX(0,MAX(0,Inputs!$B$43-B285)-((R256-1)*IF(Inputs!$B$38="pvp",15,MAX(0.1,Skills!D8-IF(Skills!E8=TRUE,Inputs!$B$32,0))))))/Skills!H8,1)))/Inputs!$B$43),G256*Q256))*IF(Inputs!$B$38="pvp",1,(1+(Inputs!$B$21+Skills!Q8)/100)*(MIN(Skills!R8,Inputs!$B$37))),0)</f>
        <v/>
      </c>
    </row>
    <row r="257">
      <c r="A257">
        <f>Skills!A9</f>
        <v/>
      </c>
      <c r="B257">
        <f>Skills!B9</f>
        <v/>
      </c>
      <c r="C257">
        <f>Inputs!$B$3&gt;=103</f>
        <v/>
      </c>
      <c r="D257">
        <f>IF(Skills!C9=1,60+Inputs!$B$25+Inputs!$B$29,IF(Skills!C9=2,90+Inputs!$B$26+Inputs!$B$29,IF(Skills!C9=3,120+Inputs!$B$27+Inputs!$B$29,MAX(0,(Inputs!$B$3-100)*3)+Inputs!$B$28+Inputs!$B$29)))</f>
        <v/>
      </c>
      <c r="E257">
        <f>INDEX(FactorTable!$B$2:$Y$301, MATCH(ROUND(MIN(300,MAX(1,D257)),0), FactorTable!$A$2:$A$301,0), Skills!M9+1)</f>
        <v/>
      </c>
      <c r="F257">
        <f>IF(Skills!N9=TRUE,(Skills!L9/10)*(E257/1000),Skills!L9/10)+Skills!O9</f>
        <v/>
      </c>
      <c r="G257">
        <f>Skills!G9*IF(Skills!H9&gt;0,Skills!I9/Skills!H9,1)</f>
        <v/>
      </c>
      <c r="H257">
        <f>1-(1-Skills!J9/100)^Skills!K9</f>
        <v/>
      </c>
      <c r="I257" t="inlineStr">
        <is>
          <t>1</t>
        </is>
      </c>
      <c r="J257">
        <f>((Inputs!$B$6*(1+Inputs!$B$7/100))+(((Inputs!$B$12*(1+Inputs!$B$13/100))-(Inputs!$B$12*(1+Inputs!$B$13/100)))+0.25*(Inputs!$B$14-Inputs!$B$14))*(1+Inputs!$B$7/100))*(F257/100)</f>
        <v/>
      </c>
      <c r="K257">
        <f>J257*(1+((Inputs!$B$12*(1+Inputs!$B$13/100))*0.01+Inputs!$B$14*0.0025)/100)*(1+Inputs!$B$15/100)*(1+Inputs!$B$16/100)*(5000/(6000+Inputs!$B$42*(1-(Inputs!$B$19+0)/100)))*(1+(Inputs!$B$24+((C274=TRUE)*(F274-Calc!F26))+B284)/100)*(1+(IF(Skills!A9="EIGHT_LEGS_EASTON",Inputs!$B$17+((C271=TRUE)*(F271-Calc!F23))+((C275=TRUE)*(F275-Calc!F27)),Inputs!$B$18+0))/100)*((1+(((C265=TRUE)*F265)+((C272=TRUE)*(F272-Calc!F24)))/100)*I257)</f>
        <v/>
      </c>
      <c r="L257">
        <f>K257*(MIN(Inputs!$B$22+((C270=TRUE)*(F270-Calc!F22)),Inputs!$B$23+0)/100+(Inputs!$B$23+0)/100)/2</f>
        <v/>
      </c>
      <c r="M257">
        <f>L257*(1+(Inputs!$B$10+((C273=TRUE)*(F273-Calc!F25))+B283)/100)</f>
        <v/>
      </c>
      <c r="N257">
        <f>L257*(1-MIN((Inputs!$B$9+((C267=TRUE)*(F267-Calc!F19))+B278),100)/100)+M257*(MIN((Inputs!$B$9+((C267=TRUE)*(F267-Calc!F19))+B278),100)/100)</f>
        <v/>
      </c>
      <c r="O257">
        <f>(1-Summary!$B$55)*T257+Summary!$B$55*V257</f>
        <v/>
      </c>
      <c r="P257">
        <f>IF(B288=0,0,O257/B288)</f>
        <v/>
      </c>
      <c r="Q257">
        <f>IFERROR(1/IF(Inputs!$B$38="pvp",15,MAX(0.1,Skills!D9-IF(Skills!E9=TRUE,Inputs!$B$32,0))),0)</f>
        <v/>
      </c>
      <c r="R257">
        <f>IF(AND(Inputs!$B$38&lt;&gt;"pvp",Inputs!$B$43&gt;0),IF(MAX(0,Inputs!$B$43-B285)&lt;=0,0,(INT(MAX(0,Inputs!$B$43-B285)/IF(Inputs!$B$38="pvp",15,MAX(0.1,Skills!D9-IF(Skills!E9=TRUE,Inputs!$B$32,0))))+1)),0)</f>
        <v/>
      </c>
      <c r="S257">
        <f>IFERROR(O257/N257,0)</f>
        <v/>
      </c>
      <c r="T257">
        <f>IF(C257,(H257*N257*IF(AND(Inputs!$B$38&lt;&gt;"pvp",Inputs!$B$43&gt;0),((Skills!G9*((R257-1)*IF(Skills!H9&gt;0,Skills!I9/Skills!H9,1)+IF(Skills!H9&gt;0,MIN(Skills!I9,MAX(0,MAX(0,Inputs!$B$43-B285)-((R257-1)*IF(Inputs!$B$38="pvp",15,MAX(0.1,Skills!D9-IF(Skills!E9=TRUE,Inputs!$B$32,0))))))/Skills!H9,1)))/Inputs!$B$43),G257*Q257))*IF(Inputs!$B$38="pvp",1,1+((Inputs!$B$20+1)+0+Skills!P9)/100),0)</f>
        <v/>
      </c>
      <c r="V257">
        <f>IF(C257,(H257*N257*IF(AND(Inputs!$B$38&lt;&gt;"pvp",Inputs!$B$43&gt;0),((Skills!G9*((R257-1)*IF(Skills!H9&gt;0,Skills!I9/Skills!H9,1)+IF(Skills!H9&gt;0,MIN(Skills!I9,MAX(0,MAX(0,Inputs!$B$43-B285)-((R257-1)*IF(Inputs!$B$38="pvp",15,MAX(0.1,Skills!D9-IF(Skills!E9=TRUE,Inputs!$B$32,0))))))/Skills!H9,1)))/Inputs!$B$43),G257*Q257))*IF(Inputs!$B$38="pvp",1,(1+(Inputs!$B$21+Skills!Q9)/100)*(MIN(Skills!R9,Inputs!$B$37))),0)</f>
        <v/>
      </c>
    </row>
    <row r="258">
      <c r="A258">
        <f>Skills!A10</f>
        <v/>
      </c>
      <c r="B258">
        <f>Skills!B10</f>
        <v/>
      </c>
      <c r="C258">
        <f>Inputs!$B$3&gt;=113</f>
        <v/>
      </c>
      <c r="D258">
        <f>IF(Skills!C10=1,60+Inputs!$B$25+Inputs!$B$29,IF(Skills!C10=2,90+Inputs!$B$26+Inputs!$B$29,IF(Skills!C10=3,120+Inputs!$B$27+Inputs!$B$29,MAX(0,(Inputs!$B$3-100)*3)+Inputs!$B$28+Inputs!$B$29)))</f>
        <v/>
      </c>
      <c r="E258">
        <f>INDEX(FactorTable!$B$2:$Y$301, MATCH(ROUND(MIN(300,MAX(1,D258)),0), FactorTable!$A$2:$A$301,0), Skills!M10+1)</f>
        <v/>
      </c>
      <c r="F258">
        <f>IF(Skills!N10=TRUE,(Skills!L10/10)*(E258/1000),Skills!L10/10)+Skills!O10</f>
        <v/>
      </c>
      <c r="G258">
        <f>Skills!G10*IF(Skills!H10&gt;0,Skills!I10/Skills!H10,1)</f>
        <v/>
      </c>
      <c r="H258">
        <f>1-(1-Skills!J10/100)^Skills!K10</f>
        <v/>
      </c>
      <c r="I258" t="inlineStr">
        <is>
          <t>1</t>
        </is>
      </c>
      <c r="J258">
        <f>((Inputs!$B$6*(1+Inputs!$B$7/100))+(((Inputs!$B$12*(1+Inputs!$B$13/100))-(Inputs!$B$12*(1+Inputs!$B$13/100)))+0.25*(Inputs!$B$14-Inputs!$B$14))*(1+Inputs!$B$7/100))*(F258/100)</f>
        <v/>
      </c>
      <c r="K258">
        <f>J258*(1+((Inputs!$B$12*(1+Inputs!$B$13/100))*0.01+Inputs!$B$14*0.0025)/100)*(1+Inputs!$B$15/100)*(1+Inputs!$B$16/100)*(5000/(6000+Inputs!$B$42*(1-(Inputs!$B$19+0)/100)))*(1+(Inputs!$B$24+((C274=TRUE)*(F274-Calc!F26))+B284)/100)*(1+(IF(Skills!A10="EIGHT_LEGS_EASTON",Inputs!$B$17+((C271=TRUE)*(F271-Calc!F23))+((C275=TRUE)*(F275-Calc!F27)),Inputs!$B$18+0))/100)*((1+(((C265=TRUE)*F265)+((C272=TRUE)*(F272-Calc!F24)))/100)*I258)</f>
        <v/>
      </c>
      <c r="L258">
        <f>K258*(MIN(Inputs!$B$22+((C270=TRUE)*(F270-Calc!F22)),Inputs!$B$23+0)/100+(Inputs!$B$23+0)/100)/2</f>
        <v/>
      </c>
      <c r="M258">
        <f>L258*(1+(Inputs!$B$10+((C273=TRUE)*(F273-Calc!F25))+B283)/100)</f>
        <v/>
      </c>
      <c r="N258">
        <f>L258*(1-MIN((Inputs!$B$9+((C267=TRUE)*(F267-Calc!F19))+B278),100)/100)+M258*(MIN((Inputs!$B$9+((C267=TRUE)*(F267-Calc!F19))+B278),100)/100)</f>
        <v/>
      </c>
      <c r="O258">
        <f>(1-Summary!$B$55)*T258+Summary!$B$55*V258</f>
        <v/>
      </c>
      <c r="P258">
        <f>IF(B288=0,0,O258/B288)</f>
        <v/>
      </c>
      <c r="Q258">
        <f>IFERROR(1/IF(Inputs!$B$38="pvp",15,MAX(0.1,Skills!D10-IF(Skills!E10=TRUE,Inputs!$B$32,0))),0)</f>
        <v/>
      </c>
      <c r="R258">
        <f>IF(AND(Inputs!$B$38&lt;&gt;"pvp",Inputs!$B$43&gt;0),IF(MAX(0,Inputs!$B$43-B285)&lt;=0,0,(INT(MAX(0,Inputs!$B$43-B285)/IF(Inputs!$B$38="pvp",15,MAX(0.1,Skills!D10-IF(Skills!E10=TRUE,Inputs!$B$32,0))))+1)),0)</f>
        <v/>
      </c>
      <c r="S258">
        <f>IFERROR(O258/N258,0)</f>
        <v/>
      </c>
      <c r="T258">
        <f>IF(C258,(H258*N258*IF(AND(Inputs!$B$38&lt;&gt;"pvp",Inputs!$B$43&gt;0),((Skills!G10*((R258-1)*IF(Skills!H10&gt;0,Skills!I10/Skills!H10,1)+IF(Skills!H10&gt;0,MIN(Skills!I10,MAX(0,MAX(0,Inputs!$B$43-B285)-((R258-1)*IF(Inputs!$B$38="pvp",15,MAX(0.1,Skills!D10-IF(Skills!E10=TRUE,Inputs!$B$32,0))))))/Skills!H10,1)))/Inputs!$B$43),G258*Q258))*IF(Inputs!$B$38="pvp",1,1+((Inputs!$B$20+1)+0+Skills!P10)/100),0)</f>
        <v/>
      </c>
      <c r="V258">
        <f>IF(C258,(H258*N258*IF(AND(Inputs!$B$38&lt;&gt;"pvp",Inputs!$B$43&gt;0),((Skills!G10*((R258-1)*IF(Skills!H10&gt;0,Skills!I10/Skills!H10,1)+IF(Skills!H10&gt;0,MIN(Skills!I10,MAX(0,MAX(0,Inputs!$B$43-B285)-((R258-1)*IF(Inputs!$B$38="pvp",15,MAX(0.1,Skills!D10-IF(Skills!E10=TRUE,Inputs!$B$32,0))))))/Skills!H10,1)))/Inputs!$B$43),G258*Q258))*IF(Inputs!$B$38="pvp",1,(1+(Inputs!$B$21+Skills!Q10)/100)*(MIN(Skills!R10,Inputs!$B$37))),0)</f>
        <v/>
      </c>
    </row>
    <row r="259">
      <c r="A259">
        <f>Skills!A11</f>
        <v/>
      </c>
      <c r="B259">
        <f>Skills!B11</f>
        <v/>
      </c>
      <c r="C259">
        <f>Inputs!$B$3&gt;=107</f>
        <v/>
      </c>
      <c r="D259">
        <f>IF(Skills!C11=1,60+Inputs!$B$25+Inputs!$B$29,IF(Skills!C11=2,90+Inputs!$B$26+Inputs!$B$29,IF(Skills!C11=3,120+Inputs!$B$27+Inputs!$B$29,MAX(0,(Inputs!$B$3-100)*3)+Inputs!$B$28+Inputs!$B$29)))</f>
        <v/>
      </c>
      <c r="E259">
        <f>INDEX(FactorTable!$B$2:$Y$301, MATCH(ROUND(MIN(300,MAX(1,D259)),0), FactorTable!$A$2:$A$301,0), Skills!M11+1)</f>
        <v/>
      </c>
      <c r="F259">
        <f>IF(Skills!N11=TRUE,(Skills!L11/10)*(E259/1000),Skills!L11/10)+Skills!O11</f>
        <v/>
      </c>
      <c r="G259">
        <f>Skills!G11*IF(Skills!H11&gt;0,Skills!I11/Skills!H11,1)</f>
        <v/>
      </c>
      <c r="H259">
        <f>1-(1-Skills!J11/100)^Skills!K11</f>
        <v/>
      </c>
      <c r="I259" t="inlineStr">
        <is>
          <t>1</t>
        </is>
      </c>
      <c r="J259">
        <f>((Inputs!$B$6*(1+Inputs!$B$7/100))+(((Inputs!$B$12*(1+Inputs!$B$13/100))-(Inputs!$B$12*(1+Inputs!$B$13/100)))+0.25*(Inputs!$B$14-Inputs!$B$14))*(1+Inputs!$B$7/100))*(F259/100)</f>
        <v/>
      </c>
      <c r="K259">
        <f>J259*(1+((Inputs!$B$12*(1+Inputs!$B$13/100))*0.01+Inputs!$B$14*0.0025)/100)*(1+Inputs!$B$15/100)*(1+Inputs!$B$16/100)*(5000/(6000+Inputs!$B$42*(1-(Inputs!$B$19+0)/100)))*(1+(Inputs!$B$24+((C274=TRUE)*(F274-Calc!F26))+B284)/100)*(1+(IF(Skills!A11="EIGHT_LEGS_EASTON",Inputs!$B$17+((C271=TRUE)*(F271-Calc!F23))+((C275=TRUE)*(F275-Calc!F27)),Inputs!$B$18+0))/100)*((1+(((C265=TRUE)*F265)+((C272=TRUE)*(F272-Calc!F24)))/100)*I259)</f>
        <v/>
      </c>
      <c r="L259">
        <f>K259*(MIN(Inputs!$B$22+((C270=TRUE)*(F270-Calc!F22)),Inputs!$B$23+0)/100+(Inputs!$B$23+0)/100)/2</f>
        <v/>
      </c>
      <c r="M259">
        <f>L259*(1+(Inputs!$B$10+((C273=TRUE)*(F273-Calc!F25))+B283)/100)</f>
        <v/>
      </c>
      <c r="N259">
        <f>L259*(1-MIN((Inputs!$B$9+((C267=TRUE)*(F267-Calc!F19))+B278),100)/100)+M259*(MIN((Inputs!$B$9+((C267=TRUE)*(F267-Calc!F19))+B278),100)/100)</f>
        <v/>
      </c>
      <c r="O259">
        <f>(1-Summary!$B$55)*T259+Summary!$B$55*V259</f>
        <v/>
      </c>
      <c r="P259">
        <f>IF(B288=0,0,O259/B288)</f>
        <v/>
      </c>
      <c r="Q259">
        <f>IFERROR(1/IF(Inputs!$B$38="pvp",15,MAX(0.1,Skills!D11-IF(Skills!E11=TRUE,Inputs!$B$32,0))),0)</f>
        <v/>
      </c>
      <c r="R259">
        <f>IF(AND(Inputs!$B$38&lt;&gt;"pvp",Inputs!$B$43&gt;0),IF(MAX(0,Inputs!$B$43-B285)&lt;=0,0,(INT(MAX(0,Inputs!$B$43-B285)/IF(Inputs!$B$38="pvp",15,MAX(0.1,Skills!D11-IF(Skills!E11=TRUE,Inputs!$B$32,0))))+1)),0)</f>
        <v/>
      </c>
      <c r="S259">
        <f>IFERROR(O259/N259,0)</f>
        <v/>
      </c>
      <c r="T259">
        <f>IF(C259,(H259*N259*IF(AND(Inputs!$B$38&lt;&gt;"pvp",Inputs!$B$43&gt;0),((Skills!G11*((R259-1)*IF(Skills!H11&gt;0,Skills!I11/Skills!H11,1)+IF(Skills!H11&gt;0,MIN(Skills!I11,MAX(0,MAX(0,Inputs!$B$43-B285)-((R259-1)*IF(Inputs!$B$38="pvp",15,MAX(0.1,Skills!D11-IF(Skills!E11=TRUE,Inputs!$B$32,0))))))/Skills!H11,1)))/Inputs!$B$43),G259*Q259))*IF(Inputs!$B$38="pvp",1,1+((Inputs!$B$20+1)+0+Skills!P11)/100),0)</f>
        <v/>
      </c>
      <c r="V259">
        <f>IF(C259,(H259*N259*IF(AND(Inputs!$B$38&lt;&gt;"pvp",Inputs!$B$43&gt;0),((Skills!G11*((R259-1)*IF(Skills!H11&gt;0,Skills!I11/Skills!H11,1)+IF(Skills!H11&gt;0,MIN(Skills!I11,MAX(0,MAX(0,Inputs!$B$43-B285)-((R259-1)*IF(Inputs!$B$38="pvp",15,MAX(0.1,Skills!D11-IF(Skills!E11=TRUE,Inputs!$B$32,0))))))/Skills!H11,1)))/Inputs!$B$43),G259*Q259))*IF(Inputs!$B$38="pvp",1,(1+(Inputs!$B$21+Skills!Q11)/100)*(MIN(Skills!R11,Inputs!$B$37))),0)</f>
        <v/>
      </c>
    </row>
    <row r="260">
      <c r="A260">
        <f>Skills!A12</f>
        <v/>
      </c>
      <c r="B260">
        <f>Skills!B12</f>
        <v/>
      </c>
      <c r="C260">
        <f>Inputs!$B$3&gt;=110</f>
        <v/>
      </c>
      <c r="D260">
        <f>IF(Skills!C12=1,60+Inputs!$B$25+Inputs!$B$29,IF(Skills!C12=2,90+Inputs!$B$26+Inputs!$B$29,IF(Skills!C12=3,120+Inputs!$B$27+Inputs!$B$29,MAX(0,(Inputs!$B$3-100)*3)+Inputs!$B$28+Inputs!$B$29)))</f>
        <v/>
      </c>
      <c r="E260">
        <f>INDEX(FactorTable!$B$2:$Y$301, MATCH(ROUND(MIN(300,MAX(1,D260)),0), FactorTable!$A$2:$A$301,0), Skills!M12+1)</f>
        <v/>
      </c>
      <c r="F260">
        <f>IF(Skills!N12=TRUE,(Skills!L12/10)*(E260/1000),Skills!L12/10)+Skills!O12</f>
        <v/>
      </c>
      <c r="G260">
        <f>Skills!G12*IF(Skills!H12&gt;0,Skills!I12/Skills!H12,1)</f>
        <v/>
      </c>
      <c r="H260">
        <f>1-(1-Skills!J12/100)^Skills!K12</f>
        <v/>
      </c>
      <c r="I260" t="inlineStr">
        <is>
          <t>1</t>
        </is>
      </c>
      <c r="J260">
        <f>((Inputs!$B$6*(1+Inputs!$B$7/100))+(((Inputs!$B$12*(1+Inputs!$B$13/100))-(Inputs!$B$12*(1+Inputs!$B$13/100)))+0.25*(Inputs!$B$14-Inputs!$B$14))*(1+Inputs!$B$7/100))*(F260/100)</f>
        <v/>
      </c>
      <c r="K260">
        <f>J260*(1+((Inputs!$B$12*(1+Inputs!$B$13/100))*0.01+Inputs!$B$14*0.0025)/100)*(1+Inputs!$B$15/100)*(1+Inputs!$B$16/100)*(5000/(6000+Inputs!$B$42*(1-(Inputs!$B$19+0)/100)))*(1+(Inputs!$B$24+((C274=TRUE)*(F274-Calc!F26))+B284)/100)*(1+(IF(Skills!A12="EIGHT_LEGS_EASTON",Inputs!$B$17+((C271=TRUE)*(F271-Calc!F23))+((C275=TRUE)*(F275-Calc!F27)),Inputs!$B$18+0))/100)*((1+(((C265=TRUE)*F265)+((C272=TRUE)*(F272-Calc!F24)))/100)*I260)</f>
        <v/>
      </c>
      <c r="L260">
        <f>K260*(MIN(Inputs!$B$22+((C270=TRUE)*(F270-Calc!F22)),Inputs!$B$23+0)/100+(Inputs!$B$23+0)/100)/2</f>
        <v/>
      </c>
      <c r="M260">
        <f>L260*(1+(Inputs!$B$10+((C273=TRUE)*(F273-Calc!F25))+B283)/100)</f>
        <v/>
      </c>
      <c r="N260">
        <f>L260*(1-MIN((Inputs!$B$9+((C267=TRUE)*(F267-Calc!F19))+B278),100)/100)+M260*(MIN((Inputs!$B$9+((C267=TRUE)*(F267-Calc!F19))+B278),100)/100)</f>
        <v/>
      </c>
      <c r="O260">
        <f>(1-Summary!$B$55)*T260+Summary!$B$55*V260</f>
        <v/>
      </c>
      <c r="P260">
        <f>IF(B288=0,0,O260/B288)</f>
        <v/>
      </c>
      <c r="Q260">
        <f>IFERROR(1/IF(Inputs!$B$38="pvp",15,MAX(0.1,Skills!D12-IF(Skills!E12=TRUE,Inputs!$B$32,0))),0)</f>
        <v/>
      </c>
      <c r="R260">
        <f>IF(AND(Inputs!$B$38&lt;&gt;"pvp",Inputs!$B$43&gt;0),IF(MAX(0,Inputs!$B$43-B285)&lt;=0,0,(INT(MAX(0,Inputs!$B$43-B285)/IF(Inputs!$B$38="pvp",15,MAX(0.1,Skills!D12-IF(Skills!E12=TRUE,Inputs!$B$32,0))))+1)),0)</f>
        <v/>
      </c>
      <c r="S260">
        <f>IFERROR(O260/N260,0)</f>
        <v/>
      </c>
      <c r="T260">
        <f>IF(C260,(H260*N260*IF(AND(Inputs!$B$38&lt;&gt;"pvp",Inputs!$B$43&gt;0),((Skills!G12*((R260-1)*IF(Skills!H12&gt;0,Skills!I12/Skills!H12,1)+IF(Skills!H12&gt;0,MIN(Skills!I12,MAX(0,MAX(0,Inputs!$B$43-B285)-((R260-1)*IF(Inputs!$B$38="pvp",15,MAX(0.1,Skills!D12-IF(Skills!E12=TRUE,Inputs!$B$32,0))))))/Skills!H12,1)))/Inputs!$B$43),G260*Q260))*IF(Inputs!$B$38="pvp",1,1+((Inputs!$B$20+1)+0+Skills!P12)/100),0)</f>
        <v/>
      </c>
      <c r="V260">
        <f>IF(C260,(H260*N260*IF(AND(Inputs!$B$38&lt;&gt;"pvp",Inputs!$B$43&gt;0),((Skills!G12*((R260-1)*IF(Skills!H12&gt;0,Skills!I12/Skills!H12,1)+IF(Skills!H12&gt;0,MIN(Skills!I12,MAX(0,MAX(0,Inputs!$B$43-B285)-((R260-1)*IF(Inputs!$B$38="pvp",15,MAX(0.1,Skills!D12-IF(Skills!E12=TRUE,Inputs!$B$32,0))))))/Skills!H12,1)))/Inputs!$B$43),G260*Q260))*IF(Inputs!$B$38="pvp",1,(1+(Inputs!$B$21+Skills!Q12)/100)*(MIN(Skills!R12,Inputs!$B$37))),0)</f>
        <v/>
      </c>
    </row>
    <row r="261">
      <c r="A261">
        <f>Skills!A13</f>
        <v/>
      </c>
      <c r="B261">
        <f>Skills!B13</f>
        <v/>
      </c>
      <c r="C261">
        <f>Inputs!$B$3&gt;=110</f>
        <v/>
      </c>
      <c r="D261">
        <f>IF(Skills!C13=1,60+Inputs!$B$25+Inputs!$B$29,IF(Skills!C13=2,90+Inputs!$B$26+Inputs!$B$29,IF(Skills!C13=3,120+Inputs!$B$27+Inputs!$B$29,MAX(0,(Inputs!$B$3-100)*3)+Inputs!$B$28+Inputs!$B$29)))</f>
        <v/>
      </c>
      <c r="E261">
        <f>INDEX(FactorTable!$B$2:$Y$301, MATCH(ROUND(MIN(300,MAX(1,D261)),0), FactorTable!$A$2:$A$301,0), Skills!M13+1)</f>
        <v/>
      </c>
      <c r="F261">
        <f>IF(Skills!N13=TRUE,(Skills!L13/10)*(E261/1000),Skills!L13/10)+Skills!O13</f>
        <v/>
      </c>
      <c r="G261">
        <f>Skills!G13*IF(Skills!H13&gt;0,Skills!I13/Skills!H13,1)</f>
        <v/>
      </c>
      <c r="H261">
        <f>1-(1-Skills!J13/100)^Skills!K13</f>
        <v/>
      </c>
      <c r="I261" t="inlineStr">
        <is>
          <t>1</t>
        </is>
      </c>
      <c r="J261">
        <f>((Inputs!$B$6*(1+Inputs!$B$7/100))+(((Inputs!$B$12*(1+Inputs!$B$13/100))-(Inputs!$B$12*(1+Inputs!$B$13/100)))+0.25*(Inputs!$B$14-Inputs!$B$14))*(1+Inputs!$B$7/100))*(F261/100)</f>
        <v/>
      </c>
      <c r="K261">
        <f>J261*(1+((Inputs!$B$12*(1+Inputs!$B$13/100))*0.01+Inputs!$B$14*0.0025)/100)*(1+Inputs!$B$15/100)*(1+Inputs!$B$16/100)*(5000/(6000+Inputs!$B$42*(1-(Inputs!$B$19+0)/100)))*(1+(Inputs!$B$24+((C274=TRUE)*(F274-Calc!F26))+B284)/100)*(1+(IF(Skills!A13="EIGHT_LEGS_EASTON",Inputs!$B$17+((C271=TRUE)*(F271-Calc!F23))+((C275=TRUE)*(F275-Calc!F27)),Inputs!$B$18+0))/100)*((1+(((C265=TRUE)*F265)+((C272=TRUE)*(F272-Calc!F24)))/100)*I261)</f>
        <v/>
      </c>
      <c r="L261">
        <f>K261*(MIN(Inputs!$B$22+((C270=TRUE)*(F270-Calc!F22)),Inputs!$B$23+0)/100+(Inputs!$B$23+0)/100)/2</f>
        <v/>
      </c>
      <c r="M261">
        <f>L261*(1+(Inputs!$B$10+((C273=TRUE)*(F273-Calc!F25))+B283)/100)</f>
        <v/>
      </c>
      <c r="N261">
        <f>L261*(1-MIN((Inputs!$B$9+((C267=TRUE)*(F267-Calc!F19))+B278),100)/100)+M261*(MIN((Inputs!$B$9+((C267=TRUE)*(F267-Calc!F19))+B278),100)/100)</f>
        <v/>
      </c>
      <c r="O261">
        <f>(1-Summary!$B$55)*T261+Summary!$B$55*V261</f>
        <v/>
      </c>
      <c r="P261">
        <f>IF(B288=0,0,O261/B288)</f>
        <v/>
      </c>
      <c r="Q261">
        <f>IFERROR(1/IF(Inputs!$B$38="pvp",15,MAX(0.1,Skills!D13-IF(Skills!E13=TRUE,Inputs!$B$32,0))),0)</f>
        <v/>
      </c>
      <c r="R261">
        <f>IF(AND(Inputs!$B$38&lt;&gt;"pvp",Inputs!$B$43&gt;0),IF(MAX(0,Inputs!$B$43-B285)&lt;=0,0,(INT(MAX(0,Inputs!$B$43-B285)/IF(Inputs!$B$38="pvp",15,MAX(0.1,Skills!D13-IF(Skills!E13=TRUE,Inputs!$B$32,0))))+1)),0)</f>
        <v/>
      </c>
      <c r="S261">
        <f>IFERROR(O261/N261,0)</f>
        <v/>
      </c>
      <c r="T261">
        <f>IF(C261,(H261*N261*IF(AND(Inputs!$B$38&lt;&gt;"pvp",Inputs!$B$43&gt;0),((Skills!G13*((R261-1)*IF(Skills!H13&gt;0,Skills!I13/Skills!H13,1)+IF(Skills!H13&gt;0,MIN(Skills!I13,MAX(0,MAX(0,Inputs!$B$43-B285)-((R261-1)*IF(Inputs!$B$38="pvp",15,MAX(0.1,Skills!D13-IF(Skills!E13=TRUE,Inputs!$B$32,0))))))/Skills!H13,1)))/Inputs!$B$43),G261*Q261))*IF(Inputs!$B$38="pvp",1,1+((Inputs!$B$20+1)+0+Skills!P13)/100),0)</f>
        <v/>
      </c>
      <c r="V261">
        <f>IF(C261,(H261*N261*IF(AND(Inputs!$B$38&lt;&gt;"pvp",Inputs!$B$43&gt;0),((Skills!G13*((R261-1)*IF(Skills!H13&gt;0,Skills!I13/Skills!H13,1)+IF(Skills!H13&gt;0,MIN(Skills!I13,MAX(0,MAX(0,Inputs!$B$43-B285)-((R261-1)*IF(Inputs!$B$38="pvp",15,MAX(0.1,Skills!D13-IF(Skills!E13=TRUE,Inputs!$B$32,0))))))/Skills!H13,1)))/Inputs!$B$43),G261*Q261))*IF(Inputs!$B$38="pvp",1,(1+(Inputs!$B$21+Skills!Q13)/100)*(MIN(Skills!R13,Inputs!$B$37))),0)</f>
        <v/>
      </c>
    </row>
    <row r="262">
      <c r="A262">
        <f>Skills!A14</f>
        <v/>
      </c>
      <c r="B262">
        <f>Skills!B14</f>
        <v/>
      </c>
      <c r="C262">
        <f>Inputs!$B$3&gt;=125</f>
        <v/>
      </c>
      <c r="D262">
        <f>IF(Skills!C14=1,60+Inputs!$B$25+Inputs!$B$29,IF(Skills!C14=2,90+Inputs!$B$26+Inputs!$B$29,IF(Skills!C14=3,120+Inputs!$B$27+Inputs!$B$29,MAX(0,(Inputs!$B$3-100)*3)+Inputs!$B$28+Inputs!$B$29)))</f>
        <v/>
      </c>
      <c r="E262">
        <f>INDEX(FactorTable!$B$2:$Y$301, MATCH(ROUND(MIN(300,MAX(1,D262)),0), FactorTable!$A$2:$A$301,0), Skills!M14+1)</f>
        <v/>
      </c>
      <c r="F262">
        <f>IF(Skills!N14=TRUE,(Skills!L14/10)*(E262/1000),Skills!L14/10)+Skills!O14</f>
        <v/>
      </c>
      <c r="G262">
        <f>Skills!G14*IF(Skills!H14&gt;0,Skills!I14/Skills!H14,1)</f>
        <v/>
      </c>
      <c r="H262">
        <f>1-(1-Skills!J14/100)^Skills!K14</f>
        <v/>
      </c>
      <c r="I262" t="inlineStr">
        <is>
          <t>1</t>
        </is>
      </c>
      <c r="J262">
        <f>((Inputs!$B$6*(1+Inputs!$B$7/100))+(((Inputs!$B$12*(1+Inputs!$B$13/100))-(Inputs!$B$12*(1+Inputs!$B$13/100)))+0.25*(Inputs!$B$14-Inputs!$B$14))*(1+Inputs!$B$7/100))*(F262/100)</f>
        <v/>
      </c>
      <c r="K262">
        <f>J262*(1+((Inputs!$B$12*(1+Inputs!$B$13/100))*0.01+Inputs!$B$14*0.0025)/100)*(1+Inputs!$B$15/100)*(1+Inputs!$B$16/100)*(5000/(6000+Inputs!$B$42*(1-(Inputs!$B$19+0)/100)))*(1+(Inputs!$B$24+((C274=TRUE)*(F274-Calc!F26))+B284)/100)*(1+(IF(Skills!A14="EIGHT_LEGS_EASTON",Inputs!$B$17+((C271=TRUE)*(F271-Calc!F23))+((C275=TRUE)*(F275-Calc!F27)),Inputs!$B$18+0))/100)*((1+(((C265=TRUE)*F265)+((C272=TRUE)*(F272-Calc!F24)))/100)*I262)</f>
        <v/>
      </c>
      <c r="L262">
        <f>K262*(MIN(Inputs!$B$22+((C270=TRUE)*(F270-Calc!F22)),Inputs!$B$23+0)/100+(Inputs!$B$23+0)/100)/2</f>
        <v/>
      </c>
      <c r="M262">
        <f>L262*(1+(Inputs!$B$10+((C273=TRUE)*(F273-Calc!F25))+B283)/100)</f>
        <v/>
      </c>
      <c r="N262">
        <f>L262*(1-MIN((Inputs!$B$9+((C267=TRUE)*(F267-Calc!F19))+B278),100)/100)+M262*(MIN((Inputs!$B$9+((C267=TRUE)*(F267-Calc!F19))+B278),100)/100)</f>
        <v/>
      </c>
      <c r="O262">
        <f>(1-Summary!$B$55)*T262+Summary!$B$55*V262</f>
        <v/>
      </c>
      <c r="P262">
        <f>IF(B288=0,0,O262/B288)</f>
        <v/>
      </c>
      <c r="Q262" t="n">
        <v>0</v>
      </c>
      <c r="R262" t="n">
        <v>0</v>
      </c>
      <c r="S262">
        <f>IFERROR(O262/N262,0)</f>
        <v/>
      </c>
      <c r="T262">
        <f>IF(C262,(H262*N262*(B282+IF(AND(Inputs!$B$38&lt;&gt;"pvp",Inputs!$B$43&gt;0),((Skills!G8*((R256-1)*IF(Skills!H8&gt;0,Skills!I8/Skills!H8,1)+IF(Skills!H8&gt;0,MIN(Skills!I8,MAX(0,MAX(0,Inputs!$B$43-B285)-((R256-1)*IF(Inputs!$B$38="pvp",15,MAX(0.1,Skills!D8-IF(Skills!E8=TRUE,Inputs!$B$32,0))))))/Skills!H8,1)))/Inputs!$B$43),G256*Q256)+IF(AND(Inputs!$B$38&lt;&gt;"pvp",Inputs!$B$43&gt;0),((Skills!G11*((R259-1)*IF(Skills!H11&gt;0,Skills!I11/Skills!H11,1)+IF(Skills!H11&gt;0,MIN(Skills!I11,MAX(0,MAX(0,Inputs!$B$43-B285)-((R259-1)*IF(Inputs!$B$38="pvp",15,MAX(0.1,Skills!D11-IF(Skills!E11=TRUE,Inputs!$B$32,0))))))/Skills!H11,1)))/Inputs!$B$43),G259*Q259)))*IF(Inputs!$B$38="pvp",1,1+((Inputs!$B$20+1)+0+Skills!P14)/100),0)</f>
        <v/>
      </c>
      <c r="V262">
        <f>IF(C262,(H262*N262*(B282+IF(AND(Inputs!$B$38&lt;&gt;"pvp",Inputs!$B$43&gt;0),((Skills!G8*((R256-1)*IF(Skills!H8&gt;0,Skills!I8/Skills!H8,1)+IF(Skills!H8&gt;0,MIN(Skills!I8,MAX(0,MAX(0,Inputs!$B$43-B285)-((R256-1)*IF(Inputs!$B$38="pvp",15,MAX(0.1,Skills!D8-IF(Skills!E8=TRUE,Inputs!$B$32,0))))))/Skills!H8,1)))/Inputs!$B$43),G256*Q256)+IF(AND(Inputs!$B$38&lt;&gt;"pvp",Inputs!$B$43&gt;0),((Skills!G11*((R259-1)*IF(Skills!H11&gt;0,Skills!I11/Skills!H11,1)+IF(Skills!H11&gt;0,MIN(Skills!I11,MAX(0,MAX(0,Inputs!$B$43-B285)-((R259-1)*IF(Inputs!$B$38="pvp",15,MAX(0.1,Skills!D11-IF(Skills!E11=TRUE,Inputs!$B$32,0))))))/Skills!H11,1)))/Inputs!$B$43),G259*Q259)))*IF(Inputs!$B$38="pvp",1,(1+(Inputs!$B$21+Skills!Q14)/100)*(MIN(Skills!R14,Inputs!$B$37))),0)</f>
        <v/>
      </c>
    </row>
    <row r="263">
      <c r="A263">
        <f>Skills!A15</f>
        <v/>
      </c>
      <c r="B263">
        <f>Skills!B15</f>
        <v/>
      </c>
      <c r="C263">
        <f>Inputs!$B$3&gt;=100</f>
        <v/>
      </c>
      <c r="D263">
        <f>IF(Skills!C15=1,60+Inputs!$B$25+Inputs!$B$29,IF(Skills!C15=2,90+Inputs!$B$26+Inputs!$B$29,IF(Skills!C15=3,120+Inputs!$B$27+Inputs!$B$29,MAX(0,(Inputs!$B$3-100)*3)+Inputs!$B$28+Inputs!$B$29)))</f>
        <v/>
      </c>
      <c r="E263">
        <f>INDEX(FactorTable!$B$2:$Y$301, MATCH(ROUND(MIN(300,MAX(1,D263)),0), FactorTable!$A$2:$A$301,0), Skills!M15+1)</f>
        <v/>
      </c>
      <c r="F263">
        <f>IF(Skills!N15=TRUE,(Skills!L15/10)*(E263/1000),Skills!L15/10)+Skills!O15</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Skills!A16</f>
        <v/>
      </c>
      <c r="B264">
        <f>Skills!B16</f>
        <v/>
      </c>
      <c r="C264">
        <f>Inputs!$B$3&gt;=120</f>
        <v/>
      </c>
      <c r="D264">
        <f>IF(Skills!C16=1,60+Inputs!$B$25+Inputs!$B$29,IF(Skills!C16=2,90+Inputs!$B$26+Inputs!$B$29,IF(Skills!C16=3,120+Inputs!$B$27+Inputs!$B$29,MAX(0,(Inputs!$B$3-100)*3)+Inputs!$B$28+Inputs!$B$29)))</f>
        <v/>
      </c>
      <c r="E264">
        <f>INDEX(FactorTable!$B$2:$Y$301, MATCH(ROUND(MIN(300,MAX(1,D264)),0), FactorTable!$A$2:$A$301,0), Skills!M16+1)</f>
        <v/>
      </c>
      <c r="F264">
        <f>IF(Skills!N16=TRUE,(Skills!L16/10)*(E264/1000),Skills!L16/10)+Skills!O16</f>
        <v/>
      </c>
      <c r="G264" t="inlineStr"/>
      <c r="H264" t="inlineStr"/>
      <c r="I264" t="inlineStr">
        <is>
          <t>1</t>
        </is>
      </c>
      <c r="J264" t="inlineStr"/>
      <c r="K264" t="inlineStr"/>
      <c r="L264" t="inlineStr"/>
      <c r="M264" t="inlineStr"/>
      <c r="N264" t="inlineStr"/>
      <c r="O264" t="inlineStr"/>
      <c r="P264" t="inlineStr"/>
      <c r="Q264" t="inlineStr"/>
      <c r="R264" t="inlineStr"/>
      <c r="S264" t="inlineStr"/>
    </row>
    <row r="265">
      <c r="A265">
        <f>Skills!A17</f>
        <v/>
      </c>
      <c r="B265">
        <f>Skills!B17</f>
        <v/>
      </c>
      <c r="C265">
        <f>Inputs!$B$3&gt;=66</f>
        <v/>
      </c>
      <c r="D265">
        <f>IF(Skills!C17=1,60+Inputs!$B$25+Inputs!$B$29,IF(Skills!C17=2,90+Inputs!$B$26+Inputs!$B$29,IF(Skills!C17=3,120+Inputs!$B$27+Inputs!$B$29,MAX(0,(Inputs!$B$3-100)*3)+Inputs!$B$28+Inputs!$B$29)))</f>
        <v/>
      </c>
      <c r="E265">
        <f>INDEX(FactorTable!$B$2:$Y$301, MATCH(ROUND(MIN(300,MAX(1,D265)),0), FactorTable!$A$2:$A$301,0), Skills!M17+1)</f>
        <v/>
      </c>
      <c r="F265">
        <f>IF(Skills!N17=TRUE,(Skills!L17/10)*(E265/1000),Skills!L17/10)+Skills!O17</f>
        <v/>
      </c>
      <c r="G265">
        <f>Skills!G17*IF(Skills!H17&gt;0,Skills!I17/Skills!H17,1)</f>
        <v/>
      </c>
      <c r="H265">
        <f>1-(1-Skills!J17/100)^Skills!K17</f>
        <v/>
      </c>
      <c r="I265" t="inlineStr">
        <is>
          <t>1</t>
        </is>
      </c>
      <c r="J265" t="inlineStr"/>
      <c r="K265" t="inlineStr"/>
      <c r="L265" t="inlineStr"/>
      <c r="M265" t="inlineStr"/>
      <c r="N265" t="inlineStr"/>
      <c r="O265">
        <f>(1-Summary!$B$55)*T265+Summary!$B$55*V265</f>
        <v/>
      </c>
      <c r="P265">
        <f>IF(B288=0,0,O265/B288)</f>
        <v/>
      </c>
      <c r="Q265" t="n">
        <v>0</v>
      </c>
      <c r="R265" t="n">
        <v>0</v>
      </c>
      <c r="S265">
        <f>IFERROR(O265/N265,0)</f>
        <v/>
      </c>
      <c r="T265" t="n">
        <v>0</v>
      </c>
      <c r="V265" t="n">
        <v>0</v>
      </c>
    </row>
    <row r="266">
      <c r="A266">
        <f>Skills!A18</f>
        <v/>
      </c>
      <c r="B266">
        <f>Skills!B18</f>
        <v/>
      </c>
      <c r="C266">
        <f>Inputs!$B$3&gt;=115</f>
        <v/>
      </c>
      <c r="D266">
        <f>IF(Skills!C18=1,60+Inputs!$B$25+Inputs!$B$29,IF(Skills!C18=2,90+Inputs!$B$26+Inputs!$B$29,IF(Skills!C18=3,120+Inputs!$B$27+Inputs!$B$29,MAX(0,(Inputs!$B$3-100)*3)+Inputs!$B$28+Inputs!$B$29)))</f>
        <v/>
      </c>
      <c r="E266">
        <f>INDEX(FactorTable!$B$2:$Y$301, MATCH(ROUND(MIN(300,MAX(1,D266)),0), FactorTable!$A$2:$A$301,0), Skills!M18+1)</f>
        <v/>
      </c>
      <c r="F266">
        <f>IF(Skills!N18=TRUE,(Skills!L18/10)*(E266/1000),Skills!L18/10)+Skills!O18</f>
        <v/>
      </c>
      <c r="G266">
        <f>Skills!G18*IF(Skills!H18&gt;0,Skills!I18/Skills!H18,1)</f>
        <v/>
      </c>
      <c r="H266">
        <f>1-(1-Skills!J18/100)^Skills!K18</f>
        <v/>
      </c>
      <c r="I266" t="inlineStr">
        <is>
          <t>1</t>
        </is>
      </c>
      <c r="J266" t="inlineStr"/>
      <c r="K266" t="inlineStr"/>
      <c r="L266" t="inlineStr"/>
      <c r="M266" t="inlineStr"/>
      <c r="N266" t="inlineStr"/>
      <c r="O266">
        <f>(1-Summary!$B$55)*T266+Summary!$B$55*V266</f>
        <v/>
      </c>
      <c r="P266">
        <f>IF(B288=0,0,O266/B288)</f>
        <v/>
      </c>
      <c r="Q266" t="n">
        <v>0</v>
      </c>
      <c r="R266" t="n">
        <v>0</v>
      </c>
      <c r="S266">
        <f>IFERROR(O266/N266,0)</f>
        <v/>
      </c>
      <c r="T266" t="n">
        <v>0</v>
      </c>
      <c r="V266" t="n">
        <v>0</v>
      </c>
    </row>
    <row r="267">
      <c r="A267">
        <f>Skills!A19</f>
        <v/>
      </c>
      <c r="B267">
        <f>Skills!B19</f>
        <v/>
      </c>
      <c r="C267">
        <f>Inputs!$B$3&gt;=15</f>
        <v/>
      </c>
      <c r="D267">
        <f>IF(Skills!C19=1,60+Inputs!$B$25+Inputs!$B$29,IF(Skills!C19=2,90+Inputs!$B$26+Inputs!$B$29,IF(Skills!C19=3,120+Inputs!$B$27+Inputs!$B$29,MAX(0,(Inputs!$B$3-100)*3)+Inputs!$B$28+Inputs!$B$29)))</f>
        <v/>
      </c>
      <c r="E267">
        <f>INDEX(FactorTable!$B$2:$Y$301, MATCH(ROUND(MIN(300,MAX(1,D267)),0), FactorTable!$A$2:$A$301,0), Skills!M19+1)</f>
        <v/>
      </c>
      <c r="F267">
        <f>IF(Skills!N19=TRUE,(Skills!L19/10)*(E267/1000),Skills!L19/10)+Skills!O19</f>
        <v/>
      </c>
      <c r="G267">
        <f>Skills!G19*IF(Skills!H19&gt;0,Skills!I19/Skills!H19,1)</f>
        <v/>
      </c>
      <c r="H267">
        <f>1-(1-Skills!J19/100)^Skills!K19</f>
        <v/>
      </c>
      <c r="I267" t="inlineStr">
        <is>
          <t>1</t>
        </is>
      </c>
      <c r="J267" t="inlineStr"/>
      <c r="K267" t="inlineStr"/>
      <c r="L267" t="inlineStr"/>
      <c r="M267" t="inlineStr"/>
      <c r="N267" t="inlineStr"/>
      <c r="O267">
        <f>(1-Summary!$B$55)*T267+Summary!$B$55*V267</f>
        <v/>
      </c>
      <c r="P267">
        <f>IF(B288=0,0,O267/B288)</f>
        <v/>
      </c>
      <c r="Q267" t="n">
        <v>0</v>
      </c>
      <c r="R267" t="n">
        <v>0</v>
      </c>
      <c r="S267">
        <f>IFERROR(O267/N267,0)</f>
        <v/>
      </c>
      <c r="T267" t="n">
        <v>0</v>
      </c>
      <c r="V267" t="n">
        <v>0</v>
      </c>
    </row>
    <row r="268">
      <c r="A268">
        <f>Skills!A20</f>
        <v/>
      </c>
      <c r="B268">
        <f>Skills!B20</f>
        <v/>
      </c>
      <c r="C268">
        <f>Inputs!$B$3&gt;=10</f>
        <v/>
      </c>
      <c r="D268">
        <f>IF(Skills!C20=1,60+Inputs!$B$25+Inputs!$B$29,IF(Skills!C20=2,90+Inputs!$B$26+Inputs!$B$29,IF(Skills!C20=3,120+Inputs!$B$27+Inputs!$B$29,MAX(0,(Inputs!$B$3-100)*3)+Inputs!$B$28+Inputs!$B$29)))</f>
        <v/>
      </c>
      <c r="E268">
        <f>INDEX(FactorTable!$B$2:$Y$301, MATCH(ROUND(MIN(300,MAX(1,D268)),0), FactorTable!$A$2:$A$301,0), Skills!M20+1)</f>
        <v/>
      </c>
      <c r="F268">
        <f>IF(Skills!N20=TRUE,(Skills!L20/10)*(E268/1000),Skills!L20/10)+Skills!O20</f>
        <v/>
      </c>
      <c r="G268">
        <f>Skills!G20*IF(Skills!H20&gt;0,Skills!I20/Skills!H20,1)</f>
        <v/>
      </c>
      <c r="H268">
        <f>1-(1-Skills!J20/100)^Skills!K20</f>
        <v/>
      </c>
      <c r="I268" t="inlineStr">
        <is>
          <t>1</t>
        </is>
      </c>
      <c r="J268" t="inlineStr"/>
      <c r="K268" t="inlineStr"/>
      <c r="L268" t="inlineStr"/>
      <c r="M268" t="inlineStr"/>
      <c r="N268" t="inlineStr"/>
      <c r="O268">
        <f>(1-Summary!$B$55)*T268+Summary!$B$55*V268</f>
        <v/>
      </c>
      <c r="P268">
        <f>IF(B288=0,0,O268/B288)</f>
        <v/>
      </c>
      <c r="Q268" t="n">
        <v>0</v>
      </c>
      <c r="R268" t="n">
        <v>0</v>
      </c>
      <c r="S268">
        <f>IFERROR(O268/N268,0)</f>
        <v/>
      </c>
      <c r="T268" t="n">
        <v>0</v>
      </c>
      <c r="V268" t="n">
        <v>0</v>
      </c>
    </row>
    <row r="269">
      <c r="A269">
        <f>Skills!A21</f>
        <v/>
      </c>
      <c r="B269">
        <f>Skills!B21</f>
        <v/>
      </c>
      <c r="C269">
        <f>Inputs!$B$3&gt;=33</f>
        <v/>
      </c>
      <c r="D269">
        <f>IF(Skills!C21=1,60+Inputs!$B$25+Inputs!$B$29,IF(Skills!C21=2,90+Inputs!$B$26+Inputs!$B$29,IF(Skills!C21=3,120+Inputs!$B$27+Inputs!$B$29,MAX(0,(Inputs!$B$3-100)*3)+Inputs!$B$28+Inputs!$B$29)))</f>
        <v/>
      </c>
      <c r="E269">
        <f>INDEX(FactorTable!$B$2:$Y$301, MATCH(ROUND(MIN(300,MAX(1,D269)),0), FactorTable!$A$2:$A$301,0), Skills!M21+1)</f>
        <v/>
      </c>
      <c r="F269">
        <f>IF(Skills!N21=TRUE,(Skills!L21/10)*(E269/1000),Skills!L21/10)+Skills!O21</f>
        <v/>
      </c>
      <c r="G269">
        <f>Skills!G21*IF(Skills!H21&gt;0,Skills!I21/Skills!H21,1)</f>
        <v/>
      </c>
      <c r="H269">
        <f>1-(1-Skills!J21/100)^Skills!K21</f>
        <v/>
      </c>
      <c r="I269" t="inlineStr">
        <is>
          <t>1</t>
        </is>
      </c>
      <c r="J269" t="inlineStr"/>
      <c r="K269" t="inlineStr"/>
      <c r="L269" t="inlineStr"/>
      <c r="M269" t="inlineStr"/>
      <c r="N269" t="inlineStr"/>
      <c r="O269">
        <f>(1-Summary!$B$55)*T269+Summary!$B$55*V269</f>
        <v/>
      </c>
      <c r="P269">
        <f>IF(B288=0,0,O269/B288)</f>
        <v/>
      </c>
      <c r="Q269" t="n">
        <v>0</v>
      </c>
      <c r="R269" t="n">
        <v>0</v>
      </c>
      <c r="S269">
        <f>IFERROR(O269/N269,0)</f>
        <v/>
      </c>
      <c r="T269" t="n">
        <v>0</v>
      </c>
      <c r="V269" t="n">
        <v>0</v>
      </c>
    </row>
    <row r="270">
      <c r="A270">
        <f>Skills!A22</f>
        <v/>
      </c>
      <c r="B270">
        <f>Skills!B22</f>
        <v/>
      </c>
      <c r="C270">
        <f>Inputs!$B$3&gt;=43</f>
        <v/>
      </c>
      <c r="D270">
        <f>IF(Skills!C22=1,60+Inputs!$B$25+Inputs!$B$29,IF(Skills!C22=2,90+Inputs!$B$26+Inputs!$B$29,IF(Skills!C22=3,120+Inputs!$B$27+Inputs!$B$29,MAX(0,(Inputs!$B$3-100)*3)+Inputs!$B$28+Inputs!$B$29)))</f>
        <v/>
      </c>
      <c r="E270">
        <f>INDEX(FactorTable!$B$2:$Y$301, MATCH(ROUND(MIN(300,MAX(1,D270)),0), FactorTable!$A$2:$A$301,0), Skills!M22+1)</f>
        <v/>
      </c>
      <c r="F270">
        <f>IF(Skills!N22=TRUE,(Skills!L22/10)*(E270/1000),Skills!L22/10)+Skills!O22</f>
        <v/>
      </c>
      <c r="G270">
        <f>Skills!G22*IF(Skills!H22&gt;0,Skills!I22/Skills!H22,1)</f>
        <v/>
      </c>
      <c r="H270">
        <f>1-(1-Skills!J22/100)^Skills!K22</f>
        <v/>
      </c>
      <c r="I270" t="inlineStr">
        <is>
          <t>1</t>
        </is>
      </c>
      <c r="J270" t="inlineStr"/>
      <c r="K270" t="inlineStr"/>
      <c r="L270" t="inlineStr"/>
      <c r="M270" t="inlineStr"/>
      <c r="N270" t="inlineStr"/>
      <c r="O270">
        <f>(1-Summary!$B$55)*T270+Summary!$B$55*V270</f>
        <v/>
      </c>
      <c r="P270">
        <f>IF(B288=0,0,O270/B288)</f>
        <v/>
      </c>
      <c r="Q270" t="n">
        <v>0</v>
      </c>
      <c r="R270" t="n">
        <v>0</v>
      </c>
      <c r="S270">
        <f>IFERROR(O270/N270,0)</f>
        <v/>
      </c>
      <c r="T270" t="n">
        <v>0</v>
      </c>
      <c r="V270" t="n">
        <v>0</v>
      </c>
    </row>
    <row r="271">
      <c r="A271">
        <f>Skills!A23</f>
        <v/>
      </c>
      <c r="B271">
        <f>Skills!B23</f>
        <v/>
      </c>
      <c r="C271">
        <f>Inputs!$B$3&gt;=38</f>
        <v/>
      </c>
      <c r="D271">
        <f>IF(Skills!C23=1,60+Inputs!$B$25+Inputs!$B$29,IF(Skills!C23=2,90+Inputs!$B$26+Inputs!$B$29,IF(Skills!C23=3,120+Inputs!$B$27+Inputs!$B$29,MAX(0,(Inputs!$B$3-100)*3)+Inputs!$B$28+Inputs!$B$29)))</f>
        <v/>
      </c>
      <c r="E271">
        <f>INDEX(FactorTable!$B$2:$Y$301, MATCH(ROUND(MIN(300,MAX(1,D271)),0), FactorTable!$A$2:$A$301,0), Skills!M23+1)</f>
        <v/>
      </c>
      <c r="F271">
        <f>IF(Skills!N23=TRUE,(Skills!L23/10)*(E271/1000),Skills!L23/10)+Skills!O23</f>
        <v/>
      </c>
      <c r="G271">
        <f>Skills!G23*IF(Skills!H23&gt;0,Skills!I23/Skills!H23,1)</f>
        <v/>
      </c>
      <c r="H271">
        <f>1-(1-Skills!J23/100)^Skills!K23</f>
        <v/>
      </c>
      <c r="I271" t="inlineStr">
        <is>
          <t>1</t>
        </is>
      </c>
      <c r="J271" t="inlineStr"/>
      <c r="K271" t="inlineStr"/>
      <c r="L271" t="inlineStr"/>
      <c r="M271" t="inlineStr"/>
      <c r="N271" t="inlineStr"/>
      <c r="O271">
        <f>(1-Summary!$B$55)*T271+Summary!$B$55*V271</f>
        <v/>
      </c>
      <c r="P271">
        <f>IF(B288=0,0,O271/B288)</f>
        <v/>
      </c>
      <c r="Q271" t="n">
        <v>0</v>
      </c>
      <c r="R271" t="n">
        <v>0</v>
      </c>
      <c r="S271">
        <f>IFERROR(O271/N271,0)</f>
        <v/>
      </c>
      <c r="T271" t="n">
        <v>0</v>
      </c>
      <c r="V271" t="n">
        <v>0</v>
      </c>
    </row>
    <row r="272">
      <c r="A272">
        <f>Skills!A24</f>
        <v/>
      </c>
      <c r="B272">
        <f>Skills!B24</f>
        <v/>
      </c>
      <c r="C272">
        <f>Inputs!$B$3&gt;=40</f>
        <v/>
      </c>
      <c r="D272">
        <f>IF(Skills!C24=1,60+Inputs!$B$25+Inputs!$B$29,IF(Skills!C24=2,90+Inputs!$B$26+Inputs!$B$29,IF(Skills!C24=3,120+Inputs!$B$27+Inputs!$B$29,MAX(0,(Inputs!$B$3-100)*3)+Inputs!$B$28+Inputs!$B$29)))</f>
        <v/>
      </c>
      <c r="E272">
        <f>INDEX(FactorTable!$B$2:$Y$301, MATCH(ROUND(MIN(300,MAX(1,D272)),0), FactorTable!$A$2:$A$301,0), Skills!M24+1)</f>
        <v/>
      </c>
      <c r="F272">
        <f>IF(Skills!N24=TRUE,(Skills!L24/10)*(E272/1000),Skills!L24/10)+Skills!O24</f>
        <v/>
      </c>
      <c r="G272">
        <f>Skills!G24*IF(Skills!H24&gt;0,Skills!I24/Skills!H24,1)</f>
        <v/>
      </c>
      <c r="H272">
        <f>1-(1-Skills!J24/100)^Skills!K24</f>
        <v/>
      </c>
      <c r="I272" t="inlineStr">
        <is>
          <t>1</t>
        </is>
      </c>
      <c r="J272" t="inlineStr"/>
      <c r="K272" t="inlineStr"/>
      <c r="L272" t="inlineStr"/>
      <c r="M272" t="inlineStr"/>
      <c r="N272" t="inlineStr"/>
      <c r="O272">
        <f>(1-Summary!$B$55)*T272+Summary!$B$55*V272</f>
        <v/>
      </c>
      <c r="P272">
        <f>IF(B288=0,0,O272/B288)</f>
        <v/>
      </c>
      <c r="Q272" t="n">
        <v>0</v>
      </c>
      <c r="R272" t="n">
        <v>0</v>
      </c>
      <c r="S272">
        <f>IFERROR(O272/N272,0)</f>
        <v/>
      </c>
      <c r="T272" t="n">
        <v>0</v>
      </c>
      <c r="V272" t="n">
        <v>0</v>
      </c>
    </row>
    <row r="273">
      <c r="A273">
        <f>Skills!A25</f>
        <v/>
      </c>
      <c r="B273">
        <f>Skills!B25</f>
        <v/>
      </c>
      <c r="C273">
        <f>Inputs!$B$3&gt;=72</f>
        <v/>
      </c>
      <c r="D273">
        <f>IF(Skills!C25=1,60+Inputs!$B$25+Inputs!$B$29,IF(Skills!C25=2,90+Inputs!$B$26+Inputs!$B$29,IF(Skills!C25=3,120+Inputs!$B$27+Inputs!$B$29,MAX(0,(Inputs!$B$3-100)*3)+Inputs!$B$28+Inputs!$B$29)))</f>
        <v/>
      </c>
      <c r="E273">
        <f>INDEX(FactorTable!$B$2:$Y$301, MATCH(ROUND(MIN(300,MAX(1,D273)),0), FactorTable!$A$2:$A$301,0), Skills!M25+1)</f>
        <v/>
      </c>
      <c r="F273">
        <f>IF(Skills!N25=TRUE,(Skills!L25/10)*(E273/1000),Skills!L25/10)+Skills!O25</f>
        <v/>
      </c>
      <c r="G273">
        <f>Skills!G25*IF(Skills!H25&gt;0,Skills!I25/Skills!H25,1)</f>
        <v/>
      </c>
      <c r="H273">
        <f>1-(1-Skills!J25/100)^Skills!K25</f>
        <v/>
      </c>
      <c r="I273" t="inlineStr">
        <is>
          <t>1</t>
        </is>
      </c>
      <c r="J273" t="inlineStr"/>
      <c r="K273" t="inlineStr"/>
      <c r="L273" t="inlineStr"/>
      <c r="M273" t="inlineStr"/>
      <c r="N273" t="inlineStr"/>
      <c r="O273">
        <f>(1-Summary!$B$55)*T273+Summary!$B$55*V273</f>
        <v/>
      </c>
      <c r="P273">
        <f>IF(B288=0,0,O273/B288)</f>
        <v/>
      </c>
      <c r="Q273" t="n">
        <v>0</v>
      </c>
      <c r="R273" t="n">
        <v>0</v>
      </c>
      <c r="S273">
        <f>IFERROR(O273/N273,0)</f>
        <v/>
      </c>
      <c r="T273" t="n">
        <v>0</v>
      </c>
      <c r="V273" t="n">
        <v>0</v>
      </c>
    </row>
    <row r="274">
      <c r="A274">
        <f>Skills!A26</f>
        <v/>
      </c>
      <c r="B274">
        <f>Skills!B26</f>
        <v/>
      </c>
      <c r="C274">
        <f>Inputs!$B$3&gt;=75</f>
        <v/>
      </c>
      <c r="D274">
        <f>IF(Skills!C26=1,60+Inputs!$B$25+Inputs!$B$29,IF(Skills!C26=2,90+Inputs!$B$26+Inputs!$B$29,IF(Skills!C26=3,120+Inputs!$B$27+Inputs!$B$29,MAX(0,(Inputs!$B$3-100)*3)+Inputs!$B$28+Inputs!$B$29)))</f>
        <v/>
      </c>
      <c r="E274">
        <f>INDEX(FactorTable!$B$2:$Y$301, MATCH(ROUND(MIN(300,MAX(1,D274)),0), FactorTable!$A$2:$A$301,0), Skills!M26+1)</f>
        <v/>
      </c>
      <c r="F274">
        <f>IF(Skills!N26=TRUE,(Skills!L26/10)*(E274/1000),Skills!L26/10)+Skills!O26</f>
        <v/>
      </c>
      <c r="G274">
        <f>Skills!G26*IF(Skills!H26&gt;0,Skills!I26/Skills!H26,1)</f>
        <v/>
      </c>
      <c r="H274">
        <f>1-(1-Skills!J26/100)^Skills!K26</f>
        <v/>
      </c>
      <c r="I274" t="inlineStr">
        <is>
          <t>1</t>
        </is>
      </c>
      <c r="J274" t="inlineStr"/>
      <c r="K274" t="inlineStr"/>
      <c r="L274" t="inlineStr"/>
      <c r="M274" t="inlineStr"/>
      <c r="N274" t="inlineStr"/>
      <c r="O274">
        <f>(1-Summary!$B$55)*T274+Summary!$B$55*V274</f>
        <v/>
      </c>
      <c r="P274">
        <f>IF(B288=0,0,O274/B288)</f>
        <v/>
      </c>
      <c r="Q274" t="n">
        <v>0</v>
      </c>
      <c r="R274" t="n">
        <v>0</v>
      </c>
      <c r="S274">
        <f>IFERROR(O274/N274,0)</f>
        <v/>
      </c>
      <c r="T274" t="n">
        <v>0</v>
      </c>
      <c r="V274" t="n">
        <v>0</v>
      </c>
    </row>
    <row r="275">
      <c r="A275">
        <f>Skills!A27</f>
        <v/>
      </c>
      <c r="B275">
        <f>Skills!B27</f>
        <v/>
      </c>
      <c r="C275">
        <f>Inputs!$B$3&gt;=117</f>
        <v/>
      </c>
      <c r="D275">
        <f>IF(Skills!C27=1,60+Inputs!$B$25+Inputs!$B$29,IF(Skills!C27=2,90+Inputs!$B$26+Inputs!$B$29,IF(Skills!C27=3,120+Inputs!$B$27+Inputs!$B$29,MAX(0,(Inputs!$B$3-100)*3)+Inputs!$B$28+Inputs!$B$29)))</f>
        <v/>
      </c>
      <c r="E275">
        <f>INDEX(FactorTable!$B$2:$Y$301, MATCH(ROUND(MIN(300,MAX(1,D275)),0), FactorTable!$A$2:$A$301,0), Skills!M27+1)</f>
        <v/>
      </c>
      <c r="F275">
        <f>IF(Skills!N27=TRUE,(Skills!L27/10)*(E275/1000),Skills!L27/10)+Skills!O27</f>
        <v/>
      </c>
      <c r="G275">
        <f>Skills!G27*IF(Skills!H27&gt;0,Skills!I27/Skills!H27,1)</f>
        <v/>
      </c>
      <c r="H275">
        <f>1-(1-Skills!J27/100)^Skills!K27</f>
        <v/>
      </c>
      <c r="I275" t="inlineStr">
        <is>
          <t>1</t>
        </is>
      </c>
      <c r="J275" t="inlineStr"/>
      <c r="K275" t="inlineStr"/>
      <c r="L275" t="inlineStr"/>
      <c r="M275" t="inlineStr"/>
      <c r="N275" t="inlineStr"/>
      <c r="O275">
        <f>(1-Summary!$B$55)*T275+Summary!$B$55*V275</f>
        <v/>
      </c>
      <c r="P275">
        <f>IF(B288=0,0,O275/B288)</f>
        <v/>
      </c>
      <c r="Q275" t="n">
        <v>0</v>
      </c>
      <c r="R275" t="n">
        <v>0</v>
      </c>
      <c r="S275">
        <f>IFERROR(O275/N275,0)</f>
        <v/>
      </c>
      <c r="T275" t="n">
        <v>0</v>
      </c>
      <c r="V275" t="n">
        <v>0</v>
      </c>
    </row>
    <row r="277">
      <c r="A277" t="inlineStr">
        <is>
          <t>Attack% Bucket Multiplier</t>
        </is>
      </c>
      <c r="B277">
        <f>(1+(((C265=TRUE)*F265)+((C272=TRUE)*(F272-Calc!F24)))/100)</f>
        <v/>
      </c>
    </row>
    <row r="278">
      <c r="A278" t="inlineStr">
        <is>
          <t>Global Crit Rate Bonus %</t>
        </is>
      </c>
      <c r="B278" t="n">
        <v>0</v>
      </c>
    </row>
    <row r="279">
      <c r="A279" t="inlineStr">
        <is>
          <t>Attack Speed Buff Bonus % (unused)</t>
        </is>
      </c>
      <c r="B279" t="n">
        <v>0</v>
      </c>
    </row>
    <row r="280">
      <c r="A280" t="inlineStr">
        <is>
          <t>Actions Per Second</t>
        </is>
      </c>
      <c r="B280">
        <f>1+MIN(150,150*(1-(1-(Inputs!$B$11+((C268=TRUE)*(F268-Calc!F20))+((C269=TRUE)*(F269-Calc!F21)))/150)*(1-B279/150)))/100</f>
        <v/>
      </c>
    </row>
    <row r="281">
      <c r="A281" t="inlineStr">
        <is>
          <t>Skill + Buff Cast Rate</t>
        </is>
      </c>
      <c r="B281">
        <f>IF(AND(Inputs!$B$38&lt;&gt;"pvp",Inputs!$B$43&gt;0),SUMPRODUCT((Skills!E2:E27=TRUE)*(C250:C275=TRUE)*R250:R275*Skills!F2:F27)/Inputs!$B$43,SUMPRODUCT((Skills!E2:E27=TRUE)*(C250:C275=TRUE)*Q250:Q275*Skills!F2:F27))</f>
        <v/>
      </c>
    </row>
    <row r="282">
      <c r="A282" t="inlineStr">
        <is>
          <t>Eight-Legs Easton Casts Per Second</t>
        </is>
      </c>
      <c r="B282">
        <f>MAX(0,B280-B281)</f>
        <v/>
      </c>
    </row>
    <row r="283">
      <c r="A283" t="inlineStr">
        <is>
          <t>Global Critical Damage Bonus % (unused)</t>
        </is>
      </c>
      <c r="B283" t="n">
        <v>0</v>
      </c>
    </row>
    <row r="284">
      <c r="A284" t="inlineStr">
        <is>
          <t>Global Final Damage Bonus % (Jolly Roger only)</t>
        </is>
      </c>
      <c r="B284">
        <f>((C266=TRUE)*F266)</f>
        <v/>
      </c>
    </row>
    <row r="285">
      <c r="A285" t="inlineStr">
        <is>
          <t>Buff-Casting Startup Delay (s, fixed-duration only)</t>
        </is>
      </c>
      <c r="B285">
        <f>IF(AND(Inputs!$B$38&lt;&gt;"pvp",Inputs!$B$43&gt;0),SUMPRODUCT((Skills!T2:T27&gt;0)*(Skills!E2:E27=TRUE)*(C250:C275=TRUE))/B280,0)</f>
        <v/>
      </c>
    </row>
    <row r="286">
      <c r="A286" t="inlineStr">
        <is>
          <t>Boss-Only Total DPS (this block's swept value)</t>
        </is>
      </c>
      <c r="B286">
        <f>SUM(T250:T275)</f>
        <v/>
      </c>
    </row>
    <row r="287">
      <c r="A287" t="inlineStr">
        <is>
          <t>Normal-Only Total DPS (this block's swept value)</t>
        </is>
      </c>
      <c r="B287">
        <f>SUM(V250:V275)</f>
        <v/>
      </c>
    </row>
    <row r="288">
      <c r="A288" s="5" t="inlineStr">
        <is>
          <t>TOTAL DPS</t>
        </is>
      </c>
      <c r="B288" s="5">
        <f>SUM(O250:O275)</f>
        <v/>
      </c>
    </row>
    <row r="291">
      <c r="A291" s="5" t="inlineStr">
        <is>
          <t>Stat: NORMAL_DAMAGE %</t>
        </is>
      </c>
    </row>
    <row r="292">
      <c r="A292" s="9" t="inlineStr">
        <is>
          <t>Key</t>
        </is>
      </c>
      <c r="B292" s="9" t="inlineStr">
        <is>
          <t>Name</t>
        </is>
      </c>
      <c r="C292" s="9" t="inlineStr">
        <is>
          <t>Unlocked</t>
        </is>
      </c>
      <c r="D292" s="9" t="inlineStr">
        <is>
          <t>InputLevel</t>
        </is>
      </c>
      <c r="E292" s="9" t="inlineStr">
        <is>
          <t>Factor</t>
        </is>
      </c>
      <c r="F292" s="9" t="inlineStr">
        <is>
          <t>CoefficientPercent</t>
        </is>
      </c>
      <c r="G292" s="9" t="inlineStr">
        <is>
          <t>EffectiveHits</t>
        </is>
      </c>
      <c r="H292" s="9" t="inlineStr">
        <is>
          <t>ProcProbability</t>
        </is>
      </c>
      <c r="I292" s="9" t="inlineStr">
        <is>
          <t>MapleHeroMultiplier</t>
        </is>
      </c>
      <c r="J292" s="9" t="inlineStr">
        <is>
          <t>BaseDamage</t>
        </is>
      </c>
      <c r="K292" s="9" t="inlineStr">
        <is>
          <t>BaseHitDamage</t>
        </is>
      </c>
      <c r="L292" s="9" t="inlineStr">
        <is>
          <t>NonCritAvg</t>
        </is>
      </c>
      <c r="M292" s="9" t="inlineStr">
        <is>
          <t>CritAvg</t>
        </is>
      </c>
      <c r="N292" s="9" t="inlineStr">
        <is>
          <t>ExpectedDamage(perHit)</t>
        </is>
      </c>
      <c r="O292" s="9" t="inlineStr">
        <is>
          <t>DPS</t>
        </is>
      </c>
      <c r="P292" s="9" t="inlineStr">
        <is>
          <t>% of Total</t>
        </is>
      </c>
      <c r="Q292" s="9" t="inlineStr">
        <is>
          <t>InvCooldown</t>
        </is>
      </c>
      <c r="R292" s="9" t="inlineStr">
        <is>
          <t>CastsInFight</t>
        </is>
      </c>
      <c r="S292" s="9" t="inlineStr">
        <is>
          <t>HitRate(perSec)</t>
        </is>
      </c>
      <c r="U292" t="inlineStr">
        <is>
          <t>helpers</t>
        </is>
      </c>
    </row>
    <row r="293">
      <c r="A293">
        <f>Skills!A2</f>
        <v/>
      </c>
      <c r="B293">
        <f>Skills!B2</f>
        <v/>
      </c>
      <c r="C293">
        <f>Inputs!$B$3&gt;=100</f>
        <v/>
      </c>
      <c r="D293" t="inlineStr"/>
      <c r="E293" t="inlineStr"/>
      <c r="F293">
        <f>U295+Skills!O2</f>
        <v/>
      </c>
      <c r="G293">
        <f>Skills!G2*IF(Skills!H2&gt;0,Skills!I2/Skills!H2,1)</f>
        <v/>
      </c>
      <c r="H293">
        <f>1-(1-Skills!J2/100)^Skills!K2</f>
        <v/>
      </c>
      <c r="I293" t="inlineStr">
        <is>
          <t>1</t>
        </is>
      </c>
      <c r="J293">
        <f>((Inputs!$B$6*(1+Inputs!$B$7/100))+(((Inputs!$B$12*(1+Inputs!$B$13/100))-(Inputs!$B$12*(1+Inputs!$B$13/100)))+0.25*(Inputs!$B$14-Inputs!$B$14))*(1+Inputs!$B$7/100))*(F293/100)</f>
        <v/>
      </c>
      <c r="K293">
        <f>J293*(1+((Inputs!$B$12*(1+Inputs!$B$13/100))*0.01+Inputs!$B$14*0.0025)/100)*(1+Inputs!$B$15/100)*(1+Inputs!$B$16/100)*(5000/(6000+Inputs!$B$42*(1-(Inputs!$B$19+0)/100)))*(1+(Inputs!$B$24+((C317=TRUE)*(F317-Calc!F26))+B327)/100)*(1+(IF(Skills!A2="EIGHT_LEGS_EASTON",Inputs!$B$17+((C314=TRUE)*(F314-Calc!F23))+((C318=TRUE)*(F318-Calc!F27)),Inputs!$B$18+0))/100)*((1+(((C308=TRUE)*F308)+((C315=TRUE)*(F315-Calc!F24)))/100)*I293)</f>
        <v/>
      </c>
      <c r="L293">
        <f>K293*(MIN(Inputs!$B$22+((C313=TRUE)*(F313-Calc!F22)),Inputs!$B$23+0)/100+(Inputs!$B$23+0)/100)/2</f>
        <v/>
      </c>
      <c r="M293">
        <f>L293*(1+(Inputs!$B$10+((C316=TRUE)*(F316-Calc!F25))+B326)/100)</f>
        <v/>
      </c>
      <c r="N293">
        <f>L293*(1-MIN((Inputs!$B$9+((C310=TRUE)*(F310-Calc!F19))+B321),100)/100)+M293*(MIN((Inputs!$B$9+((C310=TRUE)*(F310-Calc!F19))+B321),100)/100)</f>
        <v/>
      </c>
      <c r="O293">
        <f>(1-Summary!$B$55)*T293+Summary!$B$55*V293</f>
        <v/>
      </c>
      <c r="P293">
        <f>IF(B331=0,0,O293/B331)</f>
        <v/>
      </c>
      <c r="Q293" t="n">
        <v>0</v>
      </c>
      <c r="R293" t="n">
        <v>0</v>
      </c>
      <c r="S293">
        <f>IFERROR(O293/N293,0)</f>
        <v/>
      </c>
      <c r="T293">
        <f>IF(C293,(Skills!G2*N293*B325)*IF(Inputs!$B$38="pvp",1,1+(Inputs!$B$20+0+Skills!P2)/100),0)</f>
        <v/>
      </c>
      <c r="U293">
        <f>MAX(0,(Inputs!$B$3-100)*3)+Inputs!$B$28+Inputs!$B$29</f>
        <v/>
      </c>
      <c r="V293">
        <f>IF(C293,(Skills!G2*N293*B325)*IF(Inputs!$B$38="pvp",1,(1+((Inputs!$B$21+1)+Skills!Q2)/100)*(MIN((6+Inputs!$B$33),Inputs!$B$37))),0)</f>
        <v/>
      </c>
    </row>
    <row r="294">
      <c r="A294">
        <f>Skills!A3</f>
        <v/>
      </c>
      <c r="B294">
        <f>Skills!B3</f>
        <v/>
      </c>
      <c r="C294">
        <f>Inputs!$B$3&gt;=35</f>
        <v/>
      </c>
      <c r="D294">
        <f>IF(Skills!C3=1,60+Inputs!$B$25+Inputs!$B$29,IF(Skills!C3=2,90+Inputs!$B$26+Inputs!$B$29,IF(Skills!C3=3,120+Inputs!$B$27+Inputs!$B$29,MAX(0,(Inputs!$B$3-100)*3)+Inputs!$B$28+Inputs!$B$29)))</f>
        <v/>
      </c>
      <c r="E294">
        <f>INDEX(FactorTable!$B$2:$Y$301, MATCH(ROUND(MIN(300,MAX(1,D294)),0), FactorTable!$A$2:$A$301,0), Skills!M3+1)</f>
        <v/>
      </c>
      <c r="F294">
        <f>IF(Skills!N3=TRUE,(Skills!L3/10)*(E294/1000),Skills!L3/10)+Skills!O3</f>
        <v/>
      </c>
      <c r="G294">
        <f>Skills!G3*IF(Skills!H3&gt;0,Skills!I3/Skills!H3,1)</f>
        <v/>
      </c>
      <c r="H294">
        <f>1-(1-Skills!J3/100)^Skills!K3</f>
        <v/>
      </c>
      <c r="I294" t="inlineStr">
        <is>
          <t>1</t>
        </is>
      </c>
      <c r="J294">
        <f>((Inputs!$B$6*(1+Inputs!$B$7/100))+(((Inputs!$B$12*(1+Inputs!$B$13/100))-(Inputs!$B$12*(1+Inputs!$B$13/100)))+0.25*(Inputs!$B$14-Inputs!$B$14))*(1+Inputs!$B$7/100))*(F294/100)</f>
        <v/>
      </c>
      <c r="K294">
        <f>J294*(1+((Inputs!$B$12*(1+Inputs!$B$13/100))*0.01+Inputs!$B$14*0.0025)/100)*(1+Inputs!$B$15/100)*(1+Inputs!$B$16/100)*(5000/(6000+Inputs!$B$42*(1-(Inputs!$B$19+0)/100)))*(1+(Inputs!$B$24+((C317=TRUE)*(F317-Calc!F26))+B327)/100)*(1+4.0*IF(C306=TRUE,F306,0)/100)*(1+(IF(Skills!A3="EIGHT_LEGS_EASTON",Inputs!$B$17+((C314=TRUE)*(F314-Calc!F23))+((C318=TRUE)*(F318-Calc!F27)),Inputs!$B$18+0))/100)*((1+(((C308=TRUE)*F308)+((C315=TRUE)*(F315-Calc!F24)))/100)*I294)</f>
        <v/>
      </c>
      <c r="L294">
        <f>K294*(MIN(Inputs!$B$22+((C313=TRUE)*(F313-Calc!F22)),Inputs!$B$23+0)/100+(Inputs!$B$23+0)/100)/2</f>
        <v/>
      </c>
      <c r="M294">
        <f>L294*(1+(Inputs!$B$10+((C316=TRUE)*(F316-Calc!F25))+B326)/100)</f>
        <v/>
      </c>
      <c r="N294">
        <f>L294*(1-MIN((Inputs!$B$9+((C310=TRUE)*(F310-Calc!F19))+B321),100)/100)+M294*(MIN((Inputs!$B$9+((C310=TRUE)*(F310-Calc!F19))+B321),100)/100)</f>
        <v/>
      </c>
      <c r="O294">
        <f>(1-Summary!$B$55)*T294+Summary!$B$55*V294</f>
        <v/>
      </c>
      <c r="P294">
        <f>IF(B331=0,0,O294/B331)</f>
        <v/>
      </c>
      <c r="Q294">
        <f>IFERROR(1/IF(Inputs!$B$38="pvp",15,MAX(0.1,Skills!D3-IF(Skills!E3=TRUE,Inputs!$B$32,0))),0)</f>
        <v/>
      </c>
      <c r="R294">
        <f>IF(AND(Inputs!$B$38&lt;&gt;"pvp",Inputs!$B$43&gt;0),IF(MAX(0,Inputs!$B$43-B328)&lt;=0,0,(INT(MAX(0,Inputs!$B$43-B328)/IF(Inputs!$B$38="pvp",15,MAX(0.1,Skills!D3-IF(Skills!E3=TRUE,Inputs!$B$32,0))))+1)),0)</f>
        <v/>
      </c>
      <c r="S294">
        <f>IFERROR(O294/N294,0)</f>
        <v/>
      </c>
      <c r="T294">
        <f>IF(C294,(H294*N294*IF(AND(Inputs!$B$38&lt;&gt;"pvp",Inputs!$B$43&gt;0),((Skills!G3*((R294-1)*IF(Skills!H3&gt;0,Skills!I3/Skills!H3,1)+IF(Skills!H3&gt;0,MIN(Skills!I3,MAX(0,MAX(0,Inputs!$B$43-B328)-((R294-1)*IF(Inputs!$B$38="pvp",15,MAX(0.1,Skills!D3-IF(Skills!E3=TRUE,Inputs!$B$32,0))))))/Skills!H3,1)))/Inputs!$B$43),G294*Q294))*IF(Inputs!$B$38="pvp",1,1+(Inputs!$B$20+0+Skills!P3)/100),0)</f>
        <v/>
      </c>
      <c r="U294">
        <f>INDEX(FactorTable!$B$2:$Y$301, MATCH(ROUND(MIN(300,MAX(1,U293)),0), FactorTable!$A$2:$A$301,0), 22)</f>
        <v/>
      </c>
      <c r="V294">
        <f>IF(C294,(H294*N294*IF(AND(Inputs!$B$38&lt;&gt;"pvp",Inputs!$B$43&gt;0),((Skills!G3*((R294-1)*IF(Skills!H3&gt;0,Skills!I3/Skills!H3,1)+IF(Skills!H3&gt;0,MIN(Skills!I3,MAX(0,MAX(0,Inputs!$B$43-B328)-((R294-1)*IF(Inputs!$B$38="pvp",15,MAX(0.1,Skills!D3-IF(Skills!E3=TRUE,Inputs!$B$32,0))))))/Skills!H3,1)))/Inputs!$B$43),G294*Q294))*IF(Inputs!$B$38="pvp",1,(1+((Inputs!$B$21+1)+Skills!Q3)/100)*(MIN(Skills!R3,Inputs!$B$37))),0)</f>
        <v/>
      </c>
    </row>
    <row r="295">
      <c r="A295">
        <f>Skills!A4</f>
        <v/>
      </c>
      <c r="B295">
        <f>Skills!B4</f>
        <v/>
      </c>
      <c r="C295">
        <f>Inputs!$B$3&gt;=40</f>
        <v/>
      </c>
      <c r="D295">
        <f>IF(Skills!C4=1,60+Inputs!$B$25+Inputs!$B$29,IF(Skills!C4=2,90+Inputs!$B$26+Inputs!$B$29,IF(Skills!C4=3,120+Inputs!$B$27+Inputs!$B$29,MAX(0,(Inputs!$B$3-100)*3)+Inputs!$B$28+Inputs!$B$29)))</f>
        <v/>
      </c>
      <c r="E295">
        <f>INDEX(FactorTable!$B$2:$Y$301, MATCH(ROUND(MIN(300,MAX(1,D295)),0), FactorTable!$A$2:$A$301,0), Skills!M4+1)</f>
        <v/>
      </c>
      <c r="F295">
        <f>IF(Skills!N4=TRUE,(Skills!L4/10)*(E295/1000),Skills!L4/10)+Skills!O4</f>
        <v/>
      </c>
      <c r="G295">
        <f>Skills!G4*IF(Skills!H4&gt;0,Skills!I4/Skills!H4,1)</f>
        <v/>
      </c>
      <c r="H295">
        <f>1-(1-Skills!J4/100)^Skills!K4</f>
        <v/>
      </c>
      <c r="I295" t="inlineStr">
        <is>
          <t>1</t>
        </is>
      </c>
      <c r="J295">
        <f>((Inputs!$B$6*(1+Inputs!$B$7/100))+(((Inputs!$B$12*(1+Inputs!$B$13/100))-(Inputs!$B$12*(1+Inputs!$B$13/100)))+0.25*(Inputs!$B$14-Inputs!$B$14))*(1+Inputs!$B$7/100))*(F295/100)</f>
        <v/>
      </c>
      <c r="K295">
        <f>J295*(1+((Inputs!$B$12*(1+Inputs!$B$13/100))*0.01+Inputs!$B$14*0.0025)/100)*(1+Inputs!$B$15/100)*(1+Inputs!$B$16/100)*(5000/(6000+Inputs!$B$42*(1-(Inputs!$B$19+0)/100)))*(1+(Inputs!$B$24+((C317=TRUE)*(F317-Calc!F26))+B327)/100)*(1+1.0*IF(C307=TRUE,F307,0)/100)*(1+(IF(Skills!A4="EIGHT_LEGS_EASTON",Inputs!$B$17+((C314=TRUE)*(F314-Calc!F23))+((C318=TRUE)*(F318-Calc!F27)),Inputs!$B$18+0))/100)*((1+(((C308=TRUE)*F308)+((C315=TRUE)*(F315-Calc!F24)))/100)*I295)</f>
        <v/>
      </c>
      <c r="L295">
        <f>K295*(MIN(Inputs!$B$22+((C313=TRUE)*(F313-Calc!F22)),Inputs!$B$23+0)/100+(Inputs!$B$23+0)/100)/2</f>
        <v/>
      </c>
      <c r="M295">
        <f>L295*(1+(Inputs!$B$10+((C316=TRUE)*(F316-Calc!F25))+B326)/100)</f>
        <v/>
      </c>
      <c r="N295">
        <f>L295*(1-MIN((Inputs!$B$9+((C310=TRUE)*(F310-Calc!F19))+B321),100)/100)+M295*(MIN((Inputs!$B$9+((C310=TRUE)*(F310-Calc!F19))+B321),100)/100)</f>
        <v/>
      </c>
      <c r="O295">
        <f>(1-Summary!$B$55)*T295+Summary!$B$55*V295</f>
        <v/>
      </c>
      <c r="P295">
        <f>IF(B331=0,0,O295/B331)</f>
        <v/>
      </c>
      <c r="Q295">
        <f>IFERROR(1/IF(Inputs!$B$38="pvp",15,MAX(0.1,Skills!D4-IF(Skills!E4=TRUE,Inputs!$B$32,0))),0)</f>
        <v/>
      </c>
      <c r="R295">
        <f>IF(AND(Inputs!$B$38&lt;&gt;"pvp",Inputs!$B$43&gt;0),IF(MAX(0,Inputs!$B$43-B328)&lt;=0,0,(INT(MAX(0,Inputs!$B$43-B328)/IF(Inputs!$B$38="pvp",15,MAX(0.1,Skills!D4-IF(Skills!E4=TRUE,Inputs!$B$32,0))))+1)),0)</f>
        <v/>
      </c>
      <c r="S295">
        <f>IFERROR(O295/N295,0)</f>
        <v/>
      </c>
      <c r="T295">
        <f>IF(C295,(H295*N295*IF(AND(Inputs!$B$38&lt;&gt;"pvp",Inputs!$B$43&gt;0),((Skills!G4*((R295-1)*IF(Skills!H4&gt;0,Skills!I4/Skills!H4,1)+IF(Skills!H4&gt;0,MIN(Skills!I4,MAX(0,MAX(0,Inputs!$B$43-B328)-((R295-1)*IF(Inputs!$B$38="pvp",15,MAX(0.1,Skills!D4-IF(Skills!E4=TRUE,Inputs!$B$32,0))))))/Skills!H4,1)))/Inputs!$B$43),G295*Q295))*IF(Inputs!$B$38="pvp",1,1+(Inputs!$B$20+0+Skills!P4)/100),0)</f>
        <v/>
      </c>
      <c r="U295">
        <f>290*U294/1000</f>
        <v/>
      </c>
      <c r="V295">
        <f>IF(C295,(H295*N295*IF(AND(Inputs!$B$38&lt;&gt;"pvp",Inputs!$B$43&gt;0),((Skills!G4*((R295-1)*IF(Skills!H4&gt;0,Skills!I4/Skills!H4,1)+IF(Skills!H4&gt;0,MIN(Skills!I4,MAX(0,MAX(0,Inputs!$B$43-B328)-((R295-1)*IF(Inputs!$B$38="pvp",15,MAX(0.1,Skills!D4-IF(Skills!E4=TRUE,Inputs!$B$32,0))))))/Skills!H4,1)))/Inputs!$B$43),G295*Q295))*IF(Inputs!$B$38="pvp",1,(1+((Inputs!$B$21+1)+Skills!Q4)/100)*(MIN(Skills!R4,Inputs!$B$37))),0)</f>
        <v/>
      </c>
    </row>
    <row r="296">
      <c r="A296">
        <f>Skills!A5</f>
        <v/>
      </c>
      <c r="B296">
        <f>Skills!B5</f>
        <v/>
      </c>
      <c r="C296">
        <f>Inputs!$B$3&gt;=45</f>
        <v/>
      </c>
      <c r="D296">
        <f>IF(Skills!C5=1,60+Inputs!$B$25+Inputs!$B$29,IF(Skills!C5=2,90+Inputs!$B$26+Inputs!$B$29,IF(Skills!C5=3,120+Inputs!$B$27+Inputs!$B$29,MAX(0,(Inputs!$B$3-100)*3)+Inputs!$B$28+Inputs!$B$29)))</f>
        <v/>
      </c>
      <c r="E296">
        <f>INDEX(FactorTable!$B$2:$Y$301, MATCH(ROUND(MIN(300,MAX(1,D296)),0), FactorTable!$A$2:$A$301,0), Skills!M5+1)</f>
        <v/>
      </c>
      <c r="F296">
        <f>IF(Skills!N5=TRUE,(Skills!L5/10)*(E296/1000),Skills!L5/10)+Skills!O5</f>
        <v/>
      </c>
      <c r="G296">
        <f>Skills!G5*IF(Skills!H5&gt;0,Skills!I5/Skills!H5,1)</f>
        <v/>
      </c>
      <c r="H296">
        <f>1-(1-Skills!J5/100)^Skills!K5</f>
        <v/>
      </c>
      <c r="I296" t="inlineStr">
        <is>
          <t>1</t>
        </is>
      </c>
      <c r="J296">
        <f>((Inputs!$B$6*(1+Inputs!$B$7/100))+(((Inputs!$B$12*(1+Inputs!$B$13/100))-(Inputs!$B$12*(1+Inputs!$B$13/100)))+0.25*(Inputs!$B$14-Inputs!$B$14))*(1+Inputs!$B$7/100))*(F296/100)</f>
        <v/>
      </c>
      <c r="K296">
        <f>J296*(1+((Inputs!$B$12*(1+Inputs!$B$13/100))*0.01+Inputs!$B$14*0.0025)/100)*(1+Inputs!$B$15/100)*(1+Inputs!$B$16/100)*(5000/(6000+Inputs!$B$42*(1-(Inputs!$B$19+0)/100)))*(1+(Inputs!$B$24+((C317=TRUE)*(F317-Calc!F26))+B327)/100)*(1+0.4*IF(C307=TRUE,F307,0)/100)*(1+(IF(Skills!A5="EIGHT_LEGS_EASTON",Inputs!$B$17+((C314=TRUE)*(F314-Calc!F23))+((C318=TRUE)*(F318-Calc!F27)),Inputs!$B$18+0))/100)*((1+(((C308=TRUE)*F308)+((C315=TRUE)*(F315-Calc!F24)))/100)*I296)</f>
        <v/>
      </c>
      <c r="L296">
        <f>K296*(MIN(Inputs!$B$22+((C313=TRUE)*(F313-Calc!F22)),Inputs!$B$23+0)/100+(Inputs!$B$23+0)/100)/2</f>
        <v/>
      </c>
      <c r="M296">
        <f>L296*(1+(Inputs!$B$10+((C316=TRUE)*(F316-Calc!F25))+B326)/100)</f>
        <v/>
      </c>
      <c r="N296">
        <f>L296*(1-MIN((Inputs!$B$9+((C310=TRUE)*(F310-Calc!F19))+B321),100)/100)+M296*(MIN((Inputs!$B$9+((C310=TRUE)*(F310-Calc!F19))+B321),100)/100)</f>
        <v/>
      </c>
      <c r="O296">
        <f>(1-Summary!$B$55)*T296+Summary!$B$55*V296</f>
        <v/>
      </c>
      <c r="P296">
        <f>IF(B331=0,0,O296/B331)</f>
        <v/>
      </c>
      <c r="Q296">
        <f>IFERROR(1/IF(Inputs!$B$38="pvp",15,MAX(0.1,Skills!D5-IF(Skills!E5=TRUE,Inputs!$B$32,0))),0)</f>
        <v/>
      </c>
      <c r="R296">
        <f>IF(AND(Inputs!$B$38&lt;&gt;"pvp",Inputs!$B$43&gt;0),IF(MAX(0,Inputs!$B$43-B328)&lt;=0,0,(INT(MAX(0,Inputs!$B$43-B328)/IF(Inputs!$B$38="pvp",15,MAX(0.1,Skills!D5-IF(Skills!E5=TRUE,Inputs!$B$32,0))))+1)),0)</f>
        <v/>
      </c>
      <c r="S296">
        <f>IFERROR(O296/N296,0)</f>
        <v/>
      </c>
      <c r="T296">
        <f>IF(C296,(H296*N296*IF(AND(Inputs!$B$38&lt;&gt;"pvp",Inputs!$B$43&gt;0),((Skills!G5*((R296-1)*IF(Skills!H5&gt;0,Skills!I5/Skills!H5,1)+IF(Skills!H5&gt;0,MIN(Skills!I5,MAX(0,MAX(0,Inputs!$B$43-B328)-((R296-1)*IF(Inputs!$B$38="pvp",15,MAX(0.1,Skills!D5-IF(Skills!E5=TRUE,Inputs!$B$32,0))))))/Skills!H5,1)))/Inputs!$B$43),G296*Q296))*IF(Inputs!$B$38="pvp",1,1+(Inputs!$B$20+0+Skills!P5)/100),0)</f>
        <v/>
      </c>
      <c r="V296">
        <f>IF(C296,(H296*N296*IF(AND(Inputs!$B$38&lt;&gt;"pvp",Inputs!$B$43&gt;0),((Skills!G5*((R296-1)*IF(Skills!H5&gt;0,Skills!I5/Skills!H5,1)+IF(Skills!H5&gt;0,MIN(Skills!I5,MAX(0,MAX(0,Inputs!$B$43-B328)-((R296-1)*IF(Inputs!$B$38="pvp",15,MAX(0.1,Skills!D5-IF(Skills!E5=TRUE,Inputs!$B$32,0))))))/Skills!H5,1)))/Inputs!$B$43),G296*Q296))*IF(Inputs!$B$38="pvp",1,(1+((Inputs!$B$21+1)+Skills!Q5)/100)*(MIN(Skills!R5,Inputs!$B$37))),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Skills!M6+1)</f>
        <v/>
      </c>
      <c r="F297">
        <f>IF(Skills!N6=TRUE,(Skills!L6/10)*(E297/1000),Skills!L6/10)+Skills!O6</f>
        <v/>
      </c>
      <c r="G297">
        <f>Skills!G6*IF(Skills!H6&gt;0,Skills!I6/Skills!H6,1)</f>
        <v/>
      </c>
      <c r="H297">
        <f>1-(1-Skills!J6/100)^Skills!K6</f>
        <v/>
      </c>
      <c r="I297" t="inlineStr">
        <is>
          <t>1</t>
        </is>
      </c>
      <c r="J297">
        <f>((Inputs!$B$6*(1+Inputs!$B$7/100))+(((Inputs!$B$12*(1+Inputs!$B$13/100))-(Inputs!$B$12*(1+Inputs!$B$13/100)))+0.25*(Inputs!$B$14-Inputs!$B$14))*(1+Inputs!$B$7/100))*(F297/100)</f>
        <v/>
      </c>
      <c r="K297">
        <f>J297*(1+((Inputs!$B$12*(1+Inputs!$B$13/100))*0.01+Inputs!$B$14*0.0025)/100)*(1+Inputs!$B$15/100)*(1+Inputs!$B$16/100)*(5000/(6000+Inputs!$B$42*(1-(Inputs!$B$19+0)/100)))*(1+(Inputs!$B$24+((C317=TRUE)*(F317-Calc!F26))+B327)/100)*(1+2.0*IF(C306=TRUE,F306,0)/100)*(1+(IF(Skills!A6="EIGHT_LEGS_EASTON",Inputs!$B$17+((C314=TRUE)*(F314-Calc!F23))+((C318=TRUE)*(F318-Calc!F27)),Inputs!$B$18+0))/100)*((1+(((C308=TRUE)*F308)+((C315=TRUE)*(F315-Calc!F24)))/100)*I297)</f>
        <v/>
      </c>
      <c r="L297">
        <f>K297*(MIN(Inputs!$B$22+((C313=TRUE)*(F313-Calc!F22)),Inputs!$B$23+0)/100+(Inputs!$B$23+0)/100)/2</f>
        <v/>
      </c>
      <c r="M297">
        <f>L297*(1+(Inputs!$B$10+((C316=TRUE)*(F316-Calc!F25))+B326)/100)</f>
        <v/>
      </c>
      <c r="N297">
        <f>L297*(1-MIN((Inputs!$B$9+((C310=TRUE)*(F310-Calc!F19))+B321),100)/100)+M297*(MIN((Inputs!$B$9+((C310=TRUE)*(F310-Calc!F19))+B321),100)/100)</f>
        <v/>
      </c>
      <c r="O297">
        <f>(1-Summary!$B$55)*T297+Summary!$B$55*V297</f>
        <v/>
      </c>
      <c r="P297">
        <f>IF(B331=0,0,O297/B331)</f>
        <v/>
      </c>
      <c r="Q297">
        <f>IFERROR(1/IF(Inputs!$B$38="pvp",15,MAX(0.1,Skills!D6-IF(Skills!E6=TRUE,Inputs!$B$32,0))),0)</f>
        <v/>
      </c>
      <c r="R297">
        <f>IF(AND(Inputs!$B$38&lt;&gt;"pvp",Inputs!$B$43&gt;0),IF(MAX(0,Inputs!$B$43-B328)&lt;=0,0,(INT(MAX(0,Inputs!$B$43-B328)/IF(Inputs!$B$38="pvp",15,MAX(0.1,Skills!D6-IF(Skills!E6=TRUE,Inputs!$B$32,0))))+1)),0)</f>
        <v/>
      </c>
      <c r="S297">
        <f>IFERROR(O297/N297,0)</f>
        <v/>
      </c>
      <c r="T297">
        <f>IF(C297,(H297*N297*IF(AND(Inputs!$B$38&lt;&gt;"pvp",Inputs!$B$43&gt;0),((Skills!G6*((R297-1)*IF(Skills!H6&gt;0,Skills!I6/Skills!H6,1)+IF(Skills!H6&gt;0,MIN(Skills!I6,MAX(0,MAX(0,Inputs!$B$43-B328)-((R297-1)*IF(Inputs!$B$38="pvp",15,MAX(0.1,Skills!D6-IF(Skills!E6=TRUE,Inputs!$B$32,0))))))/Skills!H6,1)))/Inputs!$B$43),G297*Q297))*IF(Inputs!$B$38="pvp",1,1+(Inputs!$B$20+0+Skills!P6)/100),0)</f>
        <v/>
      </c>
      <c r="V297">
        <f>IF(C297,(H297*N297*IF(AND(Inputs!$B$38&lt;&gt;"pvp",Inputs!$B$43&gt;0),((Skills!G6*((R297-1)*IF(Skills!H6&gt;0,Skills!I6/Skills!H6,1)+IF(Skills!H6&gt;0,MIN(Skills!I6,MAX(0,MAX(0,Inputs!$B$43-B328)-((R297-1)*IF(Inputs!$B$38="pvp",15,MAX(0.1,Skills!D6-IF(Skills!E6=TRUE,Inputs!$B$32,0))))))/Skills!H6,1)))/Inputs!$B$43),G297*Q297))*IF(Inputs!$B$38="pvp",1,(1+((Inputs!$B$21+1)+Skills!Q6)/100)*(MIN(Skills!R6,Inputs!$B$37))),0)</f>
        <v/>
      </c>
    </row>
    <row r="298">
      <c r="A298">
        <f>Skills!A7</f>
        <v/>
      </c>
      <c r="B298">
        <f>Skills!B7</f>
        <v/>
      </c>
      <c r="C298">
        <f>Inputs!$B$3&gt;=66</f>
        <v/>
      </c>
      <c r="D298">
        <f>IF(Skills!C7=1,60+Inputs!$B$25+Inputs!$B$29,IF(Skills!C7=2,90+Inputs!$B$26+Inputs!$B$29,IF(Skills!C7=3,120+Inputs!$B$27+Inputs!$B$29,MAX(0,(Inputs!$B$3-100)*3)+Inputs!$B$28+Inputs!$B$29)))</f>
        <v/>
      </c>
      <c r="E298">
        <f>INDEX(FactorTable!$B$2:$Y$301, MATCH(ROUND(MIN(300,MAX(1,D298)),0), FactorTable!$A$2:$A$301,0), Skills!M7+1)</f>
        <v/>
      </c>
      <c r="F298">
        <f>IF(Skills!N7=TRUE,(Skills!L7/10)*(E298/1000),Skills!L7/10)+Skills!O7</f>
        <v/>
      </c>
      <c r="G298">
        <f>Skills!G7*IF(Skills!H7&gt;0,Skills!I7/Skills!H7,1)</f>
        <v/>
      </c>
      <c r="H298">
        <f>1-(1-Skills!J7/100)^Skills!K7</f>
        <v/>
      </c>
      <c r="I298" t="inlineStr">
        <is>
          <t>1</t>
        </is>
      </c>
      <c r="J298">
        <f>((Inputs!$B$6*(1+Inputs!$B$7/100))+(((Inputs!$B$12*(1+Inputs!$B$13/100))-(Inputs!$B$12*(1+Inputs!$B$13/100)))+0.25*(Inputs!$B$14-Inputs!$B$14))*(1+Inputs!$B$7/100))*(F298/100)</f>
        <v/>
      </c>
      <c r="K298">
        <f>J298*(1+((Inputs!$B$12*(1+Inputs!$B$13/100))*0.01+Inputs!$B$14*0.0025)/100)*(1+Inputs!$B$15/100)*(1+Inputs!$B$16/100)*(5000/(6000+Inputs!$B$42*(1-(Inputs!$B$19+0)/100)))*(1+(Inputs!$B$24+((C317=TRUE)*(F317-Calc!F26))+B327)/100)*(1+1.0*IF(C306=TRUE,F306,0)/100)*(1+(IF(Skills!A7="EIGHT_LEGS_EASTON",Inputs!$B$17+((C314=TRUE)*(F314-Calc!F23))+((C318=TRUE)*(F318-Calc!F27)),Inputs!$B$18+0))/100)*((1+(((C308=TRUE)*F308)+((C315=TRUE)*(F315-Calc!F24)))/100)*I298)</f>
        <v/>
      </c>
      <c r="L298">
        <f>K298*(MIN(Inputs!$B$22+((C313=TRUE)*(F313-Calc!F22)),Inputs!$B$23+0)/100+(Inputs!$B$23+0)/100)/2</f>
        <v/>
      </c>
      <c r="M298">
        <f>L298*(1+(Inputs!$B$10+((C316=TRUE)*(F316-Calc!F25))+B326)/100)</f>
        <v/>
      </c>
      <c r="N298">
        <f>L298*(1-MIN((Inputs!$B$9+((C310=TRUE)*(F310-Calc!F19))+B321),100)/100)+M298*(MIN((Inputs!$B$9+((C310=TRUE)*(F310-Calc!F19))+B321),100)/100)</f>
        <v/>
      </c>
      <c r="O298">
        <f>(1-Summary!$B$55)*T298+Summary!$B$55*V298</f>
        <v/>
      </c>
      <c r="P298">
        <f>IF(B331=0,0,O298/B331)</f>
        <v/>
      </c>
      <c r="Q298">
        <f>IFERROR(1/IF(Inputs!$B$38="pvp",15,MAX(0.1,Skills!D7-IF(Skills!E7=TRUE,Inputs!$B$32,0))),0)</f>
        <v/>
      </c>
      <c r="R298">
        <f>IF(AND(Inputs!$B$38&lt;&gt;"pvp",Inputs!$B$43&gt;0),IF(MAX(0,Inputs!$B$43-B328)&lt;=0,0,(INT(MAX(0,Inputs!$B$43-B328)/IF(Inputs!$B$38="pvp",15,MAX(0.1,Skills!D7-IF(Skills!E7=TRUE,Inputs!$B$32,0))))+1)),0)</f>
        <v/>
      </c>
      <c r="S298">
        <f>IFERROR(O298/N298,0)</f>
        <v/>
      </c>
      <c r="T298">
        <f>IF(C298,(H298*N298*IF(AND(Inputs!$B$38&lt;&gt;"pvp",Inputs!$B$43&gt;0),((Skills!G7*((R298-1)*IF(Skills!H7&gt;0,Skills!I7/Skills!H7,1)+IF(Skills!H7&gt;0,MIN(Skills!I7,MAX(0,MAX(0,Inputs!$B$43-B328)-((R298-1)*IF(Inputs!$B$38="pvp",15,MAX(0.1,Skills!D7-IF(Skills!E7=TRUE,Inputs!$B$32,0))))))/Skills!H7,1)))/Inputs!$B$43),G298*Q298))*IF(Inputs!$B$38="pvp",1,1+(Inputs!$B$20+0+Skills!P7)/100),0)</f>
        <v/>
      </c>
      <c r="V298">
        <f>IF(C298,(H298*N298*IF(AND(Inputs!$B$38&lt;&gt;"pvp",Inputs!$B$43&gt;0),((Skills!G7*((R298-1)*IF(Skills!H7&gt;0,Skills!I7/Skills!H7,1)+IF(Skills!H7&gt;0,MIN(Skills!I7,MAX(0,MAX(0,Inputs!$B$43-B328)-((R298-1)*IF(Inputs!$B$38="pvp",15,MAX(0.1,Skills!D7-IF(Skills!E7=TRUE,Inputs!$B$32,0))))))/Skills!H7,1)))/Inputs!$B$43),G298*Q298))*IF(Inputs!$B$38="pvp",1,(1+((Inputs!$B$21+1)+Skills!Q7)/100)*(MIN(Skills!R7,Inputs!$B$37))),0)</f>
        <v/>
      </c>
    </row>
    <row r="299">
      <c r="A299">
        <f>Skills!A8</f>
        <v/>
      </c>
      <c r="B299">
        <f>Skills!B8</f>
        <v/>
      </c>
      <c r="C299">
        <f>Inputs!$B$3&gt;=100</f>
        <v/>
      </c>
      <c r="D299">
        <f>IF(Skills!C8=1,60+Inputs!$B$25+Inputs!$B$29,IF(Skills!C8=2,90+Inputs!$B$26+Inputs!$B$29,IF(Skills!C8=3,120+Inputs!$B$27+Inputs!$B$29,MAX(0,(Inputs!$B$3-100)*3)+Inputs!$B$28+Inputs!$B$29)))</f>
        <v/>
      </c>
      <c r="E299">
        <f>INDEX(FactorTable!$B$2:$Y$301, MATCH(ROUND(MIN(300,MAX(1,D299)),0), FactorTable!$A$2:$A$301,0), Skills!M8+1)</f>
        <v/>
      </c>
      <c r="F299">
        <f>IF(Skills!N8=TRUE,(Skills!L8/10)*(E299/1000),Skills!L8/10)+Skills!O8</f>
        <v/>
      </c>
      <c r="G299">
        <f>Skills!G8*IF(Skills!H8&gt;0,Skills!I8/Skills!H8,1)</f>
        <v/>
      </c>
      <c r="H299">
        <f>1-(1-Skills!J8/100)^Skills!K8</f>
        <v/>
      </c>
      <c r="I299" t="inlineStr">
        <is>
          <t>1</t>
        </is>
      </c>
      <c r="J299">
        <f>((Inputs!$B$6*(1+Inputs!$B$7/100))+(((Inputs!$B$12*(1+Inputs!$B$13/100))-(Inputs!$B$12*(1+Inputs!$B$13/100)))+0.25*(Inputs!$B$14-Inputs!$B$14))*(1+Inputs!$B$7/100))*(F299/100)</f>
        <v/>
      </c>
      <c r="K299">
        <f>J299*(1+((Inputs!$B$12*(1+Inputs!$B$13/100))*0.01+Inputs!$B$14*0.0025)/100)*(1+Inputs!$B$15/100)*(1+Inputs!$B$16/100)*(5000/(6000+Inputs!$B$42*(1-(Inputs!$B$19+0)/100)))*(1+(Inputs!$B$24+((C317=TRUE)*(F317-Calc!F26))+B327)/100)*(1+(IF(Skills!A8="EIGHT_LEGS_EASTON",Inputs!$B$17+((C314=TRUE)*(F314-Calc!F23))+((C318=TRUE)*(F318-Calc!F27)),Inputs!$B$18+0))/100)*((1+(((C308=TRUE)*F308)+((C315=TRUE)*(F315-Calc!F24)))/100)*I299)</f>
        <v/>
      </c>
      <c r="L299">
        <f>K299*(MIN(Inputs!$B$22+((C313=TRUE)*(F313-Calc!F22)),Inputs!$B$23+0)/100+(Inputs!$B$23+0)/100)/2</f>
        <v/>
      </c>
      <c r="M299">
        <f>L299*(1+(Inputs!$B$10+((C316=TRUE)*(F316-Calc!F25))+B326)/100)</f>
        <v/>
      </c>
      <c r="N299">
        <f>L299*(1-MIN((Inputs!$B$9+((C310=TRUE)*(F310-Calc!F19))+B321),100)/100)+M299*(MIN((Inputs!$B$9+((C310=TRUE)*(F310-Calc!F19))+B321),100)/100)</f>
        <v/>
      </c>
      <c r="O299">
        <f>(1-Summary!$B$55)*T299+Summary!$B$55*V299</f>
        <v/>
      </c>
      <c r="P299">
        <f>IF(B331=0,0,O299/B331)</f>
        <v/>
      </c>
      <c r="Q299">
        <f>IFERROR(1/IF(Inputs!$B$38="pvp",15,MAX(0.1,Skills!D8-IF(Skills!E8=TRUE,Inputs!$B$32,0))),0)</f>
        <v/>
      </c>
      <c r="R299">
        <f>IF(AND(Inputs!$B$38&lt;&gt;"pvp",Inputs!$B$43&gt;0),IF(MAX(0,Inputs!$B$43-B328)&lt;=0,0,(INT(MAX(0,Inputs!$B$43-B328)/IF(Inputs!$B$38="pvp",15,MAX(0.1,Skills!D8-IF(Skills!E8=TRUE,Inputs!$B$32,0))))+1)),0)</f>
        <v/>
      </c>
      <c r="S299">
        <f>IFERROR(O299/N299,0)</f>
        <v/>
      </c>
      <c r="T299">
        <f>IF(C299,(H299*N299*IF(AND(Inputs!$B$38&lt;&gt;"pvp",Inputs!$B$43&gt;0),((Skills!G8*((R299-1)*IF(Skills!H8&gt;0,Skills!I8/Skills!H8,1)+IF(Skills!H8&gt;0,MIN(Skills!I8,MAX(0,MAX(0,Inputs!$B$43-B328)-((R299-1)*IF(Inputs!$B$38="pvp",15,MAX(0.1,Skills!D8-IF(Skills!E8=TRUE,Inputs!$B$32,0))))))/Skills!H8,1)))/Inputs!$B$43),G299*Q299))*IF(Inputs!$B$38="pvp",1,1+(Inputs!$B$20+0+Skills!P8)/100),0)</f>
        <v/>
      </c>
      <c r="V299">
        <f>IF(C299,(H299*N299*IF(AND(Inputs!$B$38&lt;&gt;"pvp",Inputs!$B$43&gt;0),((Skills!G8*((R299-1)*IF(Skills!H8&gt;0,Skills!I8/Skills!H8,1)+IF(Skills!H8&gt;0,MIN(Skills!I8,MAX(0,MAX(0,Inputs!$B$43-B328)-((R299-1)*IF(Inputs!$B$38="pvp",15,MAX(0.1,Skills!D8-IF(Skills!E8=TRUE,Inputs!$B$32,0))))))/Skills!H8,1)))/Inputs!$B$43),G299*Q299))*IF(Inputs!$B$38="pvp",1,(1+((Inputs!$B$21+1)+Skills!Q8)/100)*(MIN(Skills!R8,Inputs!$B$37))),0)</f>
        <v/>
      </c>
    </row>
    <row r="300">
      <c r="A300">
        <f>Skills!A9</f>
        <v/>
      </c>
      <c r="B300">
        <f>Skills!B9</f>
        <v/>
      </c>
      <c r="C300">
        <f>Inputs!$B$3&gt;=103</f>
        <v/>
      </c>
      <c r="D300">
        <f>IF(Skills!C9=1,60+Inputs!$B$25+Inputs!$B$29,IF(Skills!C9=2,90+Inputs!$B$26+Inputs!$B$29,IF(Skills!C9=3,120+Inputs!$B$27+Inputs!$B$29,MAX(0,(Inputs!$B$3-100)*3)+Inputs!$B$28+Inputs!$B$29)))</f>
        <v/>
      </c>
      <c r="E300">
        <f>INDEX(FactorTable!$B$2:$Y$301, MATCH(ROUND(MIN(300,MAX(1,D300)),0), FactorTable!$A$2:$A$301,0), Skills!M9+1)</f>
        <v/>
      </c>
      <c r="F300">
        <f>IF(Skills!N9=TRUE,(Skills!L9/10)*(E300/1000),Skills!L9/10)+Skills!O9</f>
        <v/>
      </c>
      <c r="G300">
        <f>Skills!G9*IF(Skills!H9&gt;0,Skills!I9/Skills!H9,1)</f>
        <v/>
      </c>
      <c r="H300">
        <f>1-(1-Skills!J9/100)^Skills!K9</f>
        <v/>
      </c>
      <c r="I300" t="inlineStr">
        <is>
          <t>1</t>
        </is>
      </c>
      <c r="J300">
        <f>((Inputs!$B$6*(1+Inputs!$B$7/100))+(((Inputs!$B$12*(1+Inputs!$B$13/100))-(Inputs!$B$12*(1+Inputs!$B$13/100)))+0.25*(Inputs!$B$14-Inputs!$B$14))*(1+Inputs!$B$7/100))*(F300/100)</f>
        <v/>
      </c>
      <c r="K300">
        <f>J300*(1+((Inputs!$B$12*(1+Inputs!$B$13/100))*0.01+Inputs!$B$14*0.0025)/100)*(1+Inputs!$B$15/100)*(1+Inputs!$B$16/100)*(5000/(6000+Inputs!$B$42*(1-(Inputs!$B$19+0)/100)))*(1+(Inputs!$B$24+((C317=TRUE)*(F317-Calc!F26))+B327)/100)*(1+(IF(Skills!A9="EIGHT_LEGS_EASTON",Inputs!$B$17+((C314=TRUE)*(F314-Calc!F23))+((C318=TRUE)*(F318-Calc!F27)),Inputs!$B$18+0))/100)*((1+(((C308=TRUE)*F308)+((C315=TRUE)*(F315-Calc!F24)))/100)*I300)</f>
        <v/>
      </c>
      <c r="L300">
        <f>K300*(MIN(Inputs!$B$22+((C313=TRUE)*(F313-Calc!F22)),Inputs!$B$23+0)/100+(Inputs!$B$23+0)/100)/2</f>
        <v/>
      </c>
      <c r="M300">
        <f>L300*(1+(Inputs!$B$10+((C316=TRUE)*(F316-Calc!F25))+B326)/100)</f>
        <v/>
      </c>
      <c r="N300">
        <f>L300*(1-MIN((Inputs!$B$9+((C310=TRUE)*(F310-Calc!F19))+B321),100)/100)+M300*(MIN((Inputs!$B$9+((C310=TRUE)*(F310-Calc!F19))+B321),100)/100)</f>
        <v/>
      </c>
      <c r="O300">
        <f>(1-Summary!$B$55)*T300+Summary!$B$55*V300</f>
        <v/>
      </c>
      <c r="P300">
        <f>IF(B331=0,0,O300/B331)</f>
        <v/>
      </c>
      <c r="Q300">
        <f>IFERROR(1/IF(Inputs!$B$38="pvp",15,MAX(0.1,Skills!D9-IF(Skills!E9=TRUE,Inputs!$B$32,0))),0)</f>
        <v/>
      </c>
      <c r="R300">
        <f>IF(AND(Inputs!$B$38&lt;&gt;"pvp",Inputs!$B$43&gt;0),IF(MAX(0,Inputs!$B$43-B328)&lt;=0,0,(INT(MAX(0,Inputs!$B$43-B328)/IF(Inputs!$B$38="pvp",15,MAX(0.1,Skills!D9-IF(Skills!E9=TRUE,Inputs!$B$32,0))))+1)),0)</f>
        <v/>
      </c>
      <c r="S300">
        <f>IFERROR(O300/N300,0)</f>
        <v/>
      </c>
      <c r="T300">
        <f>IF(C300,(H300*N300*IF(AND(Inputs!$B$38&lt;&gt;"pvp",Inputs!$B$43&gt;0),((Skills!G9*((R300-1)*IF(Skills!H9&gt;0,Skills!I9/Skills!H9,1)+IF(Skills!H9&gt;0,MIN(Skills!I9,MAX(0,MAX(0,Inputs!$B$43-B328)-((R300-1)*IF(Inputs!$B$38="pvp",15,MAX(0.1,Skills!D9-IF(Skills!E9=TRUE,Inputs!$B$32,0))))))/Skills!H9,1)))/Inputs!$B$43),G300*Q300))*IF(Inputs!$B$38="pvp",1,1+(Inputs!$B$20+0+Skills!P9)/100),0)</f>
        <v/>
      </c>
      <c r="V300">
        <f>IF(C300,(H300*N300*IF(AND(Inputs!$B$38&lt;&gt;"pvp",Inputs!$B$43&gt;0),((Skills!G9*((R300-1)*IF(Skills!H9&gt;0,Skills!I9/Skills!H9,1)+IF(Skills!H9&gt;0,MIN(Skills!I9,MAX(0,MAX(0,Inputs!$B$43-B328)-((R300-1)*IF(Inputs!$B$38="pvp",15,MAX(0.1,Skills!D9-IF(Skills!E9=TRUE,Inputs!$B$32,0))))))/Skills!H9,1)))/Inputs!$B$43),G300*Q300))*IF(Inputs!$B$38="pvp",1,(1+((Inputs!$B$21+1)+Skills!Q9)/100)*(MIN(Skills!R9,Inputs!$B$37))),0)</f>
        <v/>
      </c>
    </row>
    <row r="301">
      <c r="A301">
        <f>Skills!A10</f>
        <v/>
      </c>
      <c r="B301">
        <f>Skills!B10</f>
        <v/>
      </c>
      <c r="C301">
        <f>Inputs!$B$3&gt;=113</f>
        <v/>
      </c>
      <c r="D301">
        <f>IF(Skills!C10=1,60+Inputs!$B$25+Inputs!$B$29,IF(Skills!C10=2,90+Inputs!$B$26+Inputs!$B$29,IF(Skills!C10=3,120+Inputs!$B$27+Inputs!$B$29,MAX(0,(Inputs!$B$3-100)*3)+Inputs!$B$28+Inputs!$B$29)))</f>
        <v/>
      </c>
      <c r="E301">
        <f>INDEX(FactorTable!$B$2:$Y$301, MATCH(ROUND(MIN(300,MAX(1,D301)),0), FactorTable!$A$2:$A$301,0), Skills!M10+1)</f>
        <v/>
      </c>
      <c r="F301">
        <f>IF(Skills!N10=TRUE,(Skills!L10/10)*(E301/1000),Skills!L10/10)+Skills!O10</f>
        <v/>
      </c>
      <c r="G301">
        <f>Skills!G10*IF(Skills!H10&gt;0,Skills!I10/Skills!H10,1)</f>
        <v/>
      </c>
      <c r="H301">
        <f>1-(1-Skills!J10/100)^Skills!K10</f>
        <v/>
      </c>
      <c r="I301" t="inlineStr">
        <is>
          <t>1</t>
        </is>
      </c>
      <c r="J301">
        <f>((Inputs!$B$6*(1+Inputs!$B$7/100))+(((Inputs!$B$12*(1+Inputs!$B$13/100))-(Inputs!$B$12*(1+Inputs!$B$13/100)))+0.25*(Inputs!$B$14-Inputs!$B$14))*(1+Inputs!$B$7/100))*(F301/100)</f>
        <v/>
      </c>
      <c r="K301">
        <f>J301*(1+((Inputs!$B$12*(1+Inputs!$B$13/100))*0.01+Inputs!$B$14*0.0025)/100)*(1+Inputs!$B$15/100)*(1+Inputs!$B$16/100)*(5000/(6000+Inputs!$B$42*(1-(Inputs!$B$19+0)/100)))*(1+(Inputs!$B$24+((C317=TRUE)*(F317-Calc!F26))+B327)/100)*(1+(IF(Skills!A10="EIGHT_LEGS_EASTON",Inputs!$B$17+((C314=TRUE)*(F314-Calc!F23))+((C318=TRUE)*(F318-Calc!F27)),Inputs!$B$18+0))/100)*((1+(((C308=TRUE)*F308)+((C315=TRUE)*(F315-Calc!F24)))/100)*I301)</f>
        <v/>
      </c>
      <c r="L301">
        <f>K301*(MIN(Inputs!$B$22+((C313=TRUE)*(F313-Calc!F22)),Inputs!$B$23+0)/100+(Inputs!$B$23+0)/100)/2</f>
        <v/>
      </c>
      <c r="M301">
        <f>L301*(1+(Inputs!$B$10+((C316=TRUE)*(F316-Calc!F25))+B326)/100)</f>
        <v/>
      </c>
      <c r="N301">
        <f>L301*(1-MIN((Inputs!$B$9+((C310=TRUE)*(F310-Calc!F19))+B321),100)/100)+M301*(MIN((Inputs!$B$9+((C310=TRUE)*(F310-Calc!F19))+B321),100)/100)</f>
        <v/>
      </c>
      <c r="O301">
        <f>(1-Summary!$B$55)*T301+Summary!$B$55*V301</f>
        <v/>
      </c>
      <c r="P301">
        <f>IF(B331=0,0,O301/B331)</f>
        <v/>
      </c>
      <c r="Q301">
        <f>IFERROR(1/IF(Inputs!$B$38="pvp",15,MAX(0.1,Skills!D10-IF(Skills!E10=TRUE,Inputs!$B$32,0))),0)</f>
        <v/>
      </c>
      <c r="R301">
        <f>IF(AND(Inputs!$B$38&lt;&gt;"pvp",Inputs!$B$43&gt;0),IF(MAX(0,Inputs!$B$43-B328)&lt;=0,0,(INT(MAX(0,Inputs!$B$43-B328)/IF(Inputs!$B$38="pvp",15,MAX(0.1,Skills!D10-IF(Skills!E10=TRUE,Inputs!$B$32,0))))+1)),0)</f>
        <v/>
      </c>
      <c r="S301">
        <f>IFERROR(O301/N301,0)</f>
        <v/>
      </c>
      <c r="T301">
        <f>IF(C301,(H301*N301*IF(AND(Inputs!$B$38&lt;&gt;"pvp",Inputs!$B$43&gt;0),((Skills!G10*((R301-1)*IF(Skills!H10&gt;0,Skills!I10/Skills!H10,1)+IF(Skills!H10&gt;0,MIN(Skills!I10,MAX(0,MAX(0,Inputs!$B$43-B328)-((R301-1)*IF(Inputs!$B$38="pvp",15,MAX(0.1,Skills!D10-IF(Skills!E10=TRUE,Inputs!$B$32,0))))))/Skills!H10,1)))/Inputs!$B$43),G301*Q301))*IF(Inputs!$B$38="pvp",1,1+(Inputs!$B$20+0+Skills!P10)/100),0)</f>
        <v/>
      </c>
      <c r="V301">
        <f>IF(C301,(H301*N301*IF(AND(Inputs!$B$38&lt;&gt;"pvp",Inputs!$B$43&gt;0),((Skills!G10*((R301-1)*IF(Skills!H10&gt;0,Skills!I10/Skills!H10,1)+IF(Skills!H10&gt;0,MIN(Skills!I10,MAX(0,MAX(0,Inputs!$B$43-B328)-((R301-1)*IF(Inputs!$B$38="pvp",15,MAX(0.1,Skills!D10-IF(Skills!E10=TRUE,Inputs!$B$32,0))))))/Skills!H10,1)))/Inputs!$B$43),G301*Q301))*IF(Inputs!$B$38="pvp",1,(1+((Inputs!$B$21+1)+Skills!Q10)/100)*(MIN(Skills!R10,Inputs!$B$37))),0)</f>
        <v/>
      </c>
    </row>
    <row r="302">
      <c r="A302">
        <f>Skills!A11</f>
        <v/>
      </c>
      <c r="B302">
        <f>Skills!B11</f>
        <v/>
      </c>
      <c r="C302">
        <f>Inputs!$B$3&gt;=107</f>
        <v/>
      </c>
      <c r="D302">
        <f>IF(Skills!C11=1,60+Inputs!$B$25+Inputs!$B$29,IF(Skills!C11=2,90+Inputs!$B$26+Inputs!$B$29,IF(Skills!C11=3,120+Inputs!$B$27+Inputs!$B$29,MAX(0,(Inputs!$B$3-100)*3)+Inputs!$B$28+Inputs!$B$29)))</f>
        <v/>
      </c>
      <c r="E302">
        <f>INDEX(FactorTable!$B$2:$Y$301, MATCH(ROUND(MIN(300,MAX(1,D302)),0), FactorTable!$A$2:$A$301,0), Skills!M11+1)</f>
        <v/>
      </c>
      <c r="F302">
        <f>IF(Skills!N11=TRUE,(Skills!L11/10)*(E302/1000),Skills!L11/10)+Skills!O11</f>
        <v/>
      </c>
      <c r="G302">
        <f>Skills!G11*IF(Skills!H11&gt;0,Skills!I11/Skills!H11,1)</f>
        <v/>
      </c>
      <c r="H302">
        <f>1-(1-Skills!J11/100)^Skills!K11</f>
        <v/>
      </c>
      <c r="I302" t="inlineStr">
        <is>
          <t>1</t>
        </is>
      </c>
      <c r="J302">
        <f>((Inputs!$B$6*(1+Inputs!$B$7/100))+(((Inputs!$B$12*(1+Inputs!$B$13/100))-(Inputs!$B$12*(1+Inputs!$B$13/100)))+0.25*(Inputs!$B$14-Inputs!$B$14))*(1+Inputs!$B$7/100))*(F302/100)</f>
        <v/>
      </c>
      <c r="K302">
        <f>J302*(1+((Inputs!$B$12*(1+Inputs!$B$13/100))*0.01+Inputs!$B$14*0.0025)/100)*(1+Inputs!$B$15/100)*(1+Inputs!$B$16/100)*(5000/(6000+Inputs!$B$42*(1-(Inputs!$B$19+0)/100)))*(1+(Inputs!$B$24+((C317=TRUE)*(F317-Calc!F26))+B327)/100)*(1+(IF(Skills!A11="EIGHT_LEGS_EASTON",Inputs!$B$17+((C314=TRUE)*(F314-Calc!F23))+((C318=TRUE)*(F318-Calc!F27)),Inputs!$B$18+0))/100)*((1+(((C308=TRUE)*F308)+((C315=TRUE)*(F315-Calc!F24)))/100)*I302)</f>
        <v/>
      </c>
      <c r="L302">
        <f>K302*(MIN(Inputs!$B$22+((C313=TRUE)*(F313-Calc!F22)),Inputs!$B$23+0)/100+(Inputs!$B$23+0)/100)/2</f>
        <v/>
      </c>
      <c r="M302">
        <f>L302*(1+(Inputs!$B$10+((C316=TRUE)*(F316-Calc!F25))+B326)/100)</f>
        <v/>
      </c>
      <c r="N302">
        <f>L302*(1-MIN((Inputs!$B$9+((C310=TRUE)*(F310-Calc!F19))+B321),100)/100)+M302*(MIN((Inputs!$B$9+((C310=TRUE)*(F310-Calc!F19))+B321),100)/100)</f>
        <v/>
      </c>
      <c r="O302">
        <f>(1-Summary!$B$55)*T302+Summary!$B$55*V302</f>
        <v/>
      </c>
      <c r="P302">
        <f>IF(B331=0,0,O302/B331)</f>
        <v/>
      </c>
      <c r="Q302">
        <f>IFERROR(1/IF(Inputs!$B$38="pvp",15,MAX(0.1,Skills!D11-IF(Skills!E11=TRUE,Inputs!$B$32,0))),0)</f>
        <v/>
      </c>
      <c r="R302">
        <f>IF(AND(Inputs!$B$38&lt;&gt;"pvp",Inputs!$B$43&gt;0),IF(MAX(0,Inputs!$B$43-B328)&lt;=0,0,(INT(MAX(0,Inputs!$B$43-B328)/IF(Inputs!$B$38="pvp",15,MAX(0.1,Skills!D11-IF(Skills!E11=TRUE,Inputs!$B$32,0))))+1)),0)</f>
        <v/>
      </c>
      <c r="S302">
        <f>IFERROR(O302/N302,0)</f>
        <v/>
      </c>
      <c r="T302">
        <f>IF(C302,(H302*N302*IF(AND(Inputs!$B$38&lt;&gt;"pvp",Inputs!$B$43&gt;0),((Skills!G11*((R302-1)*IF(Skills!H11&gt;0,Skills!I11/Skills!H11,1)+IF(Skills!H11&gt;0,MIN(Skills!I11,MAX(0,MAX(0,Inputs!$B$43-B328)-((R302-1)*IF(Inputs!$B$38="pvp",15,MAX(0.1,Skills!D11-IF(Skills!E11=TRUE,Inputs!$B$32,0))))))/Skills!H11,1)))/Inputs!$B$43),G302*Q302))*IF(Inputs!$B$38="pvp",1,1+(Inputs!$B$20+0+Skills!P11)/100),0)</f>
        <v/>
      </c>
      <c r="V302">
        <f>IF(C302,(H302*N302*IF(AND(Inputs!$B$38&lt;&gt;"pvp",Inputs!$B$43&gt;0),((Skills!G11*((R302-1)*IF(Skills!H11&gt;0,Skills!I11/Skills!H11,1)+IF(Skills!H11&gt;0,MIN(Skills!I11,MAX(0,MAX(0,Inputs!$B$43-B328)-((R302-1)*IF(Inputs!$B$38="pvp",15,MAX(0.1,Skills!D11-IF(Skills!E11=TRUE,Inputs!$B$32,0))))))/Skills!H11,1)))/Inputs!$B$43),G302*Q302))*IF(Inputs!$B$38="pvp",1,(1+((Inputs!$B$21+1)+Skills!Q11)/100)*(MIN(Skills!R11,Inputs!$B$37))),0)</f>
        <v/>
      </c>
    </row>
    <row r="303">
      <c r="A303">
        <f>Skills!A12</f>
        <v/>
      </c>
      <c r="B303">
        <f>Skills!B12</f>
        <v/>
      </c>
      <c r="C303">
        <f>Inputs!$B$3&gt;=110</f>
        <v/>
      </c>
      <c r="D303">
        <f>IF(Skills!C12=1,60+Inputs!$B$25+Inputs!$B$29,IF(Skills!C12=2,90+Inputs!$B$26+Inputs!$B$29,IF(Skills!C12=3,120+Inputs!$B$27+Inputs!$B$29,MAX(0,(Inputs!$B$3-100)*3)+Inputs!$B$28+Inputs!$B$29)))</f>
        <v/>
      </c>
      <c r="E303">
        <f>INDEX(FactorTable!$B$2:$Y$301, MATCH(ROUND(MIN(300,MAX(1,D303)),0), FactorTable!$A$2:$A$301,0), Skills!M12+1)</f>
        <v/>
      </c>
      <c r="F303">
        <f>IF(Skills!N12=TRUE,(Skills!L12/10)*(E303/1000),Skills!L12/10)+Skills!O12</f>
        <v/>
      </c>
      <c r="G303">
        <f>Skills!G12*IF(Skills!H12&gt;0,Skills!I12/Skills!H12,1)</f>
        <v/>
      </c>
      <c r="H303">
        <f>1-(1-Skills!J12/100)^Skills!K12</f>
        <v/>
      </c>
      <c r="I303" t="inlineStr">
        <is>
          <t>1</t>
        </is>
      </c>
      <c r="J303">
        <f>((Inputs!$B$6*(1+Inputs!$B$7/100))+(((Inputs!$B$12*(1+Inputs!$B$13/100))-(Inputs!$B$12*(1+Inputs!$B$13/100)))+0.25*(Inputs!$B$14-Inputs!$B$14))*(1+Inputs!$B$7/100))*(F303/100)</f>
        <v/>
      </c>
      <c r="K303">
        <f>J303*(1+((Inputs!$B$12*(1+Inputs!$B$13/100))*0.01+Inputs!$B$14*0.0025)/100)*(1+Inputs!$B$15/100)*(1+Inputs!$B$16/100)*(5000/(6000+Inputs!$B$42*(1-(Inputs!$B$19+0)/100)))*(1+(Inputs!$B$24+((C317=TRUE)*(F317-Calc!F26))+B327)/100)*(1+(IF(Skills!A12="EIGHT_LEGS_EASTON",Inputs!$B$17+((C314=TRUE)*(F314-Calc!F23))+((C318=TRUE)*(F318-Calc!F27)),Inputs!$B$18+0))/100)*((1+(((C308=TRUE)*F308)+((C315=TRUE)*(F315-Calc!F24)))/100)*I303)</f>
        <v/>
      </c>
      <c r="L303">
        <f>K303*(MIN(Inputs!$B$22+((C313=TRUE)*(F313-Calc!F22)),Inputs!$B$23+0)/100+(Inputs!$B$23+0)/100)/2</f>
        <v/>
      </c>
      <c r="M303">
        <f>L303*(1+(Inputs!$B$10+((C316=TRUE)*(F316-Calc!F25))+B326)/100)</f>
        <v/>
      </c>
      <c r="N303">
        <f>L303*(1-MIN((Inputs!$B$9+((C310=TRUE)*(F310-Calc!F19))+B321),100)/100)+M303*(MIN((Inputs!$B$9+((C310=TRUE)*(F310-Calc!F19))+B321),100)/100)</f>
        <v/>
      </c>
      <c r="O303">
        <f>(1-Summary!$B$55)*T303+Summary!$B$55*V303</f>
        <v/>
      </c>
      <c r="P303">
        <f>IF(B331=0,0,O303/B331)</f>
        <v/>
      </c>
      <c r="Q303">
        <f>IFERROR(1/IF(Inputs!$B$38="pvp",15,MAX(0.1,Skills!D12-IF(Skills!E12=TRUE,Inputs!$B$32,0))),0)</f>
        <v/>
      </c>
      <c r="R303">
        <f>IF(AND(Inputs!$B$38&lt;&gt;"pvp",Inputs!$B$43&gt;0),IF(MAX(0,Inputs!$B$43-B328)&lt;=0,0,(INT(MAX(0,Inputs!$B$43-B328)/IF(Inputs!$B$38="pvp",15,MAX(0.1,Skills!D12-IF(Skills!E12=TRUE,Inputs!$B$32,0))))+1)),0)</f>
        <v/>
      </c>
      <c r="S303">
        <f>IFERROR(O303/N303,0)</f>
        <v/>
      </c>
      <c r="T303">
        <f>IF(C303,(H303*N303*IF(AND(Inputs!$B$38&lt;&gt;"pvp",Inputs!$B$43&gt;0),((Skills!G12*((R303-1)*IF(Skills!H12&gt;0,Skills!I12/Skills!H12,1)+IF(Skills!H12&gt;0,MIN(Skills!I12,MAX(0,MAX(0,Inputs!$B$43-B328)-((R303-1)*IF(Inputs!$B$38="pvp",15,MAX(0.1,Skills!D12-IF(Skills!E12=TRUE,Inputs!$B$32,0))))))/Skills!H12,1)))/Inputs!$B$43),G303*Q303))*IF(Inputs!$B$38="pvp",1,1+(Inputs!$B$20+0+Skills!P12)/100),0)</f>
        <v/>
      </c>
      <c r="V303">
        <f>IF(C303,(H303*N303*IF(AND(Inputs!$B$38&lt;&gt;"pvp",Inputs!$B$43&gt;0),((Skills!G12*((R303-1)*IF(Skills!H12&gt;0,Skills!I12/Skills!H12,1)+IF(Skills!H12&gt;0,MIN(Skills!I12,MAX(0,MAX(0,Inputs!$B$43-B328)-((R303-1)*IF(Inputs!$B$38="pvp",15,MAX(0.1,Skills!D12-IF(Skills!E12=TRUE,Inputs!$B$32,0))))))/Skills!H12,1)))/Inputs!$B$43),G303*Q303))*IF(Inputs!$B$38="pvp",1,(1+((Inputs!$B$21+1)+Skills!Q12)/100)*(MIN(Skills!R12,Inputs!$B$37))),0)</f>
        <v/>
      </c>
    </row>
    <row r="304">
      <c r="A304">
        <f>Skills!A13</f>
        <v/>
      </c>
      <c r="B304">
        <f>Skills!B13</f>
        <v/>
      </c>
      <c r="C304">
        <f>Inputs!$B$3&gt;=110</f>
        <v/>
      </c>
      <c r="D304">
        <f>IF(Skills!C13=1,60+Inputs!$B$25+Inputs!$B$29,IF(Skills!C13=2,90+Inputs!$B$26+Inputs!$B$29,IF(Skills!C13=3,120+Inputs!$B$27+Inputs!$B$29,MAX(0,(Inputs!$B$3-100)*3)+Inputs!$B$28+Inputs!$B$29)))</f>
        <v/>
      </c>
      <c r="E304">
        <f>INDEX(FactorTable!$B$2:$Y$301, MATCH(ROUND(MIN(300,MAX(1,D304)),0), FactorTable!$A$2:$A$301,0), Skills!M13+1)</f>
        <v/>
      </c>
      <c r="F304">
        <f>IF(Skills!N13=TRUE,(Skills!L13/10)*(E304/1000),Skills!L13/10)+Skills!O13</f>
        <v/>
      </c>
      <c r="G304">
        <f>Skills!G13*IF(Skills!H13&gt;0,Skills!I13/Skills!H13,1)</f>
        <v/>
      </c>
      <c r="H304">
        <f>1-(1-Skills!J13/100)^Skills!K13</f>
        <v/>
      </c>
      <c r="I304" t="inlineStr">
        <is>
          <t>1</t>
        </is>
      </c>
      <c r="J304">
        <f>((Inputs!$B$6*(1+Inputs!$B$7/100))+(((Inputs!$B$12*(1+Inputs!$B$13/100))-(Inputs!$B$12*(1+Inputs!$B$13/100)))+0.25*(Inputs!$B$14-Inputs!$B$14))*(1+Inputs!$B$7/100))*(F304/100)</f>
        <v/>
      </c>
      <c r="K304">
        <f>J304*(1+((Inputs!$B$12*(1+Inputs!$B$13/100))*0.01+Inputs!$B$14*0.0025)/100)*(1+Inputs!$B$15/100)*(1+Inputs!$B$16/100)*(5000/(6000+Inputs!$B$42*(1-(Inputs!$B$19+0)/100)))*(1+(Inputs!$B$24+((C317=TRUE)*(F317-Calc!F26))+B327)/100)*(1+(IF(Skills!A13="EIGHT_LEGS_EASTON",Inputs!$B$17+((C314=TRUE)*(F314-Calc!F23))+((C318=TRUE)*(F318-Calc!F27)),Inputs!$B$18+0))/100)*((1+(((C308=TRUE)*F308)+((C315=TRUE)*(F315-Calc!F24)))/100)*I304)</f>
        <v/>
      </c>
      <c r="L304">
        <f>K304*(MIN(Inputs!$B$22+((C313=TRUE)*(F313-Calc!F22)),Inputs!$B$23+0)/100+(Inputs!$B$23+0)/100)/2</f>
        <v/>
      </c>
      <c r="M304">
        <f>L304*(1+(Inputs!$B$10+((C316=TRUE)*(F316-Calc!F25))+B326)/100)</f>
        <v/>
      </c>
      <c r="N304">
        <f>L304*(1-MIN((Inputs!$B$9+((C310=TRUE)*(F310-Calc!F19))+B321),100)/100)+M304*(MIN((Inputs!$B$9+((C310=TRUE)*(F310-Calc!F19))+B321),100)/100)</f>
        <v/>
      </c>
      <c r="O304">
        <f>(1-Summary!$B$55)*T304+Summary!$B$55*V304</f>
        <v/>
      </c>
      <c r="P304">
        <f>IF(B331=0,0,O304/B331)</f>
        <v/>
      </c>
      <c r="Q304">
        <f>IFERROR(1/IF(Inputs!$B$38="pvp",15,MAX(0.1,Skills!D13-IF(Skills!E13=TRUE,Inputs!$B$32,0))),0)</f>
        <v/>
      </c>
      <c r="R304">
        <f>IF(AND(Inputs!$B$38&lt;&gt;"pvp",Inputs!$B$43&gt;0),IF(MAX(0,Inputs!$B$43-B328)&lt;=0,0,(INT(MAX(0,Inputs!$B$43-B328)/IF(Inputs!$B$38="pvp",15,MAX(0.1,Skills!D13-IF(Skills!E13=TRUE,Inputs!$B$32,0))))+1)),0)</f>
        <v/>
      </c>
      <c r="S304">
        <f>IFERROR(O304/N304,0)</f>
        <v/>
      </c>
      <c r="T304">
        <f>IF(C304,(H304*N304*IF(AND(Inputs!$B$38&lt;&gt;"pvp",Inputs!$B$43&gt;0),((Skills!G13*((R304-1)*IF(Skills!H13&gt;0,Skills!I13/Skills!H13,1)+IF(Skills!H13&gt;0,MIN(Skills!I13,MAX(0,MAX(0,Inputs!$B$43-B328)-((R304-1)*IF(Inputs!$B$38="pvp",15,MAX(0.1,Skills!D13-IF(Skills!E13=TRUE,Inputs!$B$32,0))))))/Skills!H13,1)))/Inputs!$B$43),G304*Q304))*IF(Inputs!$B$38="pvp",1,1+(Inputs!$B$20+0+Skills!P13)/100),0)</f>
        <v/>
      </c>
      <c r="V304">
        <f>IF(C304,(H304*N304*IF(AND(Inputs!$B$38&lt;&gt;"pvp",Inputs!$B$43&gt;0),((Skills!G13*((R304-1)*IF(Skills!H13&gt;0,Skills!I13/Skills!H13,1)+IF(Skills!H13&gt;0,MIN(Skills!I13,MAX(0,MAX(0,Inputs!$B$43-B328)-((R304-1)*IF(Inputs!$B$38="pvp",15,MAX(0.1,Skills!D13-IF(Skills!E13=TRUE,Inputs!$B$32,0))))))/Skills!H13,1)))/Inputs!$B$43),G304*Q304))*IF(Inputs!$B$38="pvp",1,(1+((Inputs!$B$21+1)+Skills!Q13)/100)*(MIN(Skills!R13,Inputs!$B$37))),0)</f>
        <v/>
      </c>
    </row>
    <row r="305">
      <c r="A305">
        <f>Skills!A14</f>
        <v/>
      </c>
      <c r="B305">
        <f>Skills!B14</f>
        <v/>
      </c>
      <c r="C305">
        <f>Inputs!$B$3&gt;=125</f>
        <v/>
      </c>
      <c r="D305">
        <f>IF(Skills!C14=1,60+Inputs!$B$25+Inputs!$B$29,IF(Skills!C14=2,90+Inputs!$B$26+Inputs!$B$29,IF(Skills!C14=3,120+Inputs!$B$27+Inputs!$B$29,MAX(0,(Inputs!$B$3-100)*3)+Inputs!$B$28+Inputs!$B$29)))</f>
        <v/>
      </c>
      <c r="E305">
        <f>INDEX(FactorTable!$B$2:$Y$301, MATCH(ROUND(MIN(300,MAX(1,D305)),0), FactorTable!$A$2:$A$301,0), Skills!M14+1)</f>
        <v/>
      </c>
      <c r="F305">
        <f>IF(Skills!N14=TRUE,(Skills!L14/10)*(E305/1000),Skills!L14/10)+Skills!O14</f>
        <v/>
      </c>
      <c r="G305">
        <f>Skills!G14*IF(Skills!H14&gt;0,Skills!I14/Skills!H14,1)</f>
        <v/>
      </c>
      <c r="H305">
        <f>1-(1-Skills!J14/100)^Skills!K14</f>
        <v/>
      </c>
      <c r="I305" t="inlineStr">
        <is>
          <t>1</t>
        </is>
      </c>
      <c r="J305">
        <f>((Inputs!$B$6*(1+Inputs!$B$7/100))+(((Inputs!$B$12*(1+Inputs!$B$13/100))-(Inputs!$B$12*(1+Inputs!$B$13/100)))+0.25*(Inputs!$B$14-Inputs!$B$14))*(1+Inputs!$B$7/100))*(F305/100)</f>
        <v/>
      </c>
      <c r="K305">
        <f>J305*(1+((Inputs!$B$12*(1+Inputs!$B$13/100))*0.01+Inputs!$B$14*0.0025)/100)*(1+Inputs!$B$15/100)*(1+Inputs!$B$16/100)*(5000/(6000+Inputs!$B$42*(1-(Inputs!$B$19+0)/100)))*(1+(Inputs!$B$24+((C317=TRUE)*(F317-Calc!F26))+B327)/100)*(1+(IF(Skills!A14="EIGHT_LEGS_EASTON",Inputs!$B$17+((C314=TRUE)*(F314-Calc!F23))+((C318=TRUE)*(F318-Calc!F27)),Inputs!$B$18+0))/100)*((1+(((C308=TRUE)*F308)+((C315=TRUE)*(F315-Calc!F24)))/100)*I305)</f>
        <v/>
      </c>
      <c r="L305">
        <f>K305*(MIN(Inputs!$B$22+((C313=TRUE)*(F313-Calc!F22)),Inputs!$B$23+0)/100+(Inputs!$B$23+0)/100)/2</f>
        <v/>
      </c>
      <c r="M305">
        <f>L305*(1+(Inputs!$B$10+((C316=TRUE)*(F316-Calc!F25))+B326)/100)</f>
        <v/>
      </c>
      <c r="N305">
        <f>L305*(1-MIN((Inputs!$B$9+((C310=TRUE)*(F310-Calc!F19))+B321),100)/100)+M305*(MIN((Inputs!$B$9+((C310=TRUE)*(F310-Calc!F19))+B321),100)/100)</f>
        <v/>
      </c>
      <c r="O305">
        <f>(1-Summary!$B$55)*T305+Summary!$B$55*V305</f>
        <v/>
      </c>
      <c r="P305">
        <f>IF(B331=0,0,O305/B331)</f>
        <v/>
      </c>
      <c r="Q305" t="n">
        <v>0</v>
      </c>
      <c r="R305" t="n">
        <v>0</v>
      </c>
      <c r="S305">
        <f>IFERROR(O305/N305,0)</f>
        <v/>
      </c>
      <c r="T305">
        <f>IF(C305,(H305*N305*(B325+IF(AND(Inputs!$B$38&lt;&gt;"pvp",Inputs!$B$43&gt;0),((Skills!G8*((R299-1)*IF(Skills!H8&gt;0,Skills!I8/Skills!H8,1)+IF(Skills!H8&gt;0,MIN(Skills!I8,MAX(0,MAX(0,Inputs!$B$43-B328)-((R299-1)*IF(Inputs!$B$38="pvp",15,MAX(0.1,Skills!D8-IF(Skills!E8=TRUE,Inputs!$B$32,0))))))/Skills!H8,1)))/Inputs!$B$43),G299*Q299)+IF(AND(Inputs!$B$38&lt;&gt;"pvp",Inputs!$B$43&gt;0),((Skills!G11*((R302-1)*IF(Skills!H11&gt;0,Skills!I11/Skills!H11,1)+IF(Skills!H11&gt;0,MIN(Skills!I11,MAX(0,MAX(0,Inputs!$B$43-B328)-((R302-1)*IF(Inputs!$B$38="pvp",15,MAX(0.1,Skills!D11-IF(Skills!E11=TRUE,Inputs!$B$32,0))))))/Skills!H11,1)))/Inputs!$B$43),G302*Q302)))*IF(Inputs!$B$38="pvp",1,1+(Inputs!$B$20+0+Skills!P14)/100),0)</f>
        <v/>
      </c>
      <c r="V305">
        <f>IF(C305,(H305*N305*(B325+IF(AND(Inputs!$B$38&lt;&gt;"pvp",Inputs!$B$43&gt;0),((Skills!G8*((R299-1)*IF(Skills!H8&gt;0,Skills!I8/Skills!H8,1)+IF(Skills!H8&gt;0,MIN(Skills!I8,MAX(0,MAX(0,Inputs!$B$43-B328)-((R299-1)*IF(Inputs!$B$38="pvp",15,MAX(0.1,Skills!D8-IF(Skills!E8=TRUE,Inputs!$B$32,0))))))/Skills!H8,1)))/Inputs!$B$43),G299*Q299)+IF(AND(Inputs!$B$38&lt;&gt;"pvp",Inputs!$B$43&gt;0),((Skills!G11*((R302-1)*IF(Skills!H11&gt;0,Skills!I11/Skills!H11,1)+IF(Skills!H11&gt;0,MIN(Skills!I11,MAX(0,MAX(0,Inputs!$B$43-B328)-((R302-1)*IF(Inputs!$B$38="pvp",15,MAX(0.1,Skills!D11-IF(Skills!E11=TRUE,Inputs!$B$32,0))))))/Skills!H11,1)))/Inputs!$B$43),G302*Q302)))*IF(Inputs!$B$38="pvp",1,(1+((Inputs!$B$21+1)+Skills!Q14)/100)*(MIN(Skills!R14,Inputs!$B$37))),0)</f>
        <v/>
      </c>
    </row>
    <row r="306">
      <c r="A306">
        <f>Skills!A15</f>
        <v/>
      </c>
      <c r="B306">
        <f>Skills!B15</f>
        <v/>
      </c>
      <c r="C306">
        <f>Inputs!$B$3&gt;=100</f>
        <v/>
      </c>
      <c r="D306">
        <f>IF(Skills!C15=1,60+Inputs!$B$25+Inputs!$B$29,IF(Skills!C15=2,90+Inputs!$B$26+Inputs!$B$29,IF(Skills!C15=3,120+Inputs!$B$27+Inputs!$B$29,MAX(0,(Inputs!$B$3-100)*3)+Inputs!$B$28+Inputs!$B$29)))</f>
        <v/>
      </c>
      <c r="E306">
        <f>INDEX(FactorTable!$B$2:$Y$301, MATCH(ROUND(MIN(300,MAX(1,D306)),0), FactorTable!$A$2:$A$301,0), Skills!M15+1)</f>
        <v/>
      </c>
      <c r="F306">
        <f>IF(Skills!N15=TRUE,(Skills!L15/10)*(E306/1000),Skills!L15/10)+Skills!O15</f>
        <v/>
      </c>
      <c r="G306" t="inlineStr"/>
      <c r="H306" t="inlineStr"/>
      <c r="I306" t="inlineStr">
        <is>
          <t>1</t>
        </is>
      </c>
      <c r="J306" t="inlineStr"/>
      <c r="K306" t="inlineStr"/>
      <c r="L306" t="inlineStr"/>
      <c r="M306" t="inlineStr"/>
      <c r="N306" t="inlineStr"/>
      <c r="O306" t="inlineStr"/>
      <c r="P306" t="inlineStr"/>
      <c r="Q306" t="inlineStr"/>
      <c r="R306" t="inlineStr"/>
      <c r="S306" t="inlineStr"/>
    </row>
    <row r="307">
      <c r="A307">
        <f>Skills!A16</f>
        <v/>
      </c>
      <c r="B307">
        <f>Skills!B16</f>
        <v/>
      </c>
      <c r="C307">
        <f>Inputs!$B$3&gt;=120</f>
        <v/>
      </c>
      <c r="D307">
        <f>IF(Skills!C16=1,60+Inputs!$B$25+Inputs!$B$29,IF(Skills!C16=2,90+Inputs!$B$26+Inputs!$B$29,IF(Skills!C16=3,120+Inputs!$B$27+Inputs!$B$29,MAX(0,(Inputs!$B$3-100)*3)+Inputs!$B$28+Inputs!$B$29)))</f>
        <v/>
      </c>
      <c r="E307">
        <f>INDEX(FactorTable!$B$2:$Y$301, MATCH(ROUND(MIN(300,MAX(1,D307)),0), FactorTable!$A$2:$A$301,0), Skills!M16+1)</f>
        <v/>
      </c>
      <c r="F307">
        <f>IF(Skills!N16=TRUE,(Skills!L16/10)*(E307/1000),Skills!L16/10)+Skills!O16</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Skills!A17</f>
        <v/>
      </c>
      <c r="B308">
        <f>Skills!B17</f>
        <v/>
      </c>
      <c r="C308">
        <f>Inputs!$B$3&gt;=66</f>
        <v/>
      </c>
      <c r="D308">
        <f>IF(Skills!C17=1,60+Inputs!$B$25+Inputs!$B$29,IF(Skills!C17=2,90+Inputs!$B$26+Inputs!$B$29,IF(Skills!C17=3,120+Inputs!$B$27+Inputs!$B$29,MAX(0,(Inputs!$B$3-100)*3)+Inputs!$B$28+Inputs!$B$29)))</f>
        <v/>
      </c>
      <c r="E308">
        <f>INDEX(FactorTable!$B$2:$Y$301, MATCH(ROUND(MIN(300,MAX(1,D308)),0), FactorTable!$A$2:$A$301,0), Skills!M17+1)</f>
        <v/>
      </c>
      <c r="F308">
        <f>IF(Skills!N17=TRUE,(Skills!L17/10)*(E308/1000),Skills!L17/10)+Skills!O17</f>
        <v/>
      </c>
      <c r="G308">
        <f>Skills!G17*IF(Skills!H17&gt;0,Skills!I17/Skills!H17,1)</f>
        <v/>
      </c>
      <c r="H308">
        <f>1-(1-Skills!J17/100)^Skills!K17</f>
        <v/>
      </c>
      <c r="I308" t="inlineStr">
        <is>
          <t>1</t>
        </is>
      </c>
      <c r="J308" t="inlineStr"/>
      <c r="K308" t="inlineStr"/>
      <c r="L308" t="inlineStr"/>
      <c r="M308" t="inlineStr"/>
      <c r="N308" t="inlineStr"/>
      <c r="O308">
        <f>(1-Summary!$B$55)*T308+Summary!$B$55*V308</f>
        <v/>
      </c>
      <c r="P308">
        <f>IF(B331=0,0,O308/B331)</f>
        <v/>
      </c>
      <c r="Q308" t="n">
        <v>0</v>
      </c>
      <c r="R308" t="n">
        <v>0</v>
      </c>
      <c r="S308">
        <f>IFERROR(O308/N308,0)</f>
        <v/>
      </c>
      <c r="T308" t="n">
        <v>0</v>
      </c>
      <c r="V308" t="n">
        <v>0</v>
      </c>
    </row>
    <row r="309">
      <c r="A309">
        <f>Skills!A18</f>
        <v/>
      </c>
      <c r="B309">
        <f>Skills!B18</f>
        <v/>
      </c>
      <c r="C309">
        <f>Inputs!$B$3&gt;=115</f>
        <v/>
      </c>
      <c r="D309">
        <f>IF(Skills!C18=1,60+Inputs!$B$25+Inputs!$B$29,IF(Skills!C18=2,90+Inputs!$B$26+Inputs!$B$29,IF(Skills!C18=3,120+Inputs!$B$27+Inputs!$B$29,MAX(0,(Inputs!$B$3-100)*3)+Inputs!$B$28+Inputs!$B$29)))</f>
        <v/>
      </c>
      <c r="E309">
        <f>INDEX(FactorTable!$B$2:$Y$301, MATCH(ROUND(MIN(300,MAX(1,D309)),0), FactorTable!$A$2:$A$301,0), Skills!M18+1)</f>
        <v/>
      </c>
      <c r="F309">
        <f>IF(Skills!N18=TRUE,(Skills!L18/10)*(E309/1000),Skills!L18/10)+Skills!O18</f>
        <v/>
      </c>
      <c r="G309">
        <f>Skills!G18*IF(Skills!H18&gt;0,Skills!I18/Skills!H18,1)</f>
        <v/>
      </c>
      <c r="H309">
        <f>1-(1-Skills!J18/100)^Skills!K18</f>
        <v/>
      </c>
      <c r="I309" t="inlineStr">
        <is>
          <t>1</t>
        </is>
      </c>
      <c r="J309" t="inlineStr"/>
      <c r="K309" t="inlineStr"/>
      <c r="L309" t="inlineStr"/>
      <c r="M309" t="inlineStr"/>
      <c r="N309" t="inlineStr"/>
      <c r="O309">
        <f>(1-Summary!$B$55)*T309+Summary!$B$55*V309</f>
        <v/>
      </c>
      <c r="P309">
        <f>IF(B331=0,0,O309/B331)</f>
        <v/>
      </c>
      <c r="Q309" t="n">
        <v>0</v>
      </c>
      <c r="R309" t="n">
        <v>0</v>
      </c>
      <c r="S309">
        <f>IFERROR(O309/N309,0)</f>
        <v/>
      </c>
      <c r="T309" t="n">
        <v>0</v>
      </c>
      <c r="V309" t="n">
        <v>0</v>
      </c>
    </row>
    <row r="310">
      <c r="A310">
        <f>Skills!A19</f>
        <v/>
      </c>
      <c r="B310">
        <f>Skills!B19</f>
        <v/>
      </c>
      <c r="C310">
        <f>Inputs!$B$3&gt;=15</f>
        <v/>
      </c>
      <c r="D310">
        <f>IF(Skills!C19=1,60+Inputs!$B$25+Inputs!$B$29,IF(Skills!C19=2,90+Inputs!$B$26+Inputs!$B$29,IF(Skills!C19=3,120+Inputs!$B$27+Inputs!$B$29,MAX(0,(Inputs!$B$3-100)*3)+Inputs!$B$28+Inputs!$B$29)))</f>
        <v/>
      </c>
      <c r="E310">
        <f>INDEX(FactorTable!$B$2:$Y$301, MATCH(ROUND(MIN(300,MAX(1,D310)),0), FactorTable!$A$2:$A$301,0), Skills!M19+1)</f>
        <v/>
      </c>
      <c r="F310">
        <f>IF(Skills!N19=TRUE,(Skills!L19/10)*(E310/1000),Skills!L19/10)+Skills!O19</f>
        <v/>
      </c>
      <c r="G310">
        <f>Skills!G19*IF(Skills!H19&gt;0,Skills!I19/Skills!H19,1)</f>
        <v/>
      </c>
      <c r="H310">
        <f>1-(1-Skills!J19/100)^Skills!K19</f>
        <v/>
      </c>
      <c r="I310" t="inlineStr">
        <is>
          <t>1</t>
        </is>
      </c>
      <c r="J310" t="inlineStr"/>
      <c r="K310" t="inlineStr"/>
      <c r="L310" t="inlineStr"/>
      <c r="M310" t="inlineStr"/>
      <c r="N310" t="inlineStr"/>
      <c r="O310">
        <f>(1-Summary!$B$55)*T310+Summary!$B$55*V310</f>
        <v/>
      </c>
      <c r="P310">
        <f>IF(B331=0,0,O310/B331)</f>
        <v/>
      </c>
      <c r="Q310" t="n">
        <v>0</v>
      </c>
      <c r="R310" t="n">
        <v>0</v>
      </c>
      <c r="S310">
        <f>IFERROR(O310/N310,0)</f>
        <v/>
      </c>
      <c r="T310" t="n">
        <v>0</v>
      </c>
      <c r="V310" t="n">
        <v>0</v>
      </c>
    </row>
    <row r="311">
      <c r="A311">
        <f>Skills!A20</f>
        <v/>
      </c>
      <c r="B311">
        <f>Skills!B20</f>
        <v/>
      </c>
      <c r="C311">
        <f>Inputs!$B$3&gt;=10</f>
        <v/>
      </c>
      <c r="D311">
        <f>IF(Skills!C20=1,60+Inputs!$B$25+Inputs!$B$29,IF(Skills!C20=2,90+Inputs!$B$26+Inputs!$B$29,IF(Skills!C20=3,120+Inputs!$B$27+Inputs!$B$29,MAX(0,(Inputs!$B$3-100)*3)+Inputs!$B$28+Inputs!$B$29)))</f>
        <v/>
      </c>
      <c r="E311">
        <f>INDEX(FactorTable!$B$2:$Y$301, MATCH(ROUND(MIN(300,MAX(1,D311)),0), FactorTable!$A$2:$A$301,0), Skills!M20+1)</f>
        <v/>
      </c>
      <c r="F311">
        <f>IF(Skills!N20=TRUE,(Skills!L20/10)*(E311/1000),Skills!L20/10)+Skills!O20</f>
        <v/>
      </c>
      <c r="G311">
        <f>Skills!G20*IF(Skills!H20&gt;0,Skills!I20/Skills!H20,1)</f>
        <v/>
      </c>
      <c r="H311">
        <f>1-(1-Skills!J20/100)^Skills!K20</f>
        <v/>
      </c>
      <c r="I311" t="inlineStr">
        <is>
          <t>1</t>
        </is>
      </c>
      <c r="J311" t="inlineStr"/>
      <c r="K311" t="inlineStr"/>
      <c r="L311" t="inlineStr"/>
      <c r="M311" t="inlineStr"/>
      <c r="N311" t="inlineStr"/>
      <c r="O311">
        <f>(1-Summary!$B$55)*T311+Summary!$B$55*V311</f>
        <v/>
      </c>
      <c r="P311">
        <f>IF(B331=0,0,O311/B331)</f>
        <v/>
      </c>
      <c r="Q311" t="n">
        <v>0</v>
      </c>
      <c r="R311" t="n">
        <v>0</v>
      </c>
      <c r="S311">
        <f>IFERROR(O311/N311,0)</f>
        <v/>
      </c>
      <c r="T311" t="n">
        <v>0</v>
      </c>
      <c r="V311" t="n">
        <v>0</v>
      </c>
    </row>
    <row r="312">
      <c r="A312">
        <f>Skills!A21</f>
        <v/>
      </c>
      <c r="B312">
        <f>Skills!B21</f>
        <v/>
      </c>
      <c r="C312">
        <f>Inputs!$B$3&gt;=33</f>
        <v/>
      </c>
      <c r="D312">
        <f>IF(Skills!C21=1,60+Inputs!$B$25+Inputs!$B$29,IF(Skills!C21=2,90+Inputs!$B$26+Inputs!$B$29,IF(Skills!C21=3,120+Inputs!$B$27+Inputs!$B$29,MAX(0,(Inputs!$B$3-100)*3)+Inputs!$B$28+Inputs!$B$29)))</f>
        <v/>
      </c>
      <c r="E312">
        <f>INDEX(FactorTable!$B$2:$Y$301, MATCH(ROUND(MIN(300,MAX(1,D312)),0), FactorTable!$A$2:$A$301,0), Skills!M21+1)</f>
        <v/>
      </c>
      <c r="F312">
        <f>IF(Skills!N21=TRUE,(Skills!L21/10)*(E312/1000),Skills!L21/10)+Skills!O21</f>
        <v/>
      </c>
      <c r="G312">
        <f>Skills!G21*IF(Skills!H21&gt;0,Skills!I21/Skills!H21,1)</f>
        <v/>
      </c>
      <c r="H312">
        <f>1-(1-Skills!J21/100)^Skills!K21</f>
        <v/>
      </c>
      <c r="I312" t="inlineStr">
        <is>
          <t>1</t>
        </is>
      </c>
      <c r="J312" t="inlineStr"/>
      <c r="K312" t="inlineStr"/>
      <c r="L312" t="inlineStr"/>
      <c r="M312" t="inlineStr"/>
      <c r="N312" t="inlineStr"/>
      <c r="O312">
        <f>(1-Summary!$B$55)*T312+Summary!$B$55*V312</f>
        <v/>
      </c>
      <c r="P312">
        <f>IF(B331=0,0,O312/B331)</f>
        <v/>
      </c>
      <c r="Q312" t="n">
        <v>0</v>
      </c>
      <c r="R312" t="n">
        <v>0</v>
      </c>
      <c r="S312">
        <f>IFERROR(O312/N312,0)</f>
        <v/>
      </c>
      <c r="T312" t="n">
        <v>0</v>
      </c>
      <c r="V312" t="n">
        <v>0</v>
      </c>
    </row>
    <row r="313">
      <c r="A313">
        <f>Skills!A22</f>
        <v/>
      </c>
      <c r="B313">
        <f>Skills!B22</f>
        <v/>
      </c>
      <c r="C313">
        <f>Inputs!$B$3&gt;=43</f>
        <v/>
      </c>
      <c r="D313">
        <f>IF(Skills!C22=1,60+Inputs!$B$25+Inputs!$B$29,IF(Skills!C22=2,90+Inputs!$B$26+Inputs!$B$29,IF(Skills!C22=3,120+Inputs!$B$27+Inputs!$B$29,MAX(0,(Inputs!$B$3-100)*3)+Inputs!$B$28+Inputs!$B$29)))</f>
        <v/>
      </c>
      <c r="E313">
        <f>INDEX(FactorTable!$B$2:$Y$301, MATCH(ROUND(MIN(300,MAX(1,D313)),0), FactorTable!$A$2:$A$301,0), Skills!M22+1)</f>
        <v/>
      </c>
      <c r="F313">
        <f>IF(Skills!N22=TRUE,(Skills!L22/10)*(E313/1000),Skills!L22/10)+Skills!O22</f>
        <v/>
      </c>
      <c r="G313">
        <f>Skills!G22*IF(Skills!H22&gt;0,Skills!I22/Skills!H22,1)</f>
        <v/>
      </c>
      <c r="H313">
        <f>1-(1-Skills!J22/100)^Skills!K22</f>
        <v/>
      </c>
      <c r="I313" t="inlineStr">
        <is>
          <t>1</t>
        </is>
      </c>
      <c r="J313" t="inlineStr"/>
      <c r="K313" t="inlineStr"/>
      <c r="L313" t="inlineStr"/>
      <c r="M313" t="inlineStr"/>
      <c r="N313" t="inlineStr"/>
      <c r="O313">
        <f>(1-Summary!$B$55)*T313+Summary!$B$55*V313</f>
        <v/>
      </c>
      <c r="P313">
        <f>IF(B331=0,0,O313/B331)</f>
        <v/>
      </c>
      <c r="Q313" t="n">
        <v>0</v>
      </c>
      <c r="R313" t="n">
        <v>0</v>
      </c>
      <c r="S313">
        <f>IFERROR(O313/N313,0)</f>
        <v/>
      </c>
      <c r="T313" t="n">
        <v>0</v>
      </c>
      <c r="V313" t="n">
        <v>0</v>
      </c>
    </row>
    <row r="314">
      <c r="A314">
        <f>Skills!A23</f>
        <v/>
      </c>
      <c r="B314">
        <f>Skills!B23</f>
        <v/>
      </c>
      <c r="C314">
        <f>Inputs!$B$3&gt;=38</f>
        <v/>
      </c>
      <c r="D314">
        <f>IF(Skills!C23=1,60+Inputs!$B$25+Inputs!$B$29,IF(Skills!C23=2,90+Inputs!$B$26+Inputs!$B$29,IF(Skills!C23=3,120+Inputs!$B$27+Inputs!$B$29,MAX(0,(Inputs!$B$3-100)*3)+Inputs!$B$28+Inputs!$B$29)))</f>
        <v/>
      </c>
      <c r="E314">
        <f>INDEX(FactorTable!$B$2:$Y$301, MATCH(ROUND(MIN(300,MAX(1,D314)),0), FactorTable!$A$2:$A$301,0), Skills!M23+1)</f>
        <v/>
      </c>
      <c r="F314">
        <f>IF(Skills!N23=TRUE,(Skills!L23/10)*(E314/1000),Skills!L23/10)+Skills!O23</f>
        <v/>
      </c>
      <c r="G314">
        <f>Skills!G23*IF(Skills!H23&gt;0,Skills!I23/Skills!H23,1)</f>
        <v/>
      </c>
      <c r="H314">
        <f>1-(1-Skills!J23/100)^Skills!K23</f>
        <v/>
      </c>
      <c r="I314" t="inlineStr">
        <is>
          <t>1</t>
        </is>
      </c>
      <c r="J314" t="inlineStr"/>
      <c r="K314" t="inlineStr"/>
      <c r="L314" t="inlineStr"/>
      <c r="M314" t="inlineStr"/>
      <c r="N314" t="inlineStr"/>
      <c r="O314">
        <f>(1-Summary!$B$55)*T314+Summary!$B$55*V314</f>
        <v/>
      </c>
      <c r="P314">
        <f>IF(B331=0,0,O314/B331)</f>
        <v/>
      </c>
      <c r="Q314" t="n">
        <v>0</v>
      </c>
      <c r="R314" t="n">
        <v>0</v>
      </c>
      <c r="S314">
        <f>IFERROR(O314/N314,0)</f>
        <v/>
      </c>
      <c r="T314" t="n">
        <v>0</v>
      </c>
      <c r="V314" t="n">
        <v>0</v>
      </c>
    </row>
    <row r="315">
      <c r="A315">
        <f>Skills!A24</f>
        <v/>
      </c>
      <c r="B315">
        <f>Skills!B24</f>
        <v/>
      </c>
      <c r="C315">
        <f>Inputs!$B$3&gt;=40</f>
        <v/>
      </c>
      <c r="D315">
        <f>IF(Skills!C24=1,60+Inputs!$B$25+Inputs!$B$29,IF(Skills!C24=2,90+Inputs!$B$26+Inputs!$B$29,IF(Skills!C24=3,120+Inputs!$B$27+Inputs!$B$29,MAX(0,(Inputs!$B$3-100)*3)+Inputs!$B$28+Inputs!$B$29)))</f>
        <v/>
      </c>
      <c r="E315">
        <f>INDEX(FactorTable!$B$2:$Y$301, MATCH(ROUND(MIN(300,MAX(1,D315)),0), FactorTable!$A$2:$A$301,0), Skills!M24+1)</f>
        <v/>
      </c>
      <c r="F315">
        <f>IF(Skills!N24=TRUE,(Skills!L24/10)*(E315/1000),Skills!L24/10)+Skills!O24</f>
        <v/>
      </c>
      <c r="G315">
        <f>Skills!G24*IF(Skills!H24&gt;0,Skills!I24/Skills!H24,1)</f>
        <v/>
      </c>
      <c r="H315">
        <f>1-(1-Skills!J24/100)^Skills!K24</f>
        <v/>
      </c>
      <c r="I315" t="inlineStr">
        <is>
          <t>1</t>
        </is>
      </c>
      <c r="J315" t="inlineStr"/>
      <c r="K315" t="inlineStr"/>
      <c r="L315" t="inlineStr"/>
      <c r="M315" t="inlineStr"/>
      <c r="N315" t="inlineStr"/>
      <c r="O315">
        <f>(1-Summary!$B$55)*T315+Summary!$B$55*V315</f>
        <v/>
      </c>
      <c r="P315">
        <f>IF(B331=0,0,O315/B331)</f>
        <v/>
      </c>
      <c r="Q315" t="n">
        <v>0</v>
      </c>
      <c r="R315" t="n">
        <v>0</v>
      </c>
      <c r="S315">
        <f>IFERROR(O315/N315,0)</f>
        <v/>
      </c>
      <c r="T315" t="n">
        <v>0</v>
      </c>
      <c r="V315" t="n">
        <v>0</v>
      </c>
    </row>
    <row r="316">
      <c r="A316">
        <f>Skills!A25</f>
        <v/>
      </c>
      <c r="B316">
        <f>Skills!B25</f>
        <v/>
      </c>
      <c r="C316">
        <f>Inputs!$B$3&gt;=72</f>
        <v/>
      </c>
      <c r="D316">
        <f>IF(Skills!C25=1,60+Inputs!$B$25+Inputs!$B$29,IF(Skills!C25=2,90+Inputs!$B$26+Inputs!$B$29,IF(Skills!C25=3,120+Inputs!$B$27+Inputs!$B$29,MAX(0,(Inputs!$B$3-100)*3)+Inputs!$B$28+Inputs!$B$29)))</f>
        <v/>
      </c>
      <c r="E316">
        <f>INDEX(FactorTable!$B$2:$Y$301, MATCH(ROUND(MIN(300,MAX(1,D316)),0), FactorTable!$A$2:$A$301,0), Skills!M25+1)</f>
        <v/>
      </c>
      <c r="F316">
        <f>IF(Skills!N25=TRUE,(Skills!L25/10)*(E316/1000),Skills!L25/10)+Skills!O25</f>
        <v/>
      </c>
      <c r="G316">
        <f>Skills!G25*IF(Skills!H25&gt;0,Skills!I25/Skills!H25,1)</f>
        <v/>
      </c>
      <c r="H316">
        <f>1-(1-Skills!J25/100)^Skills!K25</f>
        <v/>
      </c>
      <c r="I316" t="inlineStr">
        <is>
          <t>1</t>
        </is>
      </c>
      <c r="J316" t="inlineStr"/>
      <c r="K316" t="inlineStr"/>
      <c r="L316" t="inlineStr"/>
      <c r="M316" t="inlineStr"/>
      <c r="N316" t="inlineStr"/>
      <c r="O316">
        <f>(1-Summary!$B$55)*T316+Summary!$B$55*V316</f>
        <v/>
      </c>
      <c r="P316">
        <f>IF(B331=0,0,O316/B331)</f>
        <v/>
      </c>
      <c r="Q316" t="n">
        <v>0</v>
      </c>
      <c r="R316" t="n">
        <v>0</v>
      </c>
      <c r="S316">
        <f>IFERROR(O316/N316,0)</f>
        <v/>
      </c>
      <c r="T316" t="n">
        <v>0</v>
      </c>
      <c r="V316" t="n">
        <v>0</v>
      </c>
    </row>
    <row r="317">
      <c r="A317">
        <f>Skills!A26</f>
        <v/>
      </c>
      <c r="B317">
        <f>Skills!B26</f>
        <v/>
      </c>
      <c r="C317">
        <f>Inputs!$B$3&gt;=75</f>
        <v/>
      </c>
      <c r="D317">
        <f>IF(Skills!C26=1,60+Inputs!$B$25+Inputs!$B$29,IF(Skills!C26=2,90+Inputs!$B$26+Inputs!$B$29,IF(Skills!C26=3,120+Inputs!$B$27+Inputs!$B$29,MAX(0,(Inputs!$B$3-100)*3)+Inputs!$B$28+Inputs!$B$29)))</f>
        <v/>
      </c>
      <c r="E317">
        <f>INDEX(FactorTable!$B$2:$Y$301, MATCH(ROUND(MIN(300,MAX(1,D317)),0), FactorTable!$A$2:$A$301,0), Skills!M26+1)</f>
        <v/>
      </c>
      <c r="F317">
        <f>IF(Skills!N26=TRUE,(Skills!L26/10)*(E317/1000),Skills!L26/10)+Skills!O26</f>
        <v/>
      </c>
      <c r="G317">
        <f>Skills!G26*IF(Skills!H26&gt;0,Skills!I26/Skills!H26,1)</f>
        <v/>
      </c>
      <c r="H317">
        <f>1-(1-Skills!J26/100)^Skills!K26</f>
        <v/>
      </c>
      <c r="I317" t="inlineStr">
        <is>
          <t>1</t>
        </is>
      </c>
      <c r="J317" t="inlineStr"/>
      <c r="K317" t="inlineStr"/>
      <c r="L317" t="inlineStr"/>
      <c r="M317" t="inlineStr"/>
      <c r="N317" t="inlineStr"/>
      <c r="O317">
        <f>(1-Summary!$B$55)*T317+Summary!$B$55*V317</f>
        <v/>
      </c>
      <c r="P317">
        <f>IF(B331=0,0,O317/B331)</f>
        <v/>
      </c>
      <c r="Q317" t="n">
        <v>0</v>
      </c>
      <c r="R317" t="n">
        <v>0</v>
      </c>
      <c r="S317">
        <f>IFERROR(O317/N317,0)</f>
        <v/>
      </c>
      <c r="T317" t="n">
        <v>0</v>
      </c>
      <c r="V317" t="n">
        <v>0</v>
      </c>
    </row>
    <row r="318">
      <c r="A318">
        <f>Skills!A27</f>
        <v/>
      </c>
      <c r="B318">
        <f>Skills!B27</f>
        <v/>
      </c>
      <c r="C318">
        <f>Inputs!$B$3&gt;=117</f>
        <v/>
      </c>
      <c r="D318">
        <f>IF(Skills!C27=1,60+Inputs!$B$25+Inputs!$B$29,IF(Skills!C27=2,90+Inputs!$B$26+Inputs!$B$29,IF(Skills!C27=3,120+Inputs!$B$27+Inputs!$B$29,MAX(0,(Inputs!$B$3-100)*3)+Inputs!$B$28+Inputs!$B$29)))</f>
        <v/>
      </c>
      <c r="E318">
        <f>INDEX(FactorTable!$B$2:$Y$301, MATCH(ROUND(MIN(300,MAX(1,D318)),0), FactorTable!$A$2:$A$301,0), Skills!M27+1)</f>
        <v/>
      </c>
      <c r="F318">
        <f>IF(Skills!N27=TRUE,(Skills!L27/10)*(E318/1000),Skills!L27/10)+Skills!O27</f>
        <v/>
      </c>
      <c r="G318">
        <f>Skills!G27*IF(Skills!H27&gt;0,Skills!I27/Skills!H27,1)</f>
        <v/>
      </c>
      <c r="H318">
        <f>1-(1-Skills!J27/100)^Skills!K27</f>
        <v/>
      </c>
      <c r="I318" t="inlineStr">
        <is>
          <t>1</t>
        </is>
      </c>
      <c r="J318" t="inlineStr"/>
      <c r="K318" t="inlineStr"/>
      <c r="L318" t="inlineStr"/>
      <c r="M318" t="inlineStr"/>
      <c r="N318" t="inlineStr"/>
      <c r="O318">
        <f>(1-Summary!$B$55)*T318+Summary!$B$55*V318</f>
        <v/>
      </c>
      <c r="P318">
        <f>IF(B331=0,0,O318/B331)</f>
        <v/>
      </c>
      <c r="Q318" t="n">
        <v>0</v>
      </c>
      <c r="R318" t="n">
        <v>0</v>
      </c>
      <c r="S318">
        <f>IFERROR(O318/N318,0)</f>
        <v/>
      </c>
      <c r="T318" t="n">
        <v>0</v>
      </c>
      <c r="V318" t="n">
        <v>0</v>
      </c>
    </row>
    <row r="320">
      <c r="A320" t="inlineStr">
        <is>
          <t>Attack% Bucket Multiplier</t>
        </is>
      </c>
      <c r="B320">
        <f>(1+(((C308=TRUE)*F308)+((C315=TRUE)*(F315-Calc!F24)))/100)</f>
        <v/>
      </c>
    </row>
    <row r="321">
      <c r="A321" t="inlineStr">
        <is>
          <t>Global Crit Rate Bonus %</t>
        </is>
      </c>
      <c r="B321" t="n">
        <v>0</v>
      </c>
    </row>
    <row r="322">
      <c r="A322" t="inlineStr">
        <is>
          <t>Attack Speed Buff Bonus % (unused)</t>
        </is>
      </c>
      <c r="B322" t="n">
        <v>0</v>
      </c>
    </row>
    <row r="323">
      <c r="A323" t="inlineStr">
        <is>
          <t>Actions Per Second</t>
        </is>
      </c>
      <c r="B323">
        <f>1+MIN(150,150*(1-(1-(Inputs!$B$11+((C311=TRUE)*(F311-Calc!F20))+((C312=TRUE)*(F312-Calc!F21)))/150)*(1-B322/150)))/100</f>
        <v/>
      </c>
    </row>
    <row r="324">
      <c r="A324" t="inlineStr">
        <is>
          <t>Skill + Buff Cast Rate</t>
        </is>
      </c>
      <c r="B324">
        <f>IF(AND(Inputs!$B$38&lt;&gt;"pvp",Inputs!$B$43&gt;0),SUMPRODUCT((Skills!E2:E27=TRUE)*(C293:C318=TRUE)*R293:R318*Skills!F2:F27)/Inputs!$B$43,SUMPRODUCT((Skills!E2:E27=TRUE)*(C293:C318=TRUE)*Q293:Q318*Skills!F2:F27))</f>
        <v/>
      </c>
    </row>
    <row r="325">
      <c r="A325" t="inlineStr">
        <is>
          <t>Eight-Legs Easton Casts Per Second</t>
        </is>
      </c>
      <c r="B325">
        <f>MAX(0,B323-B324)</f>
        <v/>
      </c>
    </row>
    <row r="326">
      <c r="A326" t="inlineStr">
        <is>
          <t>Global Critical Damage Bonus % (unused)</t>
        </is>
      </c>
      <c r="B326" t="n">
        <v>0</v>
      </c>
    </row>
    <row r="327">
      <c r="A327" t="inlineStr">
        <is>
          <t>Global Final Damage Bonus % (Jolly Roger only)</t>
        </is>
      </c>
      <c r="B327">
        <f>((C309=TRUE)*F309)</f>
        <v/>
      </c>
    </row>
    <row r="328">
      <c r="A328" t="inlineStr">
        <is>
          <t>Buff-Casting Startup Delay (s, fixed-duration only)</t>
        </is>
      </c>
      <c r="B328">
        <f>IF(AND(Inputs!$B$38&lt;&gt;"pvp",Inputs!$B$43&gt;0),SUMPRODUCT((Skills!T2:T27&gt;0)*(Skills!E2:E27=TRUE)*(C293:C318=TRUE))/B323,0)</f>
        <v/>
      </c>
    </row>
    <row r="329">
      <c r="A329" t="inlineStr">
        <is>
          <t>Boss-Only Total DPS (this block's swept value)</t>
        </is>
      </c>
      <c r="B329">
        <f>SUM(T293:T318)</f>
        <v/>
      </c>
    </row>
    <row r="330">
      <c r="A330" t="inlineStr">
        <is>
          <t>Normal-Only Total DPS (this block's swept value)</t>
        </is>
      </c>
      <c r="B330">
        <f>SUM(V293:V318)</f>
        <v/>
      </c>
    </row>
    <row r="331">
      <c r="A331" s="5" t="inlineStr">
        <is>
          <t>TOTAL DPS</t>
        </is>
      </c>
      <c r="B331" s="5">
        <f>SUM(O293:O318)</f>
        <v/>
      </c>
    </row>
    <row r="334">
      <c r="A334" s="5" t="inlineStr">
        <is>
          <t>Stat: FINAL_DAMAGE % (multiplicative source)</t>
        </is>
      </c>
    </row>
    <row r="335">
      <c r="A335" s="9" t="inlineStr">
        <is>
          <t>Key</t>
        </is>
      </c>
      <c r="B335" s="9" t="inlineStr">
        <is>
          <t>Name</t>
        </is>
      </c>
      <c r="C335" s="9" t="inlineStr">
        <is>
          <t>Unlocked</t>
        </is>
      </c>
      <c r="D335" s="9" t="inlineStr">
        <is>
          <t>InputLevel</t>
        </is>
      </c>
      <c r="E335" s="9" t="inlineStr">
        <is>
          <t>Factor</t>
        </is>
      </c>
      <c r="F335" s="9" t="inlineStr">
        <is>
          <t>CoefficientPercent</t>
        </is>
      </c>
      <c r="G335" s="9" t="inlineStr">
        <is>
          <t>EffectiveHits</t>
        </is>
      </c>
      <c r="H335" s="9" t="inlineStr">
        <is>
          <t>ProcProbability</t>
        </is>
      </c>
      <c r="I335" s="9" t="inlineStr">
        <is>
          <t>MapleHeroMultiplier</t>
        </is>
      </c>
      <c r="J335" s="9" t="inlineStr">
        <is>
          <t>BaseDamage</t>
        </is>
      </c>
      <c r="K335" s="9" t="inlineStr">
        <is>
          <t>BaseHitDamage</t>
        </is>
      </c>
      <c r="L335" s="9" t="inlineStr">
        <is>
          <t>NonCritAvg</t>
        </is>
      </c>
      <c r="M335" s="9" t="inlineStr">
        <is>
          <t>CritAvg</t>
        </is>
      </c>
      <c r="N335" s="9" t="inlineStr">
        <is>
          <t>ExpectedDamage(perHit)</t>
        </is>
      </c>
      <c r="O335" s="9" t="inlineStr">
        <is>
          <t>DPS</t>
        </is>
      </c>
      <c r="P335" s="9" t="inlineStr">
        <is>
          <t>% of Total</t>
        </is>
      </c>
      <c r="Q335" s="9" t="inlineStr">
        <is>
          <t>InvCooldown</t>
        </is>
      </c>
      <c r="R335" s="9" t="inlineStr">
        <is>
          <t>CastsInFight</t>
        </is>
      </c>
      <c r="S335" s="9" t="inlineStr">
        <is>
          <t>HitRate(perSec)</t>
        </is>
      </c>
      <c r="U335" t="inlineStr">
        <is>
          <t>helpers</t>
        </is>
      </c>
    </row>
    <row r="336">
      <c r="A336">
        <f>Skills!A2</f>
        <v/>
      </c>
      <c r="B336">
        <f>Skills!B2</f>
        <v/>
      </c>
      <c r="C336">
        <f>Inputs!$B$3&gt;=100</f>
        <v/>
      </c>
      <c r="D336" t="inlineStr"/>
      <c r="E336" t="inlineStr"/>
      <c r="F336">
        <f>U338+Skills!O2</f>
        <v/>
      </c>
      <c r="G336">
        <f>Skills!G2*IF(Skills!H2&gt;0,Skills!I2/Skills!H2,1)</f>
        <v/>
      </c>
      <c r="H336">
        <f>1-(1-Skills!J2/100)^Skills!K2</f>
        <v/>
      </c>
      <c r="I336" t="inlineStr">
        <is>
          <t>1</t>
        </is>
      </c>
      <c r="J336">
        <f>((Inputs!$B$6*(1+Inputs!$B$7/100))+(((Inputs!$B$12*(1+Inputs!$B$13/100))-(Inputs!$B$12*(1+Inputs!$B$13/100)))+0.25*(Inputs!$B$14-Inputs!$B$14))*(1+Inputs!$B$7/100))*(F336/100)</f>
        <v/>
      </c>
      <c r="K336">
        <f>J336*(1+((Inputs!$B$12*(1+Inputs!$B$13/100))*0.01+Inputs!$B$14*0.0025)/100)*(1+Inputs!$B$15/100)*(1+Inputs!$B$16/100)*(5000/(6000+Inputs!$B$42*(1-(Inputs!$B$19+0)/100)))*(1+(((((1+Inputs!$B$24/100)*(1.01))-1)*100)+((C360=TRUE)*(F360-Calc!F26))+B370)/100)*(1+(IF(Skills!A2="EIGHT_LEGS_EASTON",Inputs!$B$17+((C357=TRUE)*(F357-Calc!F23))+((C361=TRUE)*(F361-Calc!F27)),Inputs!$B$18+0))/100)*((1+(((C351=TRUE)*F351)+((C358=TRUE)*(F358-Calc!F24)))/100)*I336)</f>
        <v/>
      </c>
      <c r="L336">
        <f>K336*(MIN(Inputs!$B$22+((C356=TRUE)*(F356-Calc!F22)),Inputs!$B$23+0)/100+(Inputs!$B$23+0)/100)/2</f>
        <v/>
      </c>
      <c r="M336">
        <f>L336*(1+(Inputs!$B$10+((C359=TRUE)*(F359-Calc!F25))+B369)/100)</f>
        <v/>
      </c>
      <c r="N336">
        <f>L336*(1-MIN((Inputs!$B$9+((C353=TRUE)*(F353-Calc!F19))+B364),100)/100)+M336*(MIN((Inputs!$B$9+((C353=TRUE)*(F353-Calc!F19))+B364),100)/100)</f>
        <v/>
      </c>
      <c r="O336">
        <f>(1-Summary!$B$55)*T336+Summary!$B$55*V336</f>
        <v/>
      </c>
      <c r="P336">
        <f>IF(B374=0,0,O336/B374)</f>
        <v/>
      </c>
      <c r="Q336" t="n">
        <v>0</v>
      </c>
      <c r="R336" t="n">
        <v>0</v>
      </c>
      <c r="S336">
        <f>IFERROR(O336/N336,0)</f>
        <v/>
      </c>
      <c r="T336">
        <f>IF(C336,(Skills!G2*N336*B368)*IF(Inputs!$B$38="pvp",1,1+(Inputs!$B$20+0+Skills!P2)/100),0)</f>
        <v/>
      </c>
      <c r="U336">
        <f>MAX(0,(Inputs!$B$3-100)*3)+Inputs!$B$28+Inputs!$B$29</f>
        <v/>
      </c>
      <c r="V336">
        <f>IF(C336,(Skills!G2*N336*B368)*IF(Inputs!$B$38="pvp",1,(1+(Inputs!$B$21+Skills!Q2)/100)*(MIN((6+Inputs!$B$33),Inputs!$B$37))),0)</f>
        <v/>
      </c>
    </row>
    <row r="337">
      <c r="A337">
        <f>Skills!A3</f>
        <v/>
      </c>
      <c r="B337">
        <f>Skills!B3</f>
        <v/>
      </c>
      <c r="C337">
        <f>Inputs!$B$3&gt;=35</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f>Skills!G3*IF(Skills!H3&gt;0,Skills!I3/Skills!H3,1)</f>
        <v/>
      </c>
      <c r="H337">
        <f>1-(1-Skills!J3/100)^Skills!K3</f>
        <v/>
      </c>
      <c r="I337" t="inlineStr">
        <is>
          <t>1</t>
        </is>
      </c>
      <c r="J337">
        <f>((Inputs!$B$6*(1+Inputs!$B$7/100))+(((Inputs!$B$12*(1+Inputs!$B$13/100))-(Inputs!$B$12*(1+Inputs!$B$13/100)))+0.25*(Inputs!$B$14-Inputs!$B$14))*(1+Inputs!$B$7/100))*(F337/100)</f>
        <v/>
      </c>
      <c r="K337">
        <f>J337*(1+((Inputs!$B$12*(1+Inputs!$B$13/100))*0.01+Inputs!$B$14*0.0025)/100)*(1+Inputs!$B$15/100)*(1+Inputs!$B$16/100)*(5000/(6000+Inputs!$B$42*(1-(Inputs!$B$19+0)/100)))*(1+(((((1+Inputs!$B$24/100)*(1.01))-1)*100)+((C360=TRUE)*(F360-Calc!F26))+B370)/100)*(1+4.0*IF(C349=TRUE,F349,0)/100)*(1+(IF(Skills!A3="EIGHT_LEGS_EASTON",Inputs!$B$17+((C357=TRUE)*(F357-Calc!F23))+((C361=TRUE)*(F361-Calc!F27)),Inputs!$B$18+0))/100)*((1+(((C351=TRUE)*F351)+((C358=TRUE)*(F358-Calc!F24)))/100)*I337)</f>
        <v/>
      </c>
      <c r="L337">
        <f>K337*(MIN(Inputs!$B$22+((C356=TRUE)*(F356-Calc!F22)),Inputs!$B$23+0)/100+(Inputs!$B$23+0)/100)/2</f>
        <v/>
      </c>
      <c r="M337">
        <f>L337*(1+(Inputs!$B$10+((C359=TRUE)*(F359-Calc!F25))+B369)/100)</f>
        <v/>
      </c>
      <c r="N337">
        <f>L337*(1-MIN((Inputs!$B$9+((C353=TRUE)*(F353-Calc!F19))+B364),100)/100)+M337*(MIN((Inputs!$B$9+((C353=TRUE)*(F353-Calc!F19))+B364),100)/100)</f>
        <v/>
      </c>
      <c r="O337">
        <f>(1-Summary!$B$55)*T337+Summary!$B$55*V337</f>
        <v/>
      </c>
      <c r="P337">
        <f>IF(B374=0,0,O337/B374)</f>
        <v/>
      </c>
      <c r="Q337">
        <f>IFERROR(1/IF(Inputs!$B$38="pvp",15,MAX(0.1,Skills!D3-IF(Skills!E3=TRUE,Inputs!$B$32,0))),0)</f>
        <v/>
      </c>
      <c r="R337">
        <f>IF(AND(Inputs!$B$38&lt;&gt;"pvp",Inputs!$B$43&gt;0),IF(MAX(0,Inputs!$B$43-B371)&lt;=0,0,(INT(MAX(0,Inputs!$B$43-B371)/IF(Inputs!$B$38="pvp",15,MAX(0.1,Skills!D3-IF(Skills!E3=TRUE,Inputs!$B$32,0))))+1)),0)</f>
        <v/>
      </c>
      <c r="S337">
        <f>IFERROR(O337/N337,0)</f>
        <v/>
      </c>
      <c r="T337">
        <f>IF(C337,(H337*N337*IF(AND(Inputs!$B$38&lt;&gt;"pvp",Inputs!$B$43&gt;0),((Skills!G3*((R337-1)*IF(Skills!H3&gt;0,Skills!I3/Skills!H3,1)+IF(Skills!H3&gt;0,MIN(Skills!I3,MAX(0,MAX(0,Inputs!$B$43-B371)-((R337-1)*IF(Inputs!$B$38="pvp",15,MAX(0.1,Skills!D3-IF(Skills!E3=TRUE,Inputs!$B$32,0))))))/Skills!H3,1)))/Inputs!$B$43),G337*Q337))*IF(Inputs!$B$38="pvp",1,1+(Inputs!$B$20+0+Skills!P3)/100),0)</f>
        <v/>
      </c>
      <c r="U337">
        <f>INDEX(FactorTable!$B$2:$Y$301, MATCH(ROUND(MIN(300,MAX(1,U336)),0), FactorTable!$A$2:$A$301,0), 22)</f>
        <v/>
      </c>
      <c r="V337">
        <f>IF(C337,(H337*N337*IF(AND(Inputs!$B$38&lt;&gt;"pvp",Inputs!$B$43&gt;0),((Skills!G3*((R337-1)*IF(Skills!H3&gt;0,Skills!I3/Skills!H3,1)+IF(Skills!H3&gt;0,MIN(Skills!I3,MAX(0,MAX(0,Inputs!$B$43-B371)-((R337-1)*IF(Inputs!$B$38="pvp",15,MAX(0.1,Skills!D3-IF(Skills!E3=TRUE,Inputs!$B$32,0))))))/Skills!H3,1)))/Inputs!$B$43),G337*Q337))*IF(Inputs!$B$38="pvp",1,(1+(Inputs!$B$21+Skills!Q3)/100)*(MIN(Skills!R3,Inputs!$B$37))),0)</f>
        <v/>
      </c>
    </row>
    <row r="338">
      <c r="A338">
        <f>Skills!A4</f>
        <v/>
      </c>
      <c r="B338">
        <f>Skills!B4</f>
        <v/>
      </c>
      <c r="C338">
        <f>Inputs!$B$3&gt;=40</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f>Skills!G4*IF(Skills!H4&gt;0,Skills!I4/Skills!H4,1)</f>
        <v/>
      </c>
      <c r="H338">
        <f>1-(1-Skills!J4/100)^Skills!K4</f>
        <v/>
      </c>
      <c r="I338" t="inlineStr">
        <is>
          <t>1</t>
        </is>
      </c>
      <c r="J338">
        <f>((Inputs!$B$6*(1+Inputs!$B$7/100))+(((Inputs!$B$12*(1+Inputs!$B$13/100))-(Inputs!$B$12*(1+Inputs!$B$13/100)))+0.25*(Inputs!$B$14-Inputs!$B$14))*(1+Inputs!$B$7/100))*(F338/100)</f>
        <v/>
      </c>
      <c r="K338">
        <f>J338*(1+((Inputs!$B$12*(1+Inputs!$B$13/100))*0.01+Inputs!$B$14*0.0025)/100)*(1+Inputs!$B$15/100)*(1+Inputs!$B$16/100)*(5000/(6000+Inputs!$B$42*(1-(Inputs!$B$19+0)/100)))*(1+(((((1+Inputs!$B$24/100)*(1.01))-1)*100)+((C360=TRUE)*(F360-Calc!F26))+B370)/100)*(1+1.0*IF(C350=TRUE,F350,0)/100)*(1+(IF(Skills!A4="EIGHT_LEGS_EASTON",Inputs!$B$17+((C357=TRUE)*(F357-Calc!F23))+((C361=TRUE)*(F361-Calc!F27)),Inputs!$B$18+0))/100)*((1+(((C351=TRUE)*F351)+((C358=TRUE)*(F358-Calc!F24)))/100)*I338)</f>
        <v/>
      </c>
      <c r="L338">
        <f>K338*(MIN(Inputs!$B$22+((C356=TRUE)*(F356-Calc!F22)),Inputs!$B$23+0)/100+(Inputs!$B$23+0)/100)/2</f>
        <v/>
      </c>
      <c r="M338">
        <f>L338*(1+(Inputs!$B$10+((C359=TRUE)*(F359-Calc!F25))+B369)/100)</f>
        <v/>
      </c>
      <c r="N338">
        <f>L338*(1-MIN((Inputs!$B$9+((C353=TRUE)*(F353-Calc!F19))+B364),100)/100)+M338*(MIN((Inputs!$B$9+((C353=TRUE)*(F353-Calc!F19))+B364),100)/100)</f>
        <v/>
      </c>
      <c r="O338">
        <f>(1-Summary!$B$55)*T338+Summary!$B$55*V338</f>
        <v/>
      </c>
      <c r="P338">
        <f>IF(B374=0,0,O338/B374)</f>
        <v/>
      </c>
      <c r="Q338">
        <f>IFERROR(1/IF(Inputs!$B$38="pvp",15,MAX(0.1,Skills!D4-IF(Skills!E4=TRUE,Inputs!$B$32,0))),0)</f>
        <v/>
      </c>
      <c r="R338">
        <f>IF(AND(Inputs!$B$38&lt;&gt;"pvp",Inputs!$B$43&gt;0),IF(MAX(0,Inputs!$B$43-B371)&lt;=0,0,(INT(MAX(0,Inputs!$B$43-B371)/IF(Inputs!$B$38="pvp",15,MAX(0.1,Skills!D4-IF(Skills!E4=TRUE,Inputs!$B$32,0))))+1)),0)</f>
        <v/>
      </c>
      <c r="S338">
        <f>IFERROR(O338/N338,0)</f>
        <v/>
      </c>
      <c r="T338">
        <f>IF(C338,(H338*N338*IF(AND(Inputs!$B$38&lt;&gt;"pvp",Inputs!$B$43&gt;0),((Skills!G4*((R338-1)*IF(Skills!H4&gt;0,Skills!I4/Skills!H4,1)+IF(Skills!H4&gt;0,MIN(Skills!I4,MAX(0,MAX(0,Inputs!$B$43-B371)-((R338-1)*IF(Inputs!$B$38="pvp",15,MAX(0.1,Skills!D4-IF(Skills!E4=TRUE,Inputs!$B$32,0))))))/Skills!H4,1)))/Inputs!$B$43),G338*Q338))*IF(Inputs!$B$38="pvp",1,1+(Inputs!$B$20+0+Skills!P4)/100),0)</f>
        <v/>
      </c>
      <c r="U338">
        <f>290*U337/1000</f>
        <v/>
      </c>
      <c r="V338">
        <f>IF(C338,(H338*N338*IF(AND(Inputs!$B$38&lt;&gt;"pvp",Inputs!$B$43&gt;0),((Skills!G4*((R338-1)*IF(Skills!H4&gt;0,Skills!I4/Skills!H4,1)+IF(Skills!H4&gt;0,MIN(Skills!I4,MAX(0,MAX(0,Inputs!$B$43-B371)-((R338-1)*IF(Inputs!$B$38="pvp",15,MAX(0.1,Skills!D4-IF(Skills!E4=TRUE,Inputs!$B$32,0))))))/Skills!H4,1)))/Inputs!$B$43),G338*Q338))*IF(Inputs!$B$38="pvp",1,(1+(Inputs!$B$21+Skills!Q4)/100)*(MIN(Skills!R4,Inputs!$B$37))),0)</f>
        <v/>
      </c>
    </row>
    <row r="339">
      <c r="A339">
        <f>Skills!A5</f>
        <v/>
      </c>
      <c r="B339">
        <f>Skills!B5</f>
        <v/>
      </c>
      <c r="C339">
        <f>Inputs!$B$3&gt;=45</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Skills!G5*IF(Skills!H5&gt;0,Skills!I5/Skills!H5,1)</f>
        <v/>
      </c>
      <c r="H339">
        <f>1-(1-Skills!J5/100)^Skills!K5</f>
        <v/>
      </c>
      <c r="I339" t="inlineStr">
        <is>
          <t>1</t>
        </is>
      </c>
      <c r="J339">
        <f>((Inputs!$B$6*(1+Inputs!$B$7/100))+(((Inputs!$B$12*(1+Inputs!$B$13/100))-(Inputs!$B$12*(1+Inputs!$B$13/100)))+0.25*(Inputs!$B$14-Inputs!$B$14))*(1+Inputs!$B$7/100))*(F339/100)</f>
        <v/>
      </c>
      <c r="K339">
        <f>J339*(1+((Inputs!$B$12*(1+Inputs!$B$13/100))*0.01+Inputs!$B$14*0.0025)/100)*(1+Inputs!$B$15/100)*(1+Inputs!$B$16/100)*(5000/(6000+Inputs!$B$42*(1-(Inputs!$B$19+0)/100)))*(1+(((((1+Inputs!$B$24/100)*(1.01))-1)*100)+((C360=TRUE)*(F360-Calc!F26))+B370)/100)*(1+0.4*IF(C350=TRUE,F350,0)/100)*(1+(IF(Skills!A5="EIGHT_LEGS_EASTON",Inputs!$B$17+((C357=TRUE)*(F357-Calc!F23))+((C361=TRUE)*(F361-Calc!F27)),Inputs!$B$18+0))/100)*((1+(((C351=TRUE)*F351)+((C358=TRUE)*(F358-Calc!F24)))/100)*I339)</f>
        <v/>
      </c>
      <c r="L339">
        <f>K339*(MIN(Inputs!$B$22+((C356=TRUE)*(F356-Calc!F22)),Inputs!$B$23+0)/100+(Inputs!$B$23+0)/100)/2</f>
        <v/>
      </c>
      <c r="M339">
        <f>L339*(1+(Inputs!$B$10+((C359=TRUE)*(F359-Calc!F25))+B369)/100)</f>
        <v/>
      </c>
      <c r="N339">
        <f>L339*(1-MIN((Inputs!$B$9+((C353=TRUE)*(F353-Calc!F19))+B364),100)/100)+M339*(MIN((Inputs!$B$9+((C353=TRUE)*(F353-Calc!F19))+B364),100)/100)</f>
        <v/>
      </c>
      <c r="O339">
        <f>(1-Summary!$B$55)*T339+Summary!$B$55*V339</f>
        <v/>
      </c>
      <c r="P339">
        <f>IF(B374=0,0,O339/B374)</f>
        <v/>
      </c>
      <c r="Q339">
        <f>IFERROR(1/IF(Inputs!$B$38="pvp",15,MAX(0.1,Skills!D5-IF(Skills!E5=TRUE,Inputs!$B$32,0))),0)</f>
        <v/>
      </c>
      <c r="R339">
        <f>IF(AND(Inputs!$B$38&lt;&gt;"pvp",Inputs!$B$43&gt;0),IF(MAX(0,Inputs!$B$43-B371)&lt;=0,0,(INT(MAX(0,Inputs!$B$43-B371)/IF(Inputs!$B$38="pvp",15,MAX(0.1,Skills!D5-IF(Skills!E5=TRUE,Inputs!$B$32,0))))+1)),0)</f>
        <v/>
      </c>
      <c r="S339">
        <f>IFERROR(O339/N339,0)</f>
        <v/>
      </c>
      <c r="T339">
        <f>IF(C339,(H339*N339*IF(AND(Inputs!$B$38&lt;&gt;"pvp",Inputs!$B$43&gt;0),((Skills!G5*((R339-1)*IF(Skills!H5&gt;0,Skills!I5/Skills!H5,1)+IF(Skills!H5&gt;0,MIN(Skills!I5,MAX(0,MAX(0,Inputs!$B$43-B371)-((R339-1)*IF(Inputs!$B$38="pvp",15,MAX(0.1,Skills!D5-IF(Skills!E5=TRUE,Inputs!$B$32,0))))))/Skills!H5,1)))/Inputs!$B$43),G339*Q339))*IF(Inputs!$B$38="pvp",1,1+(Inputs!$B$20+0+Skills!P5)/100),0)</f>
        <v/>
      </c>
      <c r="V339">
        <f>IF(C339,(H339*N339*IF(AND(Inputs!$B$38&lt;&gt;"pvp",Inputs!$B$43&gt;0),((Skills!G5*((R339-1)*IF(Skills!H5&gt;0,Skills!I5/Skills!H5,1)+IF(Skills!H5&gt;0,MIN(Skills!I5,MAX(0,MAX(0,Inputs!$B$43-B371)-((R339-1)*IF(Inputs!$B$38="pvp",15,MAX(0.1,Skills!D5-IF(Skills!E5=TRUE,Inputs!$B$32,0))))))/Skills!H5,1)))/Inputs!$B$43),G339*Q339))*IF(Inputs!$B$38="pvp",1,(1+(Inputs!$B$21+Skills!Q5)/100)*(MIN(Skills!R5,Inputs!$B$37))),0)</f>
        <v/>
      </c>
    </row>
    <row r="340">
      <c r="A340">
        <f>Skills!A6</f>
        <v/>
      </c>
      <c r="B340">
        <f>Skills!B6</f>
        <v/>
      </c>
      <c r="C340">
        <f>Inputs!$B$3&gt;=63</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Skills!G6*IF(Skills!H6&gt;0,Skills!I6/Skills!H6,1)</f>
        <v/>
      </c>
      <c r="H340">
        <f>1-(1-Skills!J6/100)^Skills!K6</f>
        <v/>
      </c>
      <c r="I340" t="inlineStr">
        <is>
          <t>1</t>
        </is>
      </c>
      <c r="J340">
        <f>((Inputs!$B$6*(1+Inputs!$B$7/100))+(((Inputs!$B$12*(1+Inputs!$B$13/100))-(Inputs!$B$12*(1+Inputs!$B$13/100)))+0.25*(Inputs!$B$14-Inputs!$B$14))*(1+Inputs!$B$7/100))*(F340/100)</f>
        <v/>
      </c>
      <c r="K340">
        <f>J340*(1+((Inputs!$B$12*(1+Inputs!$B$13/100))*0.01+Inputs!$B$14*0.0025)/100)*(1+Inputs!$B$15/100)*(1+Inputs!$B$16/100)*(5000/(6000+Inputs!$B$42*(1-(Inputs!$B$19+0)/100)))*(1+(((((1+Inputs!$B$24/100)*(1.01))-1)*100)+((C360=TRUE)*(F360-Calc!F26))+B370)/100)*(1+2.0*IF(C349=TRUE,F349,0)/100)*(1+(IF(Skills!A6="EIGHT_LEGS_EASTON",Inputs!$B$17+((C357=TRUE)*(F357-Calc!F23))+((C361=TRUE)*(F361-Calc!F27)),Inputs!$B$18+0))/100)*((1+(((C351=TRUE)*F351)+((C358=TRUE)*(F358-Calc!F24)))/100)*I340)</f>
        <v/>
      </c>
      <c r="L340">
        <f>K340*(MIN(Inputs!$B$22+((C356=TRUE)*(F356-Calc!F22)),Inputs!$B$23+0)/100+(Inputs!$B$23+0)/100)/2</f>
        <v/>
      </c>
      <c r="M340">
        <f>L340*(1+(Inputs!$B$10+((C359=TRUE)*(F359-Calc!F25))+B369)/100)</f>
        <v/>
      </c>
      <c r="N340">
        <f>L340*(1-MIN((Inputs!$B$9+((C353=TRUE)*(F353-Calc!F19))+B364),100)/100)+M340*(MIN((Inputs!$B$9+((C353=TRUE)*(F353-Calc!F19))+B364),100)/100)</f>
        <v/>
      </c>
      <c r="O340">
        <f>(1-Summary!$B$55)*T340+Summary!$B$55*V340</f>
        <v/>
      </c>
      <c r="P340">
        <f>IF(B374=0,0,O340/B374)</f>
        <v/>
      </c>
      <c r="Q340">
        <f>IFERROR(1/IF(Inputs!$B$38="pvp",15,MAX(0.1,Skills!D6-IF(Skills!E6=TRUE,Inputs!$B$32,0))),0)</f>
        <v/>
      </c>
      <c r="R340">
        <f>IF(AND(Inputs!$B$38&lt;&gt;"pvp",Inputs!$B$43&gt;0),IF(MAX(0,Inputs!$B$43-B371)&lt;=0,0,(INT(MAX(0,Inputs!$B$43-B371)/IF(Inputs!$B$38="pvp",15,MAX(0.1,Skills!D6-IF(Skills!E6=TRUE,Inputs!$B$32,0))))+1)),0)</f>
        <v/>
      </c>
      <c r="S340">
        <f>IFERROR(O340/N340,0)</f>
        <v/>
      </c>
      <c r="T340">
        <f>IF(C340,(H340*N340*IF(AND(Inputs!$B$38&lt;&gt;"pvp",Inputs!$B$43&gt;0),((Skills!G6*((R340-1)*IF(Skills!H6&gt;0,Skills!I6/Skills!H6,1)+IF(Skills!H6&gt;0,MIN(Skills!I6,MAX(0,MAX(0,Inputs!$B$43-B371)-((R340-1)*IF(Inputs!$B$38="pvp",15,MAX(0.1,Skills!D6-IF(Skills!E6=TRUE,Inputs!$B$32,0))))))/Skills!H6,1)))/Inputs!$B$43),G340*Q340))*IF(Inputs!$B$38="pvp",1,1+(Inputs!$B$20+0+Skills!P6)/100),0)</f>
        <v/>
      </c>
      <c r="V340">
        <f>IF(C340,(H340*N340*IF(AND(Inputs!$B$38&lt;&gt;"pvp",Inputs!$B$43&gt;0),((Skills!G6*((R340-1)*IF(Skills!H6&gt;0,Skills!I6/Skills!H6,1)+IF(Skills!H6&gt;0,MIN(Skills!I6,MAX(0,MAX(0,Inputs!$B$43-B371)-((R340-1)*IF(Inputs!$B$38="pvp",15,MAX(0.1,Skills!D6-IF(Skills!E6=TRUE,Inputs!$B$32,0))))))/Skills!H6,1)))/Inputs!$B$43),G340*Q340))*IF(Inputs!$B$38="pvp",1,(1+(Inputs!$B$21+Skills!Q6)/100)*(MIN(Skills!R6,Inputs!$B$37))),0)</f>
        <v/>
      </c>
    </row>
    <row r="341">
      <c r="A341">
        <f>Skills!A7</f>
        <v/>
      </c>
      <c r="B341">
        <f>Skills!B7</f>
        <v/>
      </c>
      <c r="C341">
        <f>Inputs!$B$3&gt;=66</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Skills!G7*IF(Skills!H7&gt;0,Skills!I7/Skills!H7,1)</f>
        <v/>
      </c>
      <c r="H341">
        <f>1-(1-Skills!J7/100)^Skills!K7</f>
        <v/>
      </c>
      <c r="I341" t="inlineStr">
        <is>
          <t>1</t>
        </is>
      </c>
      <c r="J341">
        <f>((Inputs!$B$6*(1+Inputs!$B$7/100))+(((Inputs!$B$12*(1+Inputs!$B$13/100))-(Inputs!$B$12*(1+Inputs!$B$13/100)))+0.25*(Inputs!$B$14-Inputs!$B$14))*(1+Inputs!$B$7/100))*(F341/100)</f>
        <v/>
      </c>
      <c r="K341">
        <f>J341*(1+((Inputs!$B$12*(1+Inputs!$B$13/100))*0.01+Inputs!$B$14*0.0025)/100)*(1+Inputs!$B$15/100)*(1+Inputs!$B$16/100)*(5000/(6000+Inputs!$B$42*(1-(Inputs!$B$19+0)/100)))*(1+(((((1+Inputs!$B$24/100)*(1.01))-1)*100)+((C360=TRUE)*(F360-Calc!F26))+B370)/100)*(1+1.0*IF(C349=TRUE,F349,0)/100)*(1+(IF(Skills!A7="EIGHT_LEGS_EASTON",Inputs!$B$17+((C357=TRUE)*(F357-Calc!F23))+((C361=TRUE)*(F361-Calc!F27)),Inputs!$B$18+0))/100)*((1+(((C351=TRUE)*F351)+((C358=TRUE)*(F358-Calc!F24)))/100)*I341)</f>
        <v/>
      </c>
      <c r="L341">
        <f>K341*(MIN(Inputs!$B$22+((C356=TRUE)*(F356-Calc!F22)),Inputs!$B$23+0)/100+(Inputs!$B$23+0)/100)/2</f>
        <v/>
      </c>
      <c r="M341">
        <f>L341*(1+(Inputs!$B$10+((C359=TRUE)*(F359-Calc!F25))+B369)/100)</f>
        <v/>
      </c>
      <c r="N341">
        <f>L341*(1-MIN((Inputs!$B$9+((C353=TRUE)*(F353-Calc!F19))+B364),100)/100)+M341*(MIN((Inputs!$B$9+((C353=TRUE)*(F353-Calc!F19))+B364),100)/100)</f>
        <v/>
      </c>
      <c r="O341">
        <f>(1-Summary!$B$55)*T341+Summary!$B$55*V341</f>
        <v/>
      </c>
      <c r="P341">
        <f>IF(B374=0,0,O341/B374)</f>
        <v/>
      </c>
      <c r="Q341">
        <f>IFERROR(1/IF(Inputs!$B$38="pvp",15,MAX(0.1,Skills!D7-IF(Skills!E7=TRUE,Inputs!$B$32,0))),0)</f>
        <v/>
      </c>
      <c r="R341">
        <f>IF(AND(Inputs!$B$38&lt;&gt;"pvp",Inputs!$B$43&gt;0),IF(MAX(0,Inputs!$B$43-B371)&lt;=0,0,(INT(MAX(0,Inputs!$B$43-B371)/IF(Inputs!$B$38="pvp",15,MAX(0.1,Skills!D7-IF(Skills!E7=TRUE,Inputs!$B$32,0))))+1)),0)</f>
        <v/>
      </c>
      <c r="S341">
        <f>IFERROR(O341/N341,0)</f>
        <v/>
      </c>
      <c r="T341">
        <f>IF(C341,(H341*N341*IF(AND(Inputs!$B$38&lt;&gt;"pvp",Inputs!$B$43&gt;0),((Skills!G7*((R341-1)*IF(Skills!H7&gt;0,Skills!I7/Skills!H7,1)+IF(Skills!H7&gt;0,MIN(Skills!I7,MAX(0,MAX(0,Inputs!$B$43-B371)-((R341-1)*IF(Inputs!$B$38="pvp",15,MAX(0.1,Skills!D7-IF(Skills!E7=TRUE,Inputs!$B$32,0))))))/Skills!H7,1)))/Inputs!$B$43),G341*Q341))*IF(Inputs!$B$38="pvp",1,1+(Inputs!$B$20+0+Skills!P7)/100),0)</f>
        <v/>
      </c>
      <c r="V341">
        <f>IF(C341,(H341*N341*IF(AND(Inputs!$B$38&lt;&gt;"pvp",Inputs!$B$43&gt;0),((Skills!G7*((R341-1)*IF(Skills!H7&gt;0,Skills!I7/Skills!H7,1)+IF(Skills!H7&gt;0,MIN(Skills!I7,MAX(0,MAX(0,Inputs!$B$43-B371)-((R341-1)*IF(Inputs!$B$38="pvp",15,MAX(0.1,Skills!D7-IF(Skills!E7=TRUE,Inputs!$B$32,0))))))/Skills!H7,1)))/Inputs!$B$43),G341*Q341))*IF(Inputs!$B$38="pvp",1,(1+(Inputs!$B$21+Skills!Q7)/100)*(MIN(Skills!R7,Inputs!$B$37))),0)</f>
        <v/>
      </c>
    </row>
    <row r="342">
      <c r="A342">
        <f>Skills!A8</f>
        <v/>
      </c>
      <c r="B342">
        <f>Skills!B8</f>
        <v/>
      </c>
      <c r="C342">
        <f>Inputs!$B$3&gt;=100</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f>Skills!G8*IF(Skills!H8&gt;0,Skills!I8/Skills!H8,1)</f>
        <v/>
      </c>
      <c r="H342">
        <f>1-(1-Skills!J8/100)^Skills!K8</f>
        <v/>
      </c>
      <c r="I342" t="inlineStr">
        <is>
          <t>1</t>
        </is>
      </c>
      <c r="J342">
        <f>((Inputs!$B$6*(1+Inputs!$B$7/100))+(((Inputs!$B$12*(1+Inputs!$B$13/100))-(Inputs!$B$12*(1+Inputs!$B$13/100)))+0.25*(Inputs!$B$14-Inputs!$B$14))*(1+Inputs!$B$7/100))*(F342/100)</f>
        <v/>
      </c>
      <c r="K342">
        <f>J342*(1+((Inputs!$B$12*(1+Inputs!$B$13/100))*0.01+Inputs!$B$14*0.0025)/100)*(1+Inputs!$B$15/100)*(1+Inputs!$B$16/100)*(5000/(6000+Inputs!$B$42*(1-(Inputs!$B$19+0)/100)))*(1+(((((1+Inputs!$B$24/100)*(1.01))-1)*100)+((C360=TRUE)*(F360-Calc!F26))+B370)/100)*(1+(IF(Skills!A8="EIGHT_LEGS_EASTON",Inputs!$B$17+((C357=TRUE)*(F357-Calc!F23))+((C361=TRUE)*(F361-Calc!F27)),Inputs!$B$18+0))/100)*((1+(((C351=TRUE)*F351)+((C358=TRUE)*(F358-Calc!F24)))/100)*I342)</f>
        <v/>
      </c>
      <c r="L342">
        <f>K342*(MIN(Inputs!$B$22+((C356=TRUE)*(F356-Calc!F22)),Inputs!$B$23+0)/100+(Inputs!$B$23+0)/100)/2</f>
        <v/>
      </c>
      <c r="M342">
        <f>L342*(1+(Inputs!$B$10+((C359=TRUE)*(F359-Calc!F25))+B369)/100)</f>
        <v/>
      </c>
      <c r="N342">
        <f>L342*(1-MIN((Inputs!$B$9+((C353=TRUE)*(F353-Calc!F19))+B364),100)/100)+M342*(MIN((Inputs!$B$9+((C353=TRUE)*(F353-Calc!F19))+B364),100)/100)</f>
        <v/>
      </c>
      <c r="O342">
        <f>(1-Summary!$B$55)*T342+Summary!$B$55*V342</f>
        <v/>
      </c>
      <c r="P342">
        <f>IF(B374=0,0,O342/B374)</f>
        <v/>
      </c>
      <c r="Q342">
        <f>IFERROR(1/IF(Inputs!$B$38="pvp",15,MAX(0.1,Skills!D8-IF(Skills!E8=TRUE,Inputs!$B$32,0))),0)</f>
        <v/>
      </c>
      <c r="R342">
        <f>IF(AND(Inputs!$B$38&lt;&gt;"pvp",Inputs!$B$43&gt;0),IF(MAX(0,Inputs!$B$43-B371)&lt;=0,0,(INT(MAX(0,Inputs!$B$43-B371)/IF(Inputs!$B$38="pvp",15,MAX(0.1,Skills!D8-IF(Skills!E8=TRUE,Inputs!$B$32,0))))+1)),0)</f>
        <v/>
      </c>
      <c r="S342">
        <f>IFERROR(O342/N342,0)</f>
        <v/>
      </c>
      <c r="T342">
        <f>IF(C342,(H342*N342*IF(AND(Inputs!$B$38&lt;&gt;"pvp",Inputs!$B$43&gt;0),((Skills!G8*((R342-1)*IF(Skills!H8&gt;0,Skills!I8/Skills!H8,1)+IF(Skills!H8&gt;0,MIN(Skills!I8,MAX(0,MAX(0,Inputs!$B$43-B371)-((R342-1)*IF(Inputs!$B$38="pvp",15,MAX(0.1,Skills!D8-IF(Skills!E8=TRUE,Inputs!$B$32,0))))))/Skills!H8,1)))/Inputs!$B$43),G342*Q342))*IF(Inputs!$B$38="pvp",1,1+(Inputs!$B$20+0+Skills!P8)/100),0)</f>
        <v/>
      </c>
      <c r="V342">
        <f>IF(C342,(H342*N342*IF(AND(Inputs!$B$38&lt;&gt;"pvp",Inputs!$B$43&gt;0),((Skills!G8*((R342-1)*IF(Skills!H8&gt;0,Skills!I8/Skills!H8,1)+IF(Skills!H8&gt;0,MIN(Skills!I8,MAX(0,MAX(0,Inputs!$B$43-B371)-((R342-1)*IF(Inputs!$B$38="pvp",15,MAX(0.1,Skills!D8-IF(Skills!E8=TRUE,Inputs!$B$32,0))))))/Skills!H8,1)))/Inputs!$B$43),G342*Q342))*IF(Inputs!$B$38="pvp",1,(1+(Inputs!$B$21+Skills!Q8)/100)*(MIN(Skills!R8,Inputs!$B$37))),0)</f>
        <v/>
      </c>
    </row>
    <row r="343">
      <c r="A343">
        <f>Skills!A9</f>
        <v/>
      </c>
      <c r="B343">
        <f>Skills!B9</f>
        <v/>
      </c>
      <c r="C343">
        <f>Inputs!$B$3&gt;=103</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Skills!G9*IF(Skills!H9&gt;0,Skills!I9/Skills!H9,1)</f>
        <v/>
      </c>
      <c r="H343">
        <f>1-(1-Skills!J9/100)^Skills!K9</f>
        <v/>
      </c>
      <c r="I343" t="inlineStr">
        <is>
          <t>1</t>
        </is>
      </c>
      <c r="J343">
        <f>((Inputs!$B$6*(1+Inputs!$B$7/100))+(((Inputs!$B$12*(1+Inputs!$B$13/100))-(Inputs!$B$12*(1+Inputs!$B$13/100)))+0.25*(Inputs!$B$14-Inputs!$B$14))*(1+Inputs!$B$7/100))*(F343/100)</f>
        <v/>
      </c>
      <c r="K343">
        <f>J343*(1+((Inputs!$B$12*(1+Inputs!$B$13/100))*0.01+Inputs!$B$14*0.0025)/100)*(1+Inputs!$B$15/100)*(1+Inputs!$B$16/100)*(5000/(6000+Inputs!$B$42*(1-(Inputs!$B$19+0)/100)))*(1+(((((1+Inputs!$B$24/100)*(1.01))-1)*100)+((C360=TRUE)*(F360-Calc!F26))+B370)/100)*(1+(IF(Skills!A9="EIGHT_LEGS_EASTON",Inputs!$B$17+((C357=TRUE)*(F357-Calc!F23))+((C361=TRUE)*(F361-Calc!F27)),Inputs!$B$18+0))/100)*((1+(((C351=TRUE)*F351)+((C358=TRUE)*(F358-Calc!F24)))/100)*I343)</f>
        <v/>
      </c>
      <c r="L343">
        <f>K343*(MIN(Inputs!$B$22+((C356=TRUE)*(F356-Calc!F22)),Inputs!$B$23+0)/100+(Inputs!$B$23+0)/100)/2</f>
        <v/>
      </c>
      <c r="M343">
        <f>L343*(1+(Inputs!$B$10+((C359=TRUE)*(F359-Calc!F25))+B369)/100)</f>
        <v/>
      </c>
      <c r="N343">
        <f>L343*(1-MIN((Inputs!$B$9+((C353=TRUE)*(F353-Calc!F19))+B364),100)/100)+M343*(MIN((Inputs!$B$9+((C353=TRUE)*(F353-Calc!F19))+B364),100)/100)</f>
        <v/>
      </c>
      <c r="O343">
        <f>(1-Summary!$B$55)*T343+Summary!$B$55*V343</f>
        <v/>
      </c>
      <c r="P343">
        <f>IF(B374=0,0,O343/B374)</f>
        <v/>
      </c>
      <c r="Q343">
        <f>IFERROR(1/IF(Inputs!$B$38="pvp",15,MAX(0.1,Skills!D9-IF(Skills!E9=TRUE,Inputs!$B$32,0))),0)</f>
        <v/>
      </c>
      <c r="R343">
        <f>IF(AND(Inputs!$B$38&lt;&gt;"pvp",Inputs!$B$43&gt;0),IF(MAX(0,Inputs!$B$43-B371)&lt;=0,0,(INT(MAX(0,Inputs!$B$43-B371)/IF(Inputs!$B$38="pvp",15,MAX(0.1,Skills!D9-IF(Skills!E9=TRUE,Inputs!$B$32,0))))+1)),0)</f>
        <v/>
      </c>
      <c r="S343">
        <f>IFERROR(O343/N343,0)</f>
        <v/>
      </c>
      <c r="T343">
        <f>IF(C343,(H343*N343*IF(AND(Inputs!$B$38&lt;&gt;"pvp",Inputs!$B$43&gt;0),((Skills!G9*((R343-1)*IF(Skills!H9&gt;0,Skills!I9/Skills!H9,1)+IF(Skills!H9&gt;0,MIN(Skills!I9,MAX(0,MAX(0,Inputs!$B$43-B371)-((R343-1)*IF(Inputs!$B$38="pvp",15,MAX(0.1,Skills!D9-IF(Skills!E9=TRUE,Inputs!$B$32,0))))))/Skills!H9,1)))/Inputs!$B$43),G343*Q343))*IF(Inputs!$B$38="pvp",1,1+(Inputs!$B$20+0+Skills!P9)/100),0)</f>
        <v/>
      </c>
      <c r="V343">
        <f>IF(C343,(H343*N343*IF(AND(Inputs!$B$38&lt;&gt;"pvp",Inputs!$B$43&gt;0),((Skills!G9*((R343-1)*IF(Skills!H9&gt;0,Skills!I9/Skills!H9,1)+IF(Skills!H9&gt;0,MIN(Skills!I9,MAX(0,MAX(0,Inputs!$B$43-B371)-((R343-1)*IF(Inputs!$B$38="pvp",15,MAX(0.1,Skills!D9-IF(Skills!E9=TRUE,Inputs!$B$32,0))))))/Skills!H9,1)))/Inputs!$B$43),G343*Q343))*IF(Inputs!$B$38="pvp",1,(1+(Inputs!$B$21+Skills!Q9)/100)*(MIN(Skills!R9,Inputs!$B$37))),0)</f>
        <v/>
      </c>
    </row>
    <row r="344">
      <c r="A344">
        <f>Skills!A10</f>
        <v/>
      </c>
      <c r="B344">
        <f>Skills!B10</f>
        <v/>
      </c>
      <c r="C344">
        <f>Inputs!$B$3&gt;=113</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Skills!G10*IF(Skills!H10&gt;0,Skills!I10/Skills!H10,1)</f>
        <v/>
      </c>
      <c r="H344">
        <f>1-(1-Skills!J10/100)^Skills!K10</f>
        <v/>
      </c>
      <c r="I344" t="inlineStr">
        <is>
          <t>1</t>
        </is>
      </c>
      <c r="J344">
        <f>((Inputs!$B$6*(1+Inputs!$B$7/100))+(((Inputs!$B$12*(1+Inputs!$B$13/100))-(Inputs!$B$12*(1+Inputs!$B$13/100)))+0.25*(Inputs!$B$14-Inputs!$B$14))*(1+Inputs!$B$7/100))*(F344/100)</f>
        <v/>
      </c>
      <c r="K344">
        <f>J344*(1+((Inputs!$B$12*(1+Inputs!$B$13/100))*0.01+Inputs!$B$14*0.0025)/100)*(1+Inputs!$B$15/100)*(1+Inputs!$B$16/100)*(5000/(6000+Inputs!$B$42*(1-(Inputs!$B$19+0)/100)))*(1+(((((1+Inputs!$B$24/100)*(1.01))-1)*100)+((C360=TRUE)*(F360-Calc!F26))+B370)/100)*(1+(IF(Skills!A10="EIGHT_LEGS_EASTON",Inputs!$B$17+((C357=TRUE)*(F357-Calc!F23))+((C361=TRUE)*(F361-Calc!F27)),Inputs!$B$18+0))/100)*((1+(((C351=TRUE)*F351)+((C358=TRUE)*(F358-Calc!F24)))/100)*I344)</f>
        <v/>
      </c>
      <c r="L344">
        <f>K344*(MIN(Inputs!$B$22+((C356=TRUE)*(F356-Calc!F22)),Inputs!$B$23+0)/100+(Inputs!$B$23+0)/100)/2</f>
        <v/>
      </c>
      <c r="M344">
        <f>L344*(1+(Inputs!$B$10+((C359=TRUE)*(F359-Calc!F25))+B369)/100)</f>
        <v/>
      </c>
      <c r="N344">
        <f>L344*(1-MIN((Inputs!$B$9+((C353=TRUE)*(F353-Calc!F19))+B364),100)/100)+M344*(MIN((Inputs!$B$9+((C353=TRUE)*(F353-Calc!F19))+B364),100)/100)</f>
        <v/>
      </c>
      <c r="O344">
        <f>(1-Summary!$B$55)*T344+Summary!$B$55*V344</f>
        <v/>
      </c>
      <c r="P344">
        <f>IF(B374=0,0,O344/B374)</f>
        <v/>
      </c>
      <c r="Q344">
        <f>IFERROR(1/IF(Inputs!$B$38="pvp",15,MAX(0.1,Skills!D10-IF(Skills!E10=TRUE,Inputs!$B$32,0))),0)</f>
        <v/>
      </c>
      <c r="R344">
        <f>IF(AND(Inputs!$B$38&lt;&gt;"pvp",Inputs!$B$43&gt;0),IF(MAX(0,Inputs!$B$43-B371)&lt;=0,0,(INT(MAX(0,Inputs!$B$43-B371)/IF(Inputs!$B$38="pvp",15,MAX(0.1,Skills!D10-IF(Skills!E10=TRUE,Inputs!$B$32,0))))+1)),0)</f>
        <v/>
      </c>
      <c r="S344">
        <f>IFERROR(O344/N344,0)</f>
        <v/>
      </c>
      <c r="T344">
        <f>IF(C344,(H344*N344*IF(AND(Inputs!$B$38&lt;&gt;"pvp",Inputs!$B$43&gt;0),((Skills!G10*((R344-1)*IF(Skills!H10&gt;0,Skills!I10/Skills!H10,1)+IF(Skills!H10&gt;0,MIN(Skills!I10,MAX(0,MAX(0,Inputs!$B$43-B371)-((R344-1)*IF(Inputs!$B$38="pvp",15,MAX(0.1,Skills!D10-IF(Skills!E10=TRUE,Inputs!$B$32,0))))))/Skills!H10,1)))/Inputs!$B$43),G344*Q344))*IF(Inputs!$B$38="pvp",1,1+(Inputs!$B$20+0+Skills!P10)/100),0)</f>
        <v/>
      </c>
      <c r="V344">
        <f>IF(C344,(H344*N344*IF(AND(Inputs!$B$38&lt;&gt;"pvp",Inputs!$B$43&gt;0),((Skills!G10*((R344-1)*IF(Skills!H10&gt;0,Skills!I10/Skills!H10,1)+IF(Skills!H10&gt;0,MIN(Skills!I10,MAX(0,MAX(0,Inputs!$B$43-B371)-((R344-1)*IF(Inputs!$B$38="pvp",15,MAX(0.1,Skills!D10-IF(Skills!E10=TRUE,Inputs!$B$32,0))))))/Skills!H10,1)))/Inputs!$B$43),G344*Q344))*IF(Inputs!$B$38="pvp",1,(1+(Inputs!$B$21+Skills!Q10)/100)*(MIN(Skills!R10,Inputs!$B$37))),0)</f>
        <v/>
      </c>
    </row>
    <row r="345">
      <c r="A345">
        <f>Skills!A11</f>
        <v/>
      </c>
      <c r="B345">
        <f>Skills!B11</f>
        <v/>
      </c>
      <c r="C345">
        <f>Inputs!$B$3&gt;=107</f>
        <v/>
      </c>
      <c r="D345">
        <f>IF(Skills!C11=1,60+Inputs!$B$25+Inputs!$B$29,IF(Skills!C11=2,90+Inputs!$B$26+Inputs!$B$29,IF(Skills!C11=3,120+Inputs!$B$27+Inputs!$B$29,MAX(0,(Inputs!$B$3-100)*3)+Inputs!$B$28+Inputs!$B$29)))</f>
        <v/>
      </c>
      <c r="E345">
        <f>INDEX(FactorTable!$B$2:$Y$301, MATCH(ROUND(MIN(300,MAX(1,D345)),0), FactorTable!$A$2:$A$301,0), Skills!M11+1)</f>
        <v/>
      </c>
      <c r="F345">
        <f>IF(Skills!N11=TRUE,(Skills!L11/10)*(E345/1000),Skills!L11/10)+Skills!O11</f>
        <v/>
      </c>
      <c r="G345">
        <f>Skills!G11*IF(Skills!H11&gt;0,Skills!I11/Skills!H11,1)</f>
        <v/>
      </c>
      <c r="H345">
        <f>1-(1-Skills!J11/100)^Skills!K11</f>
        <v/>
      </c>
      <c r="I345" t="inlineStr">
        <is>
          <t>1</t>
        </is>
      </c>
      <c r="J345">
        <f>((Inputs!$B$6*(1+Inputs!$B$7/100))+(((Inputs!$B$12*(1+Inputs!$B$13/100))-(Inputs!$B$12*(1+Inputs!$B$13/100)))+0.25*(Inputs!$B$14-Inputs!$B$14))*(1+Inputs!$B$7/100))*(F345/100)</f>
        <v/>
      </c>
      <c r="K345">
        <f>J345*(1+((Inputs!$B$12*(1+Inputs!$B$13/100))*0.01+Inputs!$B$14*0.0025)/100)*(1+Inputs!$B$15/100)*(1+Inputs!$B$16/100)*(5000/(6000+Inputs!$B$42*(1-(Inputs!$B$19+0)/100)))*(1+(((((1+Inputs!$B$24/100)*(1.01))-1)*100)+((C360=TRUE)*(F360-Calc!F26))+B370)/100)*(1+(IF(Skills!A11="EIGHT_LEGS_EASTON",Inputs!$B$17+((C357=TRUE)*(F357-Calc!F23))+((C361=TRUE)*(F361-Calc!F27)),Inputs!$B$18+0))/100)*((1+(((C351=TRUE)*F351)+((C358=TRUE)*(F358-Calc!F24)))/100)*I345)</f>
        <v/>
      </c>
      <c r="L345">
        <f>K345*(MIN(Inputs!$B$22+((C356=TRUE)*(F356-Calc!F22)),Inputs!$B$23+0)/100+(Inputs!$B$23+0)/100)/2</f>
        <v/>
      </c>
      <c r="M345">
        <f>L345*(1+(Inputs!$B$10+((C359=TRUE)*(F359-Calc!F25))+B369)/100)</f>
        <v/>
      </c>
      <c r="N345">
        <f>L345*(1-MIN((Inputs!$B$9+((C353=TRUE)*(F353-Calc!F19))+B364),100)/100)+M345*(MIN((Inputs!$B$9+((C353=TRUE)*(F353-Calc!F19))+B364),100)/100)</f>
        <v/>
      </c>
      <c r="O345">
        <f>(1-Summary!$B$55)*T345+Summary!$B$55*V345</f>
        <v/>
      </c>
      <c r="P345">
        <f>IF(B374=0,0,O345/B374)</f>
        <v/>
      </c>
      <c r="Q345">
        <f>IFERROR(1/IF(Inputs!$B$38="pvp",15,MAX(0.1,Skills!D11-IF(Skills!E11=TRUE,Inputs!$B$32,0))),0)</f>
        <v/>
      </c>
      <c r="R345">
        <f>IF(AND(Inputs!$B$38&lt;&gt;"pvp",Inputs!$B$43&gt;0),IF(MAX(0,Inputs!$B$43-B371)&lt;=0,0,(INT(MAX(0,Inputs!$B$43-B371)/IF(Inputs!$B$38="pvp",15,MAX(0.1,Skills!D11-IF(Skills!E11=TRUE,Inputs!$B$32,0))))+1)),0)</f>
        <v/>
      </c>
      <c r="S345">
        <f>IFERROR(O345/N345,0)</f>
        <v/>
      </c>
      <c r="T345">
        <f>IF(C345,(H345*N345*IF(AND(Inputs!$B$38&lt;&gt;"pvp",Inputs!$B$43&gt;0),((Skills!G11*((R345-1)*IF(Skills!H11&gt;0,Skills!I11/Skills!H11,1)+IF(Skills!H11&gt;0,MIN(Skills!I11,MAX(0,MAX(0,Inputs!$B$43-B371)-((R345-1)*IF(Inputs!$B$38="pvp",15,MAX(0.1,Skills!D11-IF(Skills!E11=TRUE,Inputs!$B$32,0))))))/Skills!H11,1)))/Inputs!$B$43),G345*Q345))*IF(Inputs!$B$38="pvp",1,1+(Inputs!$B$20+0+Skills!P11)/100),0)</f>
        <v/>
      </c>
      <c r="V345">
        <f>IF(C345,(H345*N345*IF(AND(Inputs!$B$38&lt;&gt;"pvp",Inputs!$B$43&gt;0),((Skills!G11*((R345-1)*IF(Skills!H11&gt;0,Skills!I11/Skills!H11,1)+IF(Skills!H11&gt;0,MIN(Skills!I11,MAX(0,MAX(0,Inputs!$B$43-B371)-((R345-1)*IF(Inputs!$B$38="pvp",15,MAX(0.1,Skills!D11-IF(Skills!E11=TRUE,Inputs!$B$32,0))))))/Skills!H11,1)))/Inputs!$B$43),G345*Q345))*IF(Inputs!$B$38="pvp",1,(1+(Inputs!$B$21+Skills!Q11)/100)*(MIN(Skills!R11,Inputs!$B$37))),0)</f>
        <v/>
      </c>
    </row>
    <row r="346">
      <c r="A346">
        <f>Skills!A12</f>
        <v/>
      </c>
      <c r="B346">
        <f>Skills!B12</f>
        <v/>
      </c>
      <c r="C346">
        <f>Inputs!$B$3&gt;=110</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Skills!G12*IF(Skills!H12&gt;0,Skills!I12/Skills!H12,1)</f>
        <v/>
      </c>
      <c r="H346">
        <f>1-(1-Skills!J12/100)^Skills!K12</f>
        <v/>
      </c>
      <c r="I346" t="inlineStr">
        <is>
          <t>1</t>
        </is>
      </c>
      <c r="J346">
        <f>((Inputs!$B$6*(1+Inputs!$B$7/100))+(((Inputs!$B$12*(1+Inputs!$B$13/100))-(Inputs!$B$12*(1+Inputs!$B$13/100)))+0.25*(Inputs!$B$14-Inputs!$B$14))*(1+Inputs!$B$7/100))*(F346/100)</f>
        <v/>
      </c>
      <c r="K346">
        <f>J346*(1+((Inputs!$B$12*(1+Inputs!$B$13/100))*0.01+Inputs!$B$14*0.0025)/100)*(1+Inputs!$B$15/100)*(1+Inputs!$B$16/100)*(5000/(6000+Inputs!$B$42*(1-(Inputs!$B$19+0)/100)))*(1+(((((1+Inputs!$B$24/100)*(1.01))-1)*100)+((C360=TRUE)*(F360-Calc!F26))+B370)/100)*(1+(IF(Skills!A12="EIGHT_LEGS_EASTON",Inputs!$B$17+((C357=TRUE)*(F357-Calc!F23))+((C361=TRUE)*(F361-Calc!F27)),Inputs!$B$18+0))/100)*((1+(((C351=TRUE)*F351)+((C358=TRUE)*(F358-Calc!F24)))/100)*I346)</f>
        <v/>
      </c>
      <c r="L346">
        <f>K346*(MIN(Inputs!$B$22+((C356=TRUE)*(F356-Calc!F22)),Inputs!$B$23+0)/100+(Inputs!$B$23+0)/100)/2</f>
        <v/>
      </c>
      <c r="M346">
        <f>L346*(1+(Inputs!$B$10+((C359=TRUE)*(F359-Calc!F25))+B369)/100)</f>
        <v/>
      </c>
      <c r="N346">
        <f>L346*(1-MIN((Inputs!$B$9+((C353=TRUE)*(F353-Calc!F19))+B364),100)/100)+M346*(MIN((Inputs!$B$9+((C353=TRUE)*(F353-Calc!F19))+B364),100)/100)</f>
        <v/>
      </c>
      <c r="O346">
        <f>(1-Summary!$B$55)*T346+Summary!$B$55*V346</f>
        <v/>
      </c>
      <c r="P346">
        <f>IF(B374=0,0,O346/B374)</f>
        <v/>
      </c>
      <c r="Q346">
        <f>IFERROR(1/IF(Inputs!$B$38="pvp",15,MAX(0.1,Skills!D12-IF(Skills!E12=TRUE,Inputs!$B$32,0))),0)</f>
        <v/>
      </c>
      <c r="R346">
        <f>IF(AND(Inputs!$B$38&lt;&gt;"pvp",Inputs!$B$43&gt;0),IF(MAX(0,Inputs!$B$43-B371)&lt;=0,0,(INT(MAX(0,Inputs!$B$43-B371)/IF(Inputs!$B$38="pvp",15,MAX(0.1,Skills!D12-IF(Skills!E12=TRUE,Inputs!$B$32,0))))+1)),0)</f>
        <v/>
      </c>
      <c r="S346">
        <f>IFERROR(O346/N346,0)</f>
        <v/>
      </c>
      <c r="T346">
        <f>IF(C346,(H346*N346*IF(AND(Inputs!$B$38&lt;&gt;"pvp",Inputs!$B$43&gt;0),((Skills!G12*((R346-1)*IF(Skills!H12&gt;0,Skills!I12/Skills!H12,1)+IF(Skills!H12&gt;0,MIN(Skills!I12,MAX(0,MAX(0,Inputs!$B$43-B371)-((R346-1)*IF(Inputs!$B$38="pvp",15,MAX(0.1,Skills!D12-IF(Skills!E12=TRUE,Inputs!$B$32,0))))))/Skills!H12,1)))/Inputs!$B$43),G346*Q346))*IF(Inputs!$B$38="pvp",1,1+(Inputs!$B$20+0+Skills!P12)/100),0)</f>
        <v/>
      </c>
      <c r="V346">
        <f>IF(C346,(H346*N346*IF(AND(Inputs!$B$38&lt;&gt;"pvp",Inputs!$B$43&gt;0),((Skills!G12*((R346-1)*IF(Skills!H12&gt;0,Skills!I12/Skills!H12,1)+IF(Skills!H12&gt;0,MIN(Skills!I12,MAX(0,MAX(0,Inputs!$B$43-B371)-((R346-1)*IF(Inputs!$B$38="pvp",15,MAX(0.1,Skills!D12-IF(Skills!E12=TRUE,Inputs!$B$32,0))))))/Skills!H12,1)))/Inputs!$B$43),G346*Q346))*IF(Inputs!$B$38="pvp",1,(1+(Inputs!$B$21+Skills!Q12)/100)*(MIN(Skills!R12,Inputs!$B$37))),0)</f>
        <v/>
      </c>
    </row>
    <row r="347">
      <c r="A347">
        <f>Skills!A13</f>
        <v/>
      </c>
      <c r="B347">
        <f>Skills!B13</f>
        <v/>
      </c>
      <c r="C347">
        <f>Inputs!$B$3&gt;=110</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Skills!G13*IF(Skills!H13&gt;0,Skills!I13/Skills!H13,1)</f>
        <v/>
      </c>
      <c r="H347">
        <f>1-(1-Skills!J13/100)^Skills!K13</f>
        <v/>
      </c>
      <c r="I347" t="inlineStr">
        <is>
          <t>1</t>
        </is>
      </c>
      <c r="J347">
        <f>((Inputs!$B$6*(1+Inputs!$B$7/100))+(((Inputs!$B$12*(1+Inputs!$B$13/100))-(Inputs!$B$12*(1+Inputs!$B$13/100)))+0.25*(Inputs!$B$14-Inputs!$B$14))*(1+Inputs!$B$7/100))*(F347/100)</f>
        <v/>
      </c>
      <c r="K347">
        <f>J347*(1+((Inputs!$B$12*(1+Inputs!$B$13/100))*0.01+Inputs!$B$14*0.0025)/100)*(1+Inputs!$B$15/100)*(1+Inputs!$B$16/100)*(5000/(6000+Inputs!$B$42*(1-(Inputs!$B$19+0)/100)))*(1+(((((1+Inputs!$B$24/100)*(1.01))-1)*100)+((C360=TRUE)*(F360-Calc!F26))+B370)/100)*(1+(IF(Skills!A13="EIGHT_LEGS_EASTON",Inputs!$B$17+((C357=TRUE)*(F357-Calc!F23))+((C361=TRUE)*(F361-Calc!F27)),Inputs!$B$18+0))/100)*((1+(((C351=TRUE)*F351)+((C358=TRUE)*(F358-Calc!F24)))/100)*I347)</f>
        <v/>
      </c>
      <c r="L347">
        <f>K347*(MIN(Inputs!$B$22+((C356=TRUE)*(F356-Calc!F22)),Inputs!$B$23+0)/100+(Inputs!$B$23+0)/100)/2</f>
        <v/>
      </c>
      <c r="M347">
        <f>L347*(1+(Inputs!$B$10+((C359=TRUE)*(F359-Calc!F25))+B369)/100)</f>
        <v/>
      </c>
      <c r="N347">
        <f>L347*(1-MIN((Inputs!$B$9+((C353=TRUE)*(F353-Calc!F19))+B364),100)/100)+M347*(MIN((Inputs!$B$9+((C353=TRUE)*(F353-Calc!F19))+B364),100)/100)</f>
        <v/>
      </c>
      <c r="O347">
        <f>(1-Summary!$B$55)*T347+Summary!$B$55*V347</f>
        <v/>
      </c>
      <c r="P347">
        <f>IF(B374=0,0,O347/B374)</f>
        <v/>
      </c>
      <c r="Q347">
        <f>IFERROR(1/IF(Inputs!$B$38="pvp",15,MAX(0.1,Skills!D13-IF(Skills!E13=TRUE,Inputs!$B$32,0))),0)</f>
        <v/>
      </c>
      <c r="R347">
        <f>IF(AND(Inputs!$B$38&lt;&gt;"pvp",Inputs!$B$43&gt;0),IF(MAX(0,Inputs!$B$43-B371)&lt;=0,0,(INT(MAX(0,Inputs!$B$43-B371)/IF(Inputs!$B$38="pvp",15,MAX(0.1,Skills!D13-IF(Skills!E13=TRUE,Inputs!$B$32,0))))+1)),0)</f>
        <v/>
      </c>
      <c r="S347">
        <f>IFERROR(O347/N347,0)</f>
        <v/>
      </c>
      <c r="T347">
        <f>IF(C347,(H347*N347*IF(AND(Inputs!$B$38&lt;&gt;"pvp",Inputs!$B$43&gt;0),((Skills!G13*((R347-1)*IF(Skills!H13&gt;0,Skills!I13/Skills!H13,1)+IF(Skills!H13&gt;0,MIN(Skills!I13,MAX(0,MAX(0,Inputs!$B$43-B371)-((R347-1)*IF(Inputs!$B$38="pvp",15,MAX(0.1,Skills!D13-IF(Skills!E13=TRUE,Inputs!$B$32,0))))))/Skills!H13,1)))/Inputs!$B$43),G347*Q347))*IF(Inputs!$B$38="pvp",1,1+(Inputs!$B$20+0+Skills!P13)/100),0)</f>
        <v/>
      </c>
      <c r="V347">
        <f>IF(C347,(H347*N347*IF(AND(Inputs!$B$38&lt;&gt;"pvp",Inputs!$B$43&gt;0),((Skills!G13*((R347-1)*IF(Skills!H13&gt;0,Skills!I13/Skills!H13,1)+IF(Skills!H13&gt;0,MIN(Skills!I13,MAX(0,MAX(0,Inputs!$B$43-B371)-((R347-1)*IF(Inputs!$B$38="pvp",15,MAX(0.1,Skills!D13-IF(Skills!E13=TRUE,Inputs!$B$32,0))))))/Skills!H13,1)))/Inputs!$B$43),G347*Q347))*IF(Inputs!$B$38="pvp",1,(1+(Inputs!$B$21+Skills!Q13)/100)*(MIN(Skills!R13,Inputs!$B$37))),0)</f>
        <v/>
      </c>
    </row>
    <row r="348">
      <c r="A348">
        <f>Skills!A14</f>
        <v/>
      </c>
      <c r="B348">
        <f>Skills!B14</f>
        <v/>
      </c>
      <c r="C348">
        <f>Inputs!$B$3&gt;=125</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Skills!G14*IF(Skills!H14&gt;0,Skills!I14/Skills!H14,1)</f>
        <v/>
      </c>
      <c r="H348">
        <f>1-(1-Skills!J14/100)^Skills!K14</f>
        <v/>
      </c>
      <c r="I348" t="inlineStr">
        <is>
          <t>1</t>
        </is>
      </c>
      <c r="J348">
        <f>((Inputs!$B$6*(1+Inputs!$B$7/100))+(((Inputs!$B$12*(1+Inputs!$B$13/100))-(Inputs!$B$12*(1+Inputs!$B$13/100)))+0.25*(Inputs!$B$14-Inputs!$B$14))*(1+Inputs!$B$7/100))*(F348/100)</f>
        <v/>
      </c>
      <c r="K348">
        <f>J348*(1+((Inputs!$B$12*(1+Inputs!$B$13/100))*0.01+Inputs!$B$14*0.0025)/100)*(1+Inputs!$B$15/100)*(1+Inputs!$B$16/100)*(5000/(6000+Inputs!$B$42*(1-(Inputs!$B$19+0)/100)))*(1+(((((1+Inputs!$B$24/100)*(1.01))-1)*100)+((C360=TRUE)*(F360-Calc!F26))+B370)/100)*(1+(IF(Skills!A14="EIGHT_LEGS_EASTON",Inputs!$B$17+((C357=TRUE)*(F357-Calc!F23))+((C361=TRUE)*(F361-Calc!F27)),Inputs!$B$18+0))/100)*((1+(((C351=TRUE)*F351)+((C358=TRUE)*(F358-Calc!F24)))/100)*I348)</f>
        <v/>
      </c>
      <c r="L348">
        <f>K348*(MIN(Inputs!$B$22+((C356=TRUE)*(F356-Calc!F22)),Inputs!$B$23+0)/100+(Inputs!$B$23+0)/100)/2</f>
        <v/>
      </c>
      <c r="M348">
        <f>L348*(1+(Inputs!$B$10+((C359=TRUE)*(F359-Calc!F25))+B369)/100)</f>
        <v/>
      </c>
      <c r="N348">
        <f>L348*(1-MIN((Inputs!$B$9+((C353=TRUE)*(F353-Calc!F19))+B364),100)/100)+M348*(MIN((Inputs!$B$9+((C353=TRUE)*(F353-Calc!F19))+B364),100)/100)</f>
        <v/>
      </c>
      <c r="O348">
        <f>(1-Summary!$B$55)*T348+Summary!$B$55*V348</f>
        <v/>
      </c>
      <c r="P348">
        <f>IF(B374=0,0,O348/B374)</f>
        <v/>
      </c>
      <c r="Q348" t="n">
        <v>0</v>
      </c>
      <c r="R348" t="n">
        <v>0</v>
      </c>
      <c r="S348">
        <f>IFERROR(O348/N348,0)</f>
        <v/>
      </c>
      <c r="T348">
        <f>IF(C348,(H348*N348*(B368+IF(AND(Inputs!$B$38&lt;&gt;"pvp",Inputs!$B$43&gt;0),((Skills!G8*((R342-1)*IF(Skills!H8&gt;0,Skills!I8/Skills!H8,1)+IF(Skills!H8&gt;0,MIN(Skills!I8,MAX(0,MAX(0,Inputs!$B$43-B371)-((R342-1)*IF(Inputs!$B$38="pvp",15,MAX(0.1,Skills!D8-IF(Skills!E8=TRUE,Inputs!$B$32,0))))))/Skills!H8,1)))/Inputs!$B$43),G342*Q342)+IF(AND(Inputs!$B$38&lt;&gt;"pvp",Inputs!$B$43&gt;0),((Skills!G11*((R345-1)*IF(Skills!H11&gt;0,Skills!I11/Skills!H11,1)+IF(Skills!H11&gt;0,MIN(Skills!I11,MAX(0,MAX(0,Inputs!$B$43-B371)-((R345-1)*IF(Inputs!$B$38="pvp",15,MAX(0.1,Skills!D11-IF(Skills!E11=TRUE,Inputs!$B$32,0))))))/Skills!H11,1)))/Inputs!$B$43),G345*Q345)))*IF(Inputs!$B$38="pvp",1,1+(Inputs!$B$20+0+Skills!P14)/100),0)</f>
        <v/>
      </c>
      <c r="V348">
        <f>IF(C348,(H348*N348*(B368+IF(AND(Inputs!$B$38&lt;&gt;"pvp",Inputs!$B$43&gt;0),((Skills!G8*((R342-1)*IF(Skills!H8&gt;0,Skills!I8/Skills!H8,1)+IF(Skills!H8&gt;0,MIN(Skills!I8,MAX(0,MAX(0,Inputs!$B$43-B371)-((R342-1)*IF(Inputs!$B$38="pvp",15,MAX(0.1,Skills!D8-IF(Skills!E8=TRUE,Inputs!$B$32,0))))))/Skills!H8,1)))/Inputs!$B$43),G342*Q342)+IF(AND(Inputs!$B$38&lt;&gt;"pvp",Inputs!$B$43&gt;0),((Skills!G11*((R345-1)*IF(Skills!H11&gt;0,Skills!I11/Skills!H11,1)+IF(Skills!H11&gt;0,MIN(Skills!I11,MAX(0,MAX(0,Inputs!$B$43-B371)-((R345-1)*IF(Inputs!$B$38="pvp",15,MAX(0.1,Skills!D11-IF(Skills!E11=TRUE,Inputs!$B$32,0))))))/Skills!H11,1)))/Inputs!$B$43),G345*Q345)))*IF(Inputs!$B$38="pvp",1,(1+(Inputs!$B$21+Skills!Q14)/100)*(MIN(Skills!R14,Inputs!$B$37))),0)</f>
        <v/>
      </c>
    </row>
    <row r="349">
      <c r="A349">
        <f>Skills!A15</f>
        <v/>
      </c>
      <c r="B349">
        <f>Skills!B15</f>
        <v/>
      </c>
      <c r="C349">
        <f>Inputs!$B$3&gt;=100</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t="inlineStr"/>
      <c r="H349" t="inlineStr"/>
      <c r="I349" t="inlineStr">
        <is>
          <t>1</t>
        </is>
      </c>
      <c r="J349" t="inlineStr"/>
      <c r="K349" t="inlineStr"/>
      <c r="L349" t="inlineStr"/>
      <c r="M349" t="inlineStr"/>
      <c r="N349" t="inlineStr"/>
      <c r="O349" t="inlineStr"/>
      <c r="P349" t="inlineStr"/>
      <c r="Q349" t="inlineStr"/>
      <c r="R349" t="inlineStr"/>
      <c r="S349" t="inlineStr"/>
    </row>
    <row r="350">
      <c r="A350">
        <f>Skills!A16</f>
        <v/>
      </c>
      <c r="B350">
        <f>Skills!B16</f>
        <v/>
      </c>
      <c r="C350">
        <f>Inputs!$B$3&gt;=120</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t="inlineStr"/>
      <c r="H350" t="inlineStr"/>
      <c r="I350" t="inlineStr">
        <is>
          <t>1</t>
        </is>
      </c>
      <c r="J350" t="inlineStr"/>
      <c r="K350" t="inlineStr"/>
      <c r="L350" t="inlineStr"/>
      <c r="M350" t="inlineStr"/>
      <c r="N350" t="inlineStr"/>
      <c r="O350" t="inlineStr"/>
      <c r="P350" t="inlineStr"/>
      <c r="Q350" t="inlineStr"/>
      <c r="R350" t="inlineStr"/>
      <c r="S350" t="inlineStr"/>
    </row>
    <row r="351">
      <c r="A351">
        <f>Skills!A17</f>
        <v/>
      </c>
      <c r="B351">
        <f>Skills!B17</f>
        <v/>
      </c>
      <c r="C351">
        <f>Inputs!$B$3&gt;=66</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Skills!G17*IF(Skills!H17&gt;0,Skills!I17/Skills!H17,1)</f>
        <v/>
      </c>
      <c r="H351">
        <f>1-(1-Skills!J17/100)^Skills!K17</f>
        <v/>
      </c>
      <c r="I351" t="inlineStr">
        <is>
          <t>1</t>
        </is>
      </c>
      <c r="J351" t="inlineStr"/>
      <c r="K351" t="inlineStr"/>
      <c r="L351" t="inlineStr"/>
      <c r="M351" t="inlineStr"/>
      <c r="N351" t="inlineStr"/>
      <c r="O351">
        <f>(1-Summary!$B$55)*T351+Summary!$B$55*V351</f>
        <v/>
      </c>
      <c r="P351">
        <f>IF(B374=0,0,O351/B374)</f>
        <v/>
      </c>
      <c r="Q351" t="n">
        <v>0</v>
      </c>
      <c r="R351" t="n">
        <v>0</v>
      </c>
      <c r="S351">
        <f>IFERROR(O351/N351,0)</f>
        <v/>
      </c>
      <c r="T351" t="n">
        <v>0</v>
      </c>
      <c r="V351" t="n">
        <v>0</v>
      </c>
    </row>
    <row r="352">
      <c r="A352">
        <f>Skills!A18</f>
        <v/>
      </c>
      <c r="B352">
        <f>Skills!B18</f>
        <v/>
      </c>
      <c r="C352">
        <f>Inputs!$B$3&gt;=115</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Skills!G18*IF(Skills!H18&gt;0,Skills!I18/Skills!H18,1)</f>
        <v/>
      </c>
      <c r="H352">
        <f>1-(1-Skills!J18/100)^Skills!K18</f>
        <v/>
      </c>
      <c r="I352" t="inlineStr">
        <is>
          <t>1</t>
        </is>
      </c>
      <c r="J352" t="inlineStr"/>
      <c r="K352" t="inlineStr"/>
      <c r="L352" t="inlineStr"/>
      <c r="M352" t="inlineStr"/>
      <c r="N352" t="inlineStr"/>
      <c r="O352">
        <f>(1-Summary!$B$55)*T352+Summary!$B$55*V352</f>
        <v/>
      </c>
      <c r="P352">
        <f>IF(B374=0,0,O352/B374)</f>
        <v/>
      </c>
      <c r="Q352" t="n">
        <v>0</v>
      </c>
      <c r="R352" t="n">
        <v>0</v>
      </c>
      <c r="S352">
        <f>IFERROR(O352/N352,0)</f>
        <v/>
      </c>
      <c r="T352" t="n">
        <v>0</v>
      </c>
      <c r="V352" t="n">
        <v>0</v>
      </c>
    </row>
    <row r="353">
      <c r="A353">
        <f>Skills!A19</f>
        <v/>
      </c>
      <c r="B353">
        <f>Skills!B19</f>
        <v/>
      </c>
      <c r="C353">
        <f>Inputs!$B$3&gt;=15</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Skills!G19*IF(Skills!H19&gt;0,Skills!I19/Skills!H19,1)</f>
        <v/>
      </c>
      <c r="H353">
        <f>1-(1-Skills!J19/100)^Skills!K19</f>
        <v/>
      </c>
      <c r="I353" t="inlineStr">
        <is>
          <t>1</t>
        </is>
      </c>
      <c r="J353" t="inlineStr"/>
      <c r="K353" t="inlineStr"/>
      <c r="L353" t="inlineStr"/>
      <c r="M353" t="inlineStr"/>
      <c r="N353" t="inlineStr"/>
      <c r="O353">
        <f>(1-Summary!$B$55)*T353+Summary!$B$55*V353</f>
        <v/>
      </c>
      <c r="P353">
        <f>IF(B374=0,0,O353/B374)</f>
        <v/>
      </c>
      <c r="Q353" t="n">
        <v>0</v>
      </c>
      <c r="R353" t="n">
        <v>0</v>
      </c>
      <c r="S353">
        <f>IFERROR(O353/N353,0)</f>
        <v/>
      </c>
      <c r="T353" t="n">
        <v>0</v>
      </c>
      <c r="V353" t="n">
        <v>0</v>
      </c>
    </row>
    <row r="354">
      <c r="A354">
        <f>Skills!A20</f>
        <v/>
      </c>
      <c r="B354">
        <f>Skills!B20</f>
        <v/>
      </c>
      <c r="C354">
        <f>Inputs!$B$3&gt;=10</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Skills!G20*IF(Skills!H20&gt;0,Skills!I20/Skills!H20,1)</f>
        <v/>
      </c>
      <c r="H354">
        <f>1-(1-Skills!J20/100)^Skills!K20</f>
        <v/>
      </c>
      <c r="I354" t="inlineStr">
        <is>
          <t>1</t>
        </is>
      </c>
      <c r="J354" t="inlineStr"/>
      <c r="K354" t="inlineStr"/>
      <c r="L354" t="inlineStr"/>
      <c r="M354" t="inlineStr"/>
      <c r="N354" t="inlineStr"/>
      <c r="O354">
        <f>(1-Summary!$B$55)*T354+Summary!$B$55*V354</f>
        <v/>
      </c>
      <c r="P354">
        <f>IF(B374=0,0,O354/B374)</f>
        <v/>
      </c>
      <c r="Q354" t="n">
        <v>0</v>
      </c>
      <c r="R354" t="n">
        <v>0</v>
      </c>
      <c r="S354">
        <f>IFERROR(O354/N354,0)</f>
        <v/>
      </c>
      <c r="T354" t="n">
        <v>0</v>
      </c>
      <c r="V354" t="n">
        <v>0</v>
      </c>
    </row>
    <row r="355">
      <c r="A355">
        <f>Skills!A21</f>
        <v/>
      </c>
      <c r="B355">
        <f>Skills!B21</f>
        <v/>
      </c>
      <c r="C355">
        <f>Inputs!$B$3&gt;=33</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Skills!G21*IF(Skills!H21&gt;0,Skills!I21/Skills!H21,1)</f>
        <v/>
      </c>
      <c r="H355">
        <f>1-(1-Skills!J21/100)^Skills!K21</f>
        <v/>
      </c>
      <c r="I355" t="inlineStr">
        <is>
          <t>1</t>
        </is>
      </c>
      <c r="J355" t="inlineStr"/>
      <c r="K355" t="inlineStr"/>
      <c r="L355" t="inlineStr"/>
      <c r="M355" t="inlineStr"/>
      <c r="N355" t="inlineStr"/>
      <c r="O355">
        <f>(1-Summary!$B$55)*T355+Summary!$B$55*V355</f>
        <v/>
      </c>
      <c r="P355">
        <f>IF(B374=0,0,O355/B374)</f>
        <v/>
      </c>
      <c r="Q355" t="n">
        <v>0</v>
      </c>
      <c r="R355" t="n">
        <v>0</v>
      </c>
      <c r="S355">
        <f>IFERROR(O355/N355,0)</f>
        <v/>
      </c>
      <c r="T355" t="n">
        <v>0</v>
      </c>
      <c r="V355" t="n">
        <v>0</v>
      </c>
    </row>
    <row r="356">
      <c r="A356">
        <f>Skills!A22</f>
        <v/>
      </c>
      <c r="B356">
        <f>Skills!B22</f>
        <v/>
      </c>
      <c r="C356">
        <f>Inputs!$B$3&gt;=43</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Skills!G22*IF(Skills!H22&gt;0,Skills!I22/Skills!H22,1)</f>
        <v/>
      </c>
      <c r="H356">
        <f>1-(1-Skills!J22/100)^Skills!K22</f>
        <v/>
      </c>
      <c r="I356" t="inlineStr">
        <is>
          <t>1</t>
        </is>
      </c>
      <c r="J356" t="inlineStr"/>
      <c r="K356" t="inlineStr"/>
      <c r="L356" t="inlineStr"/>
      <c r="M356" t="inlineStr"/>
      <c r="N356" t="inlineStr"/>
      <c r="O356">
        <f>(1-Summary!$B$55)*T356+Summary!$B$55*V356</f>
        <v/>
      </c>
      <c r="P356">
        <f>IF(B374=0,0,O356/B374)</f>
        <v/>
      </c>
      <c r="Q356" t="n">
        <v>0</v>
      </c>
      <c r="R356" t="n">
        <v>0</v>
      </c>
      <c r="S356">
        <f>IFERROR(O356/N356,0)</f>
        <v/>
      </c>
      <c r="T356" t="n">
        <v>0</v>
      </c>
      <c r="V356" t="n">
        <v>0</v>
      </c>
    </row>
    <row r="357">
      <c r="A357">
        <f>Skills!A23</f>
        <v/>
      </c>
      <c r="B357">
        <f>Skills!B23</f>
        <v/>
      </c>
      <c r="C357">
        <f>Inputs!$B$3&gt;=38</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Skills!G23*IF(Skills!H23&gt;0,Skills!I23/Skills!H23,1)</f>
        <v/>
      </c>
      <c r="H357">
        <f>1-(1-Skills!J23/100)^Skills!K23</f>
        <v/>
      </c>
      <c r="I357" t="inlineStr">
        <is>
          <t>1</t>
        </is>
      </c>
      <c r="J357" t="inlineStr"/>
      <c r="K357" t="inlineStr"/>
      <c r="L357" t="inlineStr"/>
      <c r="M357" t="inlineStr"/>
      <c r="N357" t="inlineStr"/>
      <c r="O357">
        <f>(1-Summary!$B$55)*T357+Summary!$B$55*V357</f>
        <v/>
      </c>
      <c r="P357">
        <f>IF(B374=0,0,O357/B374)</f>
        <v/>
      </c>
      <c r="Q357" t="n">
        <v>0</v>
      </c>
      <c r="R357" t="n">
        <v>0</v>
      </c>
      <c r="S357">
        <f>IFERROR(O357/N357,0)</f>
        <v/>
      </c>
      <c r="T357" t="n">
        <v>0</v>
      </c>
      <c r="V357" t="n">
        <v>0</v>
      </c>
    </row>
    <row r="358">
      <c r="A358">
        <f>Skills!A24</f>
        <v/>
      </c>
      <c r="B358">
        <f>Skills!B24</f>
        <v/>
      </c>
      <c r="C358">
        <f>Inputs!$B$3&gt;=40</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Skills!G24*IF(Skills!H24&gt;0,Skills!I24/Skills!H24,1)</f>
        <v/>
      </c>
      <c r="H358">
        <f>1-(1-Skills!J24/100)^Skills!K24</f>
        <v/>
      </c>
      <c r="I358" t="inlineStr">
        <is>
          <t>1</t>
        </is>
      </c>
      <c r="J358" t="inlineStr"/>
      <c r="K358" t="inlineStr"/>
      <c r="L358" t="inlineStr"/>
      <c r="M358" t="inlineStr"/>
      <c r="N358" t="inlineStr"/>
      <c r="O358">
        <f>(1-Summary!$B$55)*T358+Summary!$B$55*V358</f>
        <v/>
      </c>
      <c r="P358">
        <f>IF(B374=0,0,O358/B374)</f>
        <v/>
      </c>
      <c r="Q358" t="n">
        <v>0</v>
      </c>
      <c r="R358" t="n">
        <v>0</v>
      </c>
      <c r="S358">
        <f>IFERROR(O358/N358,0)</f>
        <v/>
      </c>
      <c r="T358" t="n">
        <v>0</v>
      </c>
      <c r="V358" t="n">
        <v>0</v>
      </c>
    </row>
    <row r="359">
      <c r="A359">
        <f>Skills!A25</f>
        <v/>
      </c>
      <c r="B359">
        <f>Skills!B25</f>
        <v/>
      </c>
      <c r="C359">
        <f>Inputs!$B$3&gt;=72</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Skills!G25*IF(Skills!H25&gt;0,Skills!I25/Skills!H25,1)</f>
        <v/>
      </c>
      <c r="H359">
        <f>1-(1-Skills!J25/100)^Skills!K25</f>
        <v/>
      </c>
      <c r="I359" t="inlineStr">
        <is>
          <t>1</t>
        </is>
      </c>
      <c r="J359" t="inlineStr"/>
      <c r="K359" t="inlineStr"/>
      <c r="L359" t="inlineStr"/>
      <c r="M359" t="inlineStr"/>
      <c r="N359" t="inlineStr"/>
      <c r="O359">
        <f>(1-Summary!$B$55)*T359+Summary!$B$55*V359</f>
        <v/>
      </c>
      <c r="P359">
        <f>IF(B374=0,0,O359/B374)</f>
        <v/>
      </c>
      <c r="Q359" t="n">
        <v>0</v>
      </c>
      <c r="R359" t="n">
        <v>0</v>
      </c>
      <c r="S359">
        <f>IFERROR(O359/N359,0)</f>
        <v/>
      </c>
      <c r="T359" t="n">
        <v>0</v>
      </c>
      <c r="V359" t="n">
        <v>0</v>
      </c>
    </row>
    <row r="360">
      <c r="A360">
        <f>Skills!A26</f>
        <v/>
      </c>
      <c r="B360">
        <f>Skills!B26</f>
        <v/>
      </c>
      <c r="C360">
        <f>Inputs!$B$3&gt;=75</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Skills!G26*IF(Skills!H26&gt;0,Skills!I26/Skills!H26,1)</f>
        <v/>
      </c>
      <c r="H360">
        <f>1-(1-Skills!J26/100)^Skills!K26</f>
        <v/>
      </c>
      <c r="I360" t="inlineStr">
        <is>
          <t>1</t>
        </is>
      </c>
      <c r="J360" t="inlineStr"/>
      <c r="K360" t="inlineStr"/>
      <c r="L360" t="inlineStr"/>
      <c r="M360" t="inlineStr"/>
      <c r="N360" t="inlineStr"/>
      <c r="O360">
        <f>(1-Summary!$B$55)*T360+Summary!$B$55*V360</f>
        <v/>
      </c>
      <c r="P360">
        <f>IF(B374=0,0,O360/B374)</f>
        <v/>
      </c>
      <c r="Q360" t="n">
        <v>0</v>
      </c>
      <c r="R360" t="n">
        <v>0</v>
      </c>
      <c r="S360">
        <f>IFERROR(O360/N360,0)</f>
        <v/>
      </c>
      <c r="T360" t="n">
        <v>0</v>
      </c>
      <c r="V360" t="n">
        <v>0</v>
      </c>
    </row>
    <row r="361">
      <c r="A361">
        <f>Skills!A27</f>
        <v/>
      </c>
      <c r="B361">
        <f>Skills!B27</f>
        <v/>
      </c>
      <c r="C361">
        <f>Inputs!$B$3&gt;=117</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Skills!G27*IF(Skills!H27&gt;0,Skills!I27/Skills!H27,1)</f>
        <v/>
      </c>
      <c r="H361">
        <f>1-(1-Skills!J27/100)^Skills!K27</f>
        <v/>
      </c>
      <c r="I361" t="inlineStr">
        <is>
          <t>1</t>
        </is>
      </c>
      <c r="J361" t="inlineStr"/>
      <c r="K361" t="inlineStr"/>
      <c r="L361" t="inlineStr"/>
      <c r="M361" t="inlineStr"/>
      <c r="N361" t="inlineStr"/>
      <c r="O361">
        <f>(1-Summary!$B$55)*T361+Summary!$B$55*V361</f>
        <v/>
      </c>
      <c r="P361">
        <f>IF(B374=0,0,O361/B374)</f>
        <v/>
      </c>
      <c r="Q361" t="n">
        <v>0</v>
      </c>
      <c r="R361" t="n">
        <v>0</v>
      </c>
      <c r="S361">
        <f>IFERROR(O361/N361,0)</f>
        <v/>
      </c>
      <c r="T361" t="n">
        <v>0</v>
      </c>
      <c r="V361" t="n">
        <v>0</v>
      </c>
    </row>
    <row r="363">
      <c r="A363" t="inlineStr">
        <is>
          <t>Attack% Bucket Multiplier</t>
        </is>
      </c>
      <c r="B363">
        <f>(1+(((C351=TRUE)*F351)+((C358=TRUE)*(F358-Calc!F24)))/100)</f>
        <v/>
      </c>
    </row>
    <row r="364">
      <c r="A364" t="inlineStr">
        <is>
          <t>Global Crit Rate Bonus %</t>
        </is>
      </c>
      <c r="B364" t="n">
        <v>0</v>
      </c>
    </row>
    <row r="365">
      <c r="A365" t="inlineStr">
        <is>
          <t>Attack Speed Buff Bonus % (unused)</t>
        </is>
      </c>
      <c r="B365" t="n">
        <v>0</v>
      </c>
    </row>
    <row r="366">
      <c r="A366" t="inlineStr">
        <is>
          <t>Actions Per Second</t>
        </is>
      </c>
      <c r="B366">
        <f>1+MIN(150,150*(1-(1-(Inputs!$B$11+((C354=TRUE)*(F354-Calc!F20))+((C355=TRUE)*(F355-Calc!F21)))/150)*(1-B365/150)))/100</f>
        <v/>
      </c>
    </row>
    <row r="367">
      <c r="A367" t="inlineStr">
        <is>
          <t>Skill + Buff Cast Rate</t>
        </is>
      </c>
      <c r="B367">
        <f>IF(AND(Inputs!$B$38&lt;&gt;"pvp",Inputs!$B$43&gt;0),SUMPRODUCT((Skills!E2:E27=TRUE)*(C336:C361=TRUE)*R336:R361*Skills!F2:F27)/Inputs!$B$43,SUMPRODUCT((Skills!E2:E27=TRUE)*(C336:C361=TRUE)*Q336:Q361*Skills!F2:F27))</f>
        <v/>
      </c>
    </row>
    <row r="368">
      <c r="A368" t="inlineStr">
        <is>
          <t>Eight-Legs Easton Casts Per Second</t>
        </is>
      </c>
      <c r="B368">
        <f>MAX(0,B366-B367)</f>
        <v/>
      </c>
    </row>
    <row r="369">
      <c r="A369" t="inlineStr">
        <is>
          <t>Global Critical Damage Bonus % (unused)</t>
        </is>
      </c>
      <c r="B369" t="n">
        <v>0</v>
      </c>
    </row>
    <row r="370">
      <c r="A370" t="inlineStr">
        <is>
          <t>Global Final Damage Bonus % (Jolly Roger only)</t>
        </is>
      </c>
      <c r="B370">
        <f>((C352=TRUE)*F352)</f>
        <v/>
      </c>
    </row>
    <row r="371">
      <c r="A371" t="inlineStr">
        <is>
          <t>Buff-Casting Startup Delay (s, fixed-duration only)</t>
        </is>
      </c>
      <c r="B371">
        <f>IF(AND(Inputs!$B$38&lt;&gt;"pvp",Inputs!$B$43&gt;0),SUMPRODUCT((Skills!T2:T27&gt;0)*(Skills!E2:E27=TRUE)*(C336:C361=TRUE))/B366,0)</f>
        <v/>
      </c>
    </row>
    <row r="372">
      <c r="A372" t="inlineStr">
        <is>
          <t>Boss-Only Total DPS (this block's swept value)</t>
        </is>
      </c>
      <c r="B372">
        <f>SUM(T336:T361)</f>
        <v/>
      </c>
    </row>
    <row r="373">
      <c r="A373" t="inlineStr">
        <is>
          <t>Normal-Only Total DPS (this block's swept value)</t>
        </is>
      </c>
      <c r="B373">
        <f>SUM(V336:V361)</f>
        <v/>
      </c>
    </row>
    <row r="374">
      <c r="A374" s="5" t="inlineStr">
        <is>
          <t>TOTAL DPS</t>
        </is>
      </c>
      <c r="B374" s="5">
        <f>SUM(O336:O361)</f>
        <v/>
      </c>
    </row>
    <row r="377">
      <c r="A377" s="5" t="inlineStr">
        <is>
          <t>Stat: MIN_DAMAGE %</t>
        </is>
      </c>
    </row>
    <row r="378">
      <c r="A378" s="9" t="inlineStr">
        <is>
          <t>Key</t>
        </is>
      </c>
      <c r="B378" s="9" t="inlineStr">
        <is>
          <t>Name</t>
        </is>
      </c>
      <c r="C378" s="9" t="inlineStr">
        <is>
          <t>Unlocked</t>
        </is>
      </c>
      <c r="D378" s="9" t="inlineStr">
        <is>
          <t>InputLevel</t>
        </is>
      </c>
      <c r="E378" s="9" t="inlineStr">
        <is>
          <t>Factor</t>
        </is>
      </c>
      <c r="F378" s="9" t="inlineStr">
        <is>
          <t>CoefficientPercent</t>
        </is>
      </c>
      <c r="G378" s="9" t="inlineStr">
        <is>
          <t>EffectiveHits</t>
        </is>
      </c>
      <c r="H378" s="9" t="inlineStr">
        <is>
          <t>ProcProbability</t>
        </is>
      </c>
      <c r="I378" s="9" t="inlineStr">
        <is>
          <t>MapleHeroMultiplier</t>
        </is>
      </c>
      <c r="J378" s="9" t="inlineStr">
        <is>
          <t>BaseDamage</t>
        </is>
      </c>
      <c r="K378" s="9" t="inlineStr">
        <is>
          <t>BaseHitDamage</t>
        </is>
      </c>
      <c r="L378" s="9" t="inlineStr">
        <is>
          <t>NonCritAvg</t>
        </is>
      </c>
      <c r="M378" s="9" t="inlineStr">
        <is>
          <t>CritAvg</t>
        </is>
      </c>
      <c r="N378" s="9" t="inlineStr">
        <is>
          <t>ExpectedDamage(perHit)</t>
        </is>
      </c>
      <c r="O378" s="9" t="inlineStr">
        <is>
          <t>DPS</t>
        </is>
      </c>
      <c r="P378" s="9" t="inlineStr">
        <is>
          <t>% of Total</t>
        </is>
      </c>
      <c r="Q378" s="9" t="inlineStr">
        <is>
          <t>InvCooldown</t>
        </is>
      </c>
      <c r="R378" s="9" t="inlineStr">
        <is>
          <t>CastsInFight</t>
        </is>
      </c>
      <c r="S378" s="9" t="inlineStr">
        <is>
          <t>HitRate(perSec)</t>
        </is>
      </c>
      <c r="U378" t="inlineStr">
        <is>
          <t>helpers</t>
        </is>
      </c>
    </row>
    <row r="379">
      <c r="A379">
        <f>Skills!A2</f>
        <v/>
      </c>
      <c r="B379">
        <f>Skills!B2</f>
        <v/>
      </c>
      <c r="C379">
        <f>Inputs!$B$3&gt;=100</f>
        <v/>
      </c>
      <c r="D379" t="inlineStr"/>
      <c r="E379" t="inlineStr"/>
      <c r="F379">
        <f>U381+Skills!O2</f>
        <v/>
      </c>
      <c r="G379">
        <f>Skills!G2*IF(Skills!H2&gt;0,Skills!I2/Skills!H2,1)</f>
        <v/>
      </c>
      <c r="H379">
        <f>1-(1-Skills!J2/100)^Skills!K2</f>
        <v/>
      </c>
      <c r="I379" t="inlineStr">
        <is>
          <t>1</t>
        </is>
      </c>
      <c r="J379">
        <f>((Inputs!$B$6*(1+Inputs!$B$7/100))+(((Inputs!$B$12*(1+Inputs!$B$13/100))-(Inputs!$B$12*(1+Inputs!$B$13/100)))+0.25*(Inputs!$B$14-Inputs!$B$14))*(1+Inputs!$B$7/100))*(F379/100)</f>
        <v/>
      </c>
      <c r="K379">
        <f>J379*(1+((Inputs!$B$12*(1+Inputs!$B$13/100))*0.01+Inputs!$B$14*0.0025)/100)*(1+Inputs!$B$15/100)*(1+Inputs!$B$16/100)*(5000/(6000+Inputs!$B$42*(1-(Inputs!$B$19+0)/100)))*(1+(Inputs!$B$24+((C403=TRUE)*(F403-Calc!F26))+B413)/100)*(1+(IF(Skills!A2="EIGHT_LEGS_EASTON",Inputs!$B$17+((C400=TRUE)*(F400-Calc!F23))+((C404=TRUE)*(F404-Calc!F27)),Inputs!$B$18+0))/100)*((1+(((C394=TRUE)*F394)+((C401=TRUE)*(F401-Calc!F24)))/100)*I379)</f>
        <v/>
      </c>
      <c r="L379">
        <f>K379*(MIN((Inputs!$B$22+1)+((C399=TRUE)*(F399-Calc!F22)),Inputs!$B$23+0)/100+(Inputs!$B$23+0)/100)/2</f>
        <v/>
      </c>
      <c r="M379">
        <f>L379*(1+(Inputs!$B$10+((C402=TRUE)*(F402-Calc!F25))+B412)/100)</f>
        <v/>
      </c>
      <c r="N379">
        <f>L379*(1-MIN((Inputs!$B$9+((C396=TRUE)*(F396-Calc!F19))+B407),100)/100)+M379*(MIN((Inputs!$B$9+((C396=TRUE)*(F396-Calc!F19))+B407),100)/100)</f>
        <v/>
      </c>
      <c r="O379">
        <f>(1-Summary!$B$55)*T379+Summary!$B$55*V379</f>
        <v/>
      </c>
      <c r="P379">
        <f>IF(B417=0,0,O379/B417)</f>
        <v/>
      </c>
      <c r="Q379" t="n">
        <v>0</v>
      </c>
      <c r="R379" t="n">
        <v>0</v>
      </c>
      <c r="S379">
        <f>IFERROR(O379/N379,0)</f>
        <v/>
      </c>
      <c r="T379">
        <f>IF(C379,(Skills!G2*N379*B411)*IF(Inputs!$B$38="pvp",1,1+(Inputs!$B$20+0+Skills!P2)/100),0)</f>
        <v/>
      </c>
      <c r="U379">
        <f>MAX(0,(Inputs!$B$3-100)*3)+Inputs!$B$28+Inputs!$B$29</f>
        <v/>
      </c>
      <c r="V379">
        <f>IF(C379,(Skills!G2*N379*B411)*IF(Inputs!$B$38="pvp",1,(1+(Inputs!$B$21+Skills!Q2)/100)*(MIN((6+Inputs!$B$33),Inputs!$B$37))),0)</f>
        <v/>
      </c>
    </row>
    <row r="380">
      <c r="A380">
        <f>Skills!A3</f>
        <v/>
      </c>
      <c r="B380">
        <f>Skills!B3</f>
        <v/>
      </c>
      <c r="C380">
        <f>Inputs!$B$3&gt;=35</f>
        <v/>
      </c>
      <c r="D380">
        <f>IF(Skills!C3=1,60+Inputs!$B$25+Inputs!$B$29,IF(Skills!C3=2,90+Inputs!$B$26+Inputs!$B$29,IF(Skills!C3=3,120+Inputs!$B$27+Inputs!$B$29,MAX(0,(Inputs!$B$3-100)*3)+Inputs!$B$28+Inputs!$B$29)))</f>
        <v/>
      </c>
      <c r="E380">
        <f>INDEX(FactorTable!$B$2:$Y$301, MATCH(ROUND(MIN(300,MAX(1,D380)),0), FactorTable!$A$2:$A$301,0), Skills!M3+1)</f>
        <v/>
      </c>
      <c r="F380">
        <f>IF(Skills!N3=TRUE,(Skills!L3/10)*(E380/1000),Skills!L3/10)+Skills!O3</f>
        <v/>
      </c>
      <c r="G380">
        <f>Skills!G3*IF(Skills!H3&gt;0,Skills!I3/Skills!H3,1)</f>
        <v/>
      </c>
      <c r="H380">
        <f>1-(1-Skills!J3/100)^Skills!K3</f>
        <v/>
      </c>
      <c r="I380" t="inlineStr">
        <is>
          <t>1</t>
        </is>
      </c>
      <c r="J380">
        <f>((Inputs!$B$6*(1+Inputs!$B$7/100))+(((Inputs!$B$12*(1+Inputs!$B$13/100))-(Inputs!$B$12*(1+Inputs!$B$13/100)))+0.25*(Inputs!$B$14-Inputs!$B$14))*(1+Inputs!$B$7/100))*(F380/100)</f>
        <v/>
      </c>
      <c r="K380">
        <f>J380*(1+((Inputs!$B$12*(1+Inputs!$B$13/100))*0.01+Inputs!$B$14*0.0025)/100)*(1+Inputs!$B$15/100)*(1+Inputs!$B$16/100)*(5000/(6000+Inputs!$B$42*(1-(Inputs!$B$19+0)/100)))*(1+(Inputs!$B$24+((C403=TRUE)*(F403-Calc!F26))+B413)/100)*(1+4.0*IF(C392=TRUE,F392,0)/100)*(1+(IF(Skills!A3="EIGHT_LEGS_EASTON",Inputs!$B$17+((C400=TRUE)*(F400-Calc!F23))+((C404=TRUE)*(F404-Calc!F27)),Inputs!$B$18+0))/100)*((1+(((C394=TRUE)*F394)+((C401=TRUE)*(F401-Calc!F24)))/100)*I380)</f>
        <v/>
      </c>
      <c r="L380">
        <f>K380*(MIN((Inputs!$B$22+1)+((C399=TRUE)*(F399-Calc!F22)),Inputs!$B$23+0)/100+(Inputs!$B$23+0)/100)/2</f>
        <v/>
      </c>
      <c r="M380">
        <f>L380*(1+(Inputs!$B$10+((C402=TRUE)*(F402-Calc!F25))+B412)/100)</f>
        <v/>
      </c>
      <c r="N380">
        <f>L380*(1-MIN((Inputs!$B$9+((C396=TRUE)*(F396-Calc!F19))+B407),100)/100)+M380*(MIN((Inputs!$B$9+((C396=TRUE)*(F396-Calc!F19))+B407),100)/100)</f>
        <v/>
      </c>
      <c r="O380">
        <f>(1-Summary!$B$55)*T380+Summary!$B$55*V380</f>
        <v/>
      </c>
      <c r="P380">
        <f>IF(B417=0,0,O380/B417)</f>
        <v/>
      </c>
      <c r="Q380">
        <f>IFERROR(1/IF(Inputs!$B$38="pvp",15,MAX(0.1,Skills!D3-IF(Skills!E3=TRUE,Inputs!$B$32,0))),0)</f>
        <v/>
      </c>
      <c r="R380">
        <f>IF(AND(Inputs!$B$38&lt;&gt;"pvp",Inputs!$B$43&gt;0),IF(MAX(0,Inputs!$B$43-B414)&lt;=0,0,(INT(MAX(0,Inputs!$B$43-B414)/IF(Inputs!$B$38="pvp",15,MAX(0.1,Skills!D3-IF(Skills!E3=TRUE,Inputs!$B$32,0))))+1)),0)</f>
        <v/>
      </c>
      <c r="S380">
        <f>IFERROR(O380/N380,0)</f>
        <v/>
      </c>
      <c r="T380">
        <f>IF(C380,(H380*N380*IF(AND(Inputs!$B$38&lt;&gt;"pvp",Inputs!$B$43&gt;0),((Skills!G3*((R380-1)*IF(Skills!H3&gt;0,Skills!I3/Skills!H3,1)+IF(Skills!H3&gt;0,MIN(Skills!I3,MAX(0,MAX(0,Inputs!$B$43-B414)-((R380-1)*IF(Inputs!$B$38="pvp",15,MAX(0.1,Skills!D3-IF(Skills!E3=TRUE,Inputs!$B$32,0))))))/Skills!H3,1)))/Inputs!$B$43),G380*Q380))*IF(Inputs!$B$38="pvp",1,1+(Inputs!$B$20+0+Skills!P3)/100),0)</f>
        <v/>
      </c>
      <c r="U380">
        <f>INDEX(FactorTable!$B$2:$Y$301, MATCH(ROUND(MIN(300,MAX(1,U379)),0), FactorTable!$A$2:$A$301,0), 22)</f>
        <v/>
      </c>
      <c r="V380">
        <f>IF(C380,(H380*N380*IF(AND(Inputs!$B$38&lt;&gt;"pvp",Inputs!$B$43&gt;0),((Skills!G3*((R380-1)*IF(Skills!H3&gt;0,Skills!I3/Skills!H3,1)+IF(Skills!H3&gt;0,MIN(Skills!I3,MAX(0,MAX(0,Inputs!$B$43-B414)-((R380-1)*IF(Inputs!$B$38="pvp",15,MAX(0.1,Skills!D3-IF(Skills!E3=TRUE,Inputs!$B$32,0))))))/Skills!H3,1)))/Inputs!$B$43),G380*Q380))*IF(Inputs!$B$38="pvp",1,(1+(Inputs!$B$21+Skills!Q3)/100)*(MIN(Skills!R3,Inputs!$B$37))),0)</f>
        <v/>
      </c>
    </row>
    <row r="381">
      <c r="A381">
        <f>Skills!A4</f>
        <v/>
      </c>
      <c r="B381">
        <f>Skills!B4</f>
        <v/>
      </c>
      <c r="C381">
        <f>Inputs!$B$3&gt;=40</f>
        <v/>
      </c>
      <c r="D381">
        <f>IF(Skills!C4=1,60+Inputs!$B$25+Inputs!$B$29,IF(Skills!C4=2,90+Inputs!$B$26+Inputs!$B$29,IF(Skills!C4=3,120+Inputs!$B$27+Inputs!$B$29,MAX(0,(Inputs!$B$3-100)*3)+Inputs!$B$28+Inputs!$B$29)))</f>
        <v/>
      </c>
      <c r="E381">
        <f>INDEX(FactorTable!$B$2:$Y$301, MATCH(ROUND(MIN(300,MAX(1,D381)),0), FactorTable!$A$2:$A$301,0), Skills!M4+1)</f>
        <v/>
      </c>
      <c r="F381">
        <f>IF(Skills!N4=TRUE,(Skills!L4/10)*(E381/1000),Skills!L4/10)+Skills!O4</f>
        <v/>
      </c>
      <c r="G381">
        <f>Skills!G4*IF(Skills!H4&gt;0,Skills!I4/Skills!H4,1)</f>
        <v/>
      </c>
      <c r="H381">
        <f>1-(1-Skills!J4/100)^Skills!K4</f>
        <v/>
      </c>
      <c r="I381" t="inlineStr">
        <is>
          <t>1</t>
        </is>
      </c>
      <c r="J381">
        <f>((Inputs!$B$6*(1+Inputs!$B$7/100))+(((Inputs!$B$12*(1+Inputs!$B$13/100))-(Inputs!$B$12*(1+Inputs!$B$13/100)))+0.25*(Inputs!$B$14-Inputs!$B$14))*(1+Inputs!$B$7/100))*(F381/100)</f>
        <v/>
      </c>
      <c r="K381">
        <f>J381*(1+((Inputs!$B$12*(1+Inputs!$B$13/100))*0.01+Inputs!$B$14*0.0025)/100)*(1+Inputs!$B$15/100)*(1+Inputs!$B$16/100)*(5000/(6000+Inputs!$B$42*(1-(Inputs!$B$19+0)/100)))*(1+(Inputs!$B$24+((C403=TRUE)*(F403-Calc!F26))+B413)/100)*(1+1.0*IF(C393=TRUE,F393,0)/100)*(1+(IF(Skills!A4="EIGHT_LEGS_EASTON",Inputs!$B$17+((C400=TRUE)*(F400-Calc!F23))+((C404=TRUE)*(F404-Calc!F27)),Inputs!$B$18+0))/100)*((1+(((C394=TRUE)*F394)+((C401=TRUE)*(F401-Calc!F24)))/100)*I381)</f>
        <v/>
      </c>
      <c r="L381">
        <f>K381*(MIN((Inputs!$B$22+1)+((C399=TRUE)*(F399-Calc!F22)),Inputs!$B$23+0)/100+(Inputs!$B$23+0)/100)/2</f>
        <v/>
      </c>
      <c r="M381">
        <f>L381*(1+(Inputs!$B$10+((C402=TRUE)*(F402-Calc!F25))+B412)/100)</f>
        <v/>
      </c>
      <c r="N381">
        <f>L381*(1-MIN((Inputs!$B$9+((C396=TRUE)*(F396-Calc!F19))+B407),100)/100)+M381*(MIN((Inputs!$B$9+((C396=TRUE)*(F396-Calc!F19))+B407),100)/100)</f>
        <v/>
      </c>
      <c r="O381">
        <f>(1-Summary!$B$55)*T381+Summary!$B$55*V381</f>
        <v/>
      </c>
      <c r="P381">
        <f>IF(B417=0,0,O381/B417)</f>
        <v/>
      </c>
      <c r="Q381">
        <f>IFERROR(1/IF(Inputs!$B$38="pvp",15,MAX(0.1,Skills!D4-IF(Skills!E4=TRUE,Inputs!$B$32,0))),0)</f>
        <v/>
      </c>
      <c r="R381">
        <f>IF(AND(Inputs!$B$38&lt;&gt;"pvp",Inputs!$B$43&gt;0),IF(MAX(0,Inputs!$B$43-B414)&lt;=0,0,(INT(MAX(0,Inputs!$B$43-B414)/IF(Inputs!$B$38="pvp",15,MAX(0.1,Skills!D4-IF(Skills!E4=TRUE,Inputs!$B$32,0))))+1)),0)</f>
        <v/>
      </c>
      <c r="S381">
        <f>IFERROR(O381/N381,0)</f>
        <v/>
      </c>
      <c r="T381">
        <f>IF(C381,(H381*N381*IF(AND(Inputs!$B$38&lt;&gt;"pvp",Inputs!$B$43&gt;0),((Skills!G4*((R381-1)*IF(Skills!H4&gt;0,Skills!I4/Skills!H4,1)+IF(Skills!H4&gt;0,MIN(Skills!I4,MAX(0,MAX(0,Inputs!$B$43-B414)-((R381-1)*IF(Inputs!$B$38="pvp",15,MAX(0.1,Skills!D4-IF(Skills!E4=TRUE,Inputs!$B$32,0))))))/Skills!H4,1)))/Inputs!$B$43),G381*Q381))*IF(Inputs!$B$38="pvp",1,1+(Inputs!$B$20+0+Skills!P4)/100),0)</f>
        <v/>
      </c>
      <c r="U381">
        <f>290*U380/1000</f>
        <v/>
      </c>
      <c r="V381">
        <f>IF(C381,(H381*N381*IF(AND(Inputs!$B$38&lt;&gt;"pvp",Inputs!$B$43&gt;0),((Skills!G4*((R381-1)*IF(Skills!H4&gt;0,Skills!I4/Skills!H4,1)+IF(Skills!H4&gt;0,MIN(Skills!I4,MAX(0,MAX(0,Inputs!$B$43-B414)-((R381-1)*IF(Inputs!$B$38="pvp",15,MAX(0.1,Skills!D4-IF(Skills!E4=TRUE,Inputs!$B$32,0))))))/Skills!H4,1)))/Inputs!$B$43),G381*Q381))*IF(Inputs!$B$38="pvp",1,(1+(Inputs!$B$21+Skills!Q4)/100)*(MIN(Skills!R4,Inputs!$B$37))),0)</f>
        <v/>
      </c>
    </row>
    <row r="382">
      <c r="A382">
        <f>Skills!A5</f>
        <v/>
      </c>
      <c r="B382">
        <f>Skills!B5</f>
        <v/>
      </c>
      <c r="C382">
        <f>Inputs!$B$3&gt;=45</f>
        <v/>
      </c>
      <c r="D382">
        <f>IF(Skills!C5=1,60+Inputs!$B$25+Inputs!$B$29,IF(Skills!C5=2,90+Inputs!$B$26+Inputs!$B$29,IF(Skills!C5=3,120+Inputs!$B$27+Inputs!$B$29,MAX(0,(Inputs!$B$3-100)*3)+Inputs!$B$28+Inputs!$B$29)))</f>
        <v/>
      </c>
      <c r="E382">
        <f>INDEX(FactorTable!$B$2:$Y$301, MATCH(ROUND(MIN(300,MAX(1,D382)),0), FactorTable!$A$2:$A$301,0), Skills!M5+1)</f>
        <v/>
      </c>
      <c r="F382">
        <f>IF(Skills!N5=TRUE,(Skills!L5/10)*(E382/1000),Skills!L5/10)+Skills!O5</f>
        <v/>
      </c>
      <c r="G382">
        <f>Skills!G5*IF(Skills!H5&gt;0,Skills!I5/Skills!H5,1)</f>
        <v/>
      </c>
      <c r="H382">
        <f>1-(1-Skills!J5/100)^Skills!K5</f>
        <v/>
      </c>
      <c r="I382" t="inlineStr">
        <is>
          <t>1</t>
        </is>
      </c>
      <c r="J382">
        <f>((Inputs!$B$6*(1+Inputs!$B$7/100))+(((Inputs!$B$12*(1+Inputs!$B$13/100))-(Inputs!$B$12*(1+Inputs!$B$13/100)))+0.25*(Inputs!$B$14-Inputs!$B$14))*(1+Inputs!$B$7/100))*(F382/100)</f>
        <v/>
      </c>
      <c r="K382">
        <f>J382*(1+((Inputs!$B$12*(1+Inputs!$B$13/100))*0.01+Inputs!$B$14*0.0025)/100)*(1+Inputs!$B$15/100)*(1+Inputs!$B$16/100)*(5000/(6000+Inputs!$B$42*(1-(Inputs!$B$19+0)/100)))*(1+(Inputs!$B$24+((C403=TRUE)*(F403-Calc!F26))+B413)/100)*(1+0.4*IF(C393=TRUE,F393,0)/100)*(1+(IF(Skills!A5="EIGHT_LEGS_EASTON",Inputs!$B$17+((C400=TRUE)*(F400-Calc!F23))+((C404=TRUE)*(F404-Calc!F27)),Inputs!$B$18+0))/100)*((1+(((C394=TRUE)*F394)+((C401=TRUE)*(F401-Calc!F24)))/100)*I382)</f>
        <v/>
      </c>
      <c r="L382">
        <f>K382*(MIN((Inputs!$B$22+1)+((C399=TRUE)*(F399-Calc!F22)),Inputs!$B$23+0)/100+(Inputs!$B$23+0)/100)/2</f>
        <v/>
      </c>
      <c r="M382">
        <f>L382*(1+(Inputs!$B$10+((C402=TRUE)*(F402-Calc!F25))+B412)/100)</f>
        <v/>
      </c>
      <c r="N382">
        <f>L382*(1-MIN((Inputs!$B$9+((C396=TRUE)*(F396-Calc!F19))+B407),100)/100)+M382*(MIN((Inputs!$B$9+((C396=TRUE)*(F396-Calc!F19))+B407),100)/100)</f>
        <v/>
      </c>
      <c r="O382">
        <f>(1-Summary!$B$55)*T382+Summary!$B$55*V382</f>
        <v/>
      </c>
      <c r="P382">
        <f>IF(B417=0,0,O382/B417)</f>
        <v/>
      </c>
      <c r="Q382">
        <f>IFERROR(1/IF(Inputs!$B$38="pvp",15,MAX(0.1,Skills!D5-IF(Skills!E5=TRUE,Inputs!$B$32,0))),0)</f>
        <v/>
      </c>
      <c r="R382">
        <f>IF(AND(Inputs!$B$38&lt;&gt;"pvp",Inputs!$B$43&gt;0),IF(MAX(0,Inputs!$B$43-B414)&lt;=0,0,(INT(MAX(0,Inputs!$B$43-B414)/IF(Inputs!$B$38="pvp",15,MAX(0.1,Skills!D5-IF(Skills!E5=TRUE,Inputs!$B$32,0))))+1)),0)</f>
        <v/>
      </c>
      <c r="S382">
        <f>IFERROR(O382/N382,0)</f>
        <v/>
      </c>
      <c r="T382">
        <f>IF(C382,(H382*N382*IF(AND(Inputs!$B$38&lt;&gt;"pvp",Inputs!$B$43&gt;0),((Skills!G5*((R382-1)*IF(Skills!H5&gt;0,Skills!I5/Skills!H5,1)+IF(Skills!H5&gt;0,MIN(Skills!I5,MAX(0,MAX(0,Inputs!$B$43-B414)-((R382-1)*IF(Inputs!$B$38="pvp",15,MAX(0.1,Skills!D5-IF(Skills!E5=TRUE,Inputs!$B$32,0))))))/Skills!H5,1)))/Inputs!$B$43),G382*Q382))*IF(Inputs!$B$38="pvp",1,1+(Inputs!$B$20+0+Skills!P5)/100),0)</f>
        <v/>
      </c>
      <c r="V382">
        <f>IF(C382,(H382*N382*IF(AND(Inputs!$B$38&lt;&gt;"pvp",Inputs!$B$43&gt;0),((Skills!G5*((R382-1)*IF(Skills!H5&gt;0,Skills!I5/Skills!H5,1)+IF(Skills!H5&gt;0,MIN(Skills!I5,MAX(0,MAX(0,Inputs!$B$43-B414)-((R382-1)*IF(Inputs!$B$38="pvp",15,MAX(0.1,Skills!D5-IF(Skills!E5=TRUE,Inputs!$B$32,0))))))/Skills!H5,1)))/Inputs!$B$43),G382*Q382))*IF(Inputs!$B$38="pvp",1,(1+(Inputs!$B$21+Skills!Q5)/100)*(MIN(Skills!R5,Inputs!$B$37))),0)</f>
        <v/>
      </c>
    </row>
    <row r="383">
      <c r="A383">
        <f>Skills!A6</f>
        <v/>
      </c>
      <c r="B383">
        <f>Skills!B6</f>
        <v/>
      </c>
      <c r="C383">
        <f>Inputs!$B$3&gt;=63</f>
        <v/>
      </c>
      <c r="D383">
        <f>IF(Skills!C6=1,60+Inputs!$B$25+Inputs!$B$29,IF(Skills!C6=2,90+Inputs!$B$26+Inputs!$B$29,IF(Skills!C6=3,120+Inputs!$B$27+Inputs!$B$29,MAX(0,(Inputs!$B$3-100)*3)+Inputs!$B$28+Inputs!$B$29)))</f>
        <v/>
      </c>
      <c r="E383">
        <f>INDEX(FactorTable!$B$2:$Y$301, MATCH(ROUND(MIN(300,MAX(1,D383)),0), FactorTable!$A$2:$A$301,0), Skills!M6+1)</f>
        <v/>
      </c>
      <c r="F383">
        <f>IF(Skills!N6=TRUE,(Skills!L6/10)*(E383/1000),Skills!L6/10)+Skills!O6</f>
        <v/>
      </c>
      <c r="G383">
        <f>Skills!G6*IF(Skills!H6&gt;0,Skills!I6/Skills!H6,1)</f>
        <v/>
      </c>
      <c r="H383">
        <f>1-(1-Skills!J6/100)^Skills!K6</f>
        <v/>
      </c>
      <c r="I383" t="inlineStr">
        <is>
          <t>1</t>
        </is>
      </c>
      <c r="J383">
        <f>((Inputs!$B$6*(1+Inputs!$B$7/100))+(((Inputs!$B$12*(1+Inputs!$B$13/100))-(Inputs!$B$12*(1+Inputs!$B$13/100)))+0.25*(Inputs!$B$14-Inputs!$B$14))*(1+Inputs!$B$7/100))*(F383/100)</f>
        <v/>
      </c>
      <c r="K383">
        <f>J383*(1+((Inputs!$B$12*(1+Inputs!$B$13/100))*0.01+Inputs!$B$14*0.0025)/100)*(1+Inputs!$B$15/100)*(1+Inputs!$B$16/100)*(5000/(6000+Inputs!$B$42*(1-(Inputs!$B$19+0)/100)))*(1+(Inputs!$B$24+((C403=TRUE)*(F403-Calc!F26))+B413)/100)*(1+2.0*IF(C392=TRUE,F392,0)/100)*(1+(IF(Skills!A6="EIGHT_LEGS_EASTON",Inputs!$B$17+((C400=TRUE)*(F400-Calc!F23))+((C404=TRUE)*(F404-Calc!F27)),Inputs!$B$18+0))/100)*((1+(((C394=TRUE)*F394)+((C401=TRUE)*(F401-Calc!F24)))/100)*I383)</f>
        <v/>
      </c>
      <c r="L383">
        <f>K383*(MIN((Inputs!$B$22+1)+((C399=TRUE)*(F399-Calc!F22)),Inputs!$B$23+0)/100+(Inputs!$B$23+0)/100)/2</f>
        <v/>
      </c>
      <c r="M383">
        <f>L383*(1+(Inputs!$B$10+((C402=TRUE)*(F402-Calc!F25))+B412)/100)</f>
        <v/>
      </c>
      <c r="N383">
        <f>L383*(1-MIN((Inputs!$B$9+((C396=TRUE)*(F396-Calc!F19))+B407),100)/100)+M383*(MIN((Inputs!$B$9+((C396=TRUE)*(F396-Calc!F19))+B407),100)/100)</f>
        <v/>
      </c>
      <c r="O383">
        <f>(1-Summary!$B$55)*T383+Summary!$B$55*V383</f>
        <v/>
      </c>
      <c r="P383">
        <f>IF(B417=0,0,O383/B417)</f>
        <v/>
      </c>
      <c r="Q383">
        <f>IFERROR(1/IF(Inputs!$B$38="pvp",15,MAX(0.1,Skills!D6-IF(Skills!E6=TRUE,Inputs!$B$32,0))),0)</f>
        <v/>
      </c>
      <c r="R383">
        <f>IF(AND(Inputs!$B$38&lt;&gt;"pvp",Inputs!$B$43&gt;0),IF(MAX(0,Inputs!$B$43-B414)&lt;=0,0,(INT(MAX(0,Inputs!$B$43-B414)/IF(Inputs!$B$38="pvp",15,MAX(0.1,Skills!D6-IF(Skills!E6=TRUE,Inputs!$B$32,0))))+1)),0)</f>
        <v/>
      </c>
      <c r="S383">
        <f>IFERROR(O383/N383,0)</f>
        <v/>
      </c>
      <c r="T383">
        <f>IF(C383,(H383*N383*IF(AND(Inputs!$B$38&lt;&gt;"pvp",Inputs!$B$43&gt;0),((Skills!G6*((R383-1)*IF(Skills!H6&gt;0,Skills!I6/Skills!H6,1)+IF(Skills!H6&gt;0,MIN(Skills!I6,MAX(0,MAX(0,Inputs!$B$43-B414)-((R383-1)*IF(Inputs!$B$38="pvp",15,MAX(0.1,Skills!D6-IF(Skills!E6=TRUE,Inputs!$B$32,0))))))/Skills!H6,1)))/Inputs!$B$43),G383*Q383))*IF(Inputs!$B$38="pvp",1,1+(Inputs!$B$20+0+Skills!P6)/100),0)</f>
        <v/>
      </c>
      <c r="V383">
        <f>IF(C383,(H383*N383*IF(AND(Inputs!$B$38&lt;&gt;"pvp",Inputs!$B$43&gt;0),((Skills!G6*((R383-1)*IF(Skills!H6&gt;0,Skills!I6/Skills!H6,1)+IF(Skills!H6&gt;0,MIN(Skills!I6,MAX(0,MAX(0,Inputs!$B$43-B414)-((R383-1)*IF(Inputs!$B$38="pvp",15,MAX(0.1,Skills!D6-IF(Skills!E6=TRUE,Inputs!$B$32,0))))))/Skills!H6,1)))/Inputs!$B$43),G383*Q383))*IF(Inputs!$B$38="pvp",1,(1+(Inputs!$B$21+Skills!Q6)/100)*(MIN(Skills!R6,Inputs!$B$37))),0)</f>
        <v/>
      </c>
    </row>
    <row r="384">
      <c r="A384">
        <f>Skills!A7</f>
        <v/>
      </c>
      <c r="B384">
        <f>Skills!B7</f>
        <v/>
      </c>
      <c r="C384">
        <f>Inputs!$B$3&gt;=66</f>
        <v/>
      </c>
      <c r="D384">
        <f>IF(Skills!C7=1,60+Inputs!$B$25+Inputs!$B$29,IF(Skills!C7=2,90+Inputs!$B$26+Inputs!$B$29,IF(Skills!C7=3,120+Inputs!$B$27+Inputs!$B$29,MAX(0,(Inputs!$B$3-100)*3)+Inputs!$B$28+Inputs!$B$29)))</f>
        <v/>
      </c>
      <c r="E384">
        <f>INDEX(FactorTable!$B$2:$Y$301, MATCH(ROUND(MIN(300,MAX(1,D384)),0), FactorTable!$A$2:$A$301,0), Skills!M7+1)</f>
        <v/>
      </c>
      <c r="F384">
        <f>IF(Skills!N7=TRUE,(Skills!L7/10)*(E384/1000),Skills!L7/10)+Skills!O7</f>
        <v/>
      </c>
      <c r="G384">
        <f>Skills!G7*IF(Skills!H7&gt;0,Skills!I7/Skills!H7,1)</f>
        <v/>
      </c>
      <c r="H384">
        <f>1-(1-Skills!J7/100)^Skills!K7</f>
        <v/>
      </c>
      <c r="I384" t="inlineStr">
        <is>
          <t>1</t>
        </is>
      </c>
      <c r="J384">
        <f>((Inputs!$B$6*(1+Inputs!$B$7/100))+(((Inputs!$B$12*(1+Inputs!$B$13/100))-(Inputs!$B$12*(1+Inputs!$B$13/100)))+0.25*(Inputs!$B$14-Inputs!$B$14))*(1+Inputs!$B$7/100))*(F384/100)</f>
        <v/>
      </c>
      <c r="K384">
        <f>J384*(1+((Inputs!$B$12*(1+Inputs!$B$13/100))*0.01+Inputs!$B$14*0.0025)/100)*(1+Inputs!$B$15/100)*(1+Inputs!$B$16/100)*(5000/(6000+Inputs!$B$42*(1-(Inputs!$B$19+0)/100)))*(1+(Inputs!$B$24+((C403=TRUE)*(F403-Calc!F26))+B413)/100)*(1+1.0*IF(C392=TRUE,F392,0)/100)*(1+(IF(Skills!A7="EIGHT_LEGS_EASTON",Inputs!$B$17+((C400=TRUE)*(F400-Calc!F23))+((C404=TRUE)*(F404-Calc!F27)),Inputs!$B$18+0))/100)*((1+(((C394=TRUE)*F394)+((C401=TRUE)*(F401-Calc!F24)))/100)*I384)</f>
        <v/>
      </c>
      <c r="L384">
        <f>K384*(MIN((Inputs!$B$22+1)+((C399=TRUE)*(F399-Calc!F22)),Inputs!$B$23+0)/100+(Inputs!$B$23+0)/100)/2</f>
        <v/>
      </c>
      <c r="M384">
        <f>L384*(1+(Inputs!$B$10+((C402=TRUE)*(F402-Calc!F25))+B412)/100)</f>
        <v/>
      </c>
      <c r="N384">
        <f>L384*(1-MIN((Inputs!$B$9+((C396=TRUE)*(F396-Calc!F19))+B407),100)/100)+M384*(MIN((Inputs!$B$9+((C396=TRUE)*(F396-Calc!F19))+B407),100)/100)</f>
        <v/>
      </c>
      <c r="O384">
        <f>(1-Summary!$B$55)*T384+Summary!$B$55*V384</f>
        <v/>
      </c>
      <c r="P384">
        <f>IF(B417=0,0,O384/B417)</f>
        <v/>
      </c>
      <c r="Q384">
        <f>IFERROR(1/IF(Inputs!$B$38="pvp",15,MAX(0.1,Skills!D7-IF(Skills!E7=TRUE,Inputs!$B$32,0))),0)</f>
        <v/>
      </c>
      <c r="R384">
        <f>IF(AND(Inputs!$B$38&lt;&gt;"pvp",Inputs!$B$43&gt;0),IF(MAX(0,Inputs!$B$43-B414)&lt;=0,0,(INT(MAX(0,Inputs!$B$43-B414)/IF(Inputs!$B$38="pvp",15,MAX(0.1,Skills!D7-IF(Skills!E7=TRUE,Inputs!$B$32,0))))+1)),0)</f>
        <v/>
      </c>
      <c r="S384">
        <f>IFERROR(O384/N384,0)</f>
        <v/>
      </c>
      <c r="T384">
        <f>IF(C384,(H384*N384*IF(AND(Inputs!$B$38&lt;&gt;"pvp",Inputs!$B$43&gt;0),((Skills!G7*((R384-1)*IF(Skills!H7&gt;0,Skills!I7/Skills!H7,1)+IF(Skills!H7&gt;0,MIN(Skills!I7,MAX(0,MAX(0,Inputs!$B$43-B414)-((R384-1)*IF(Inputs!$B$38="pvp",15,MAX(0.1,Skills!D7-IF(Skills!E7=TRUE,Inputs!$B$32,0))))))/Skills!H7,1)))/Inputs!$B$43),G384*Q384))*IF(Inputs!$B$38="pvp",1,1+(Inputs!$B$20+0+Skills!P7)/100),0)</f>
        <v/>
      </c>
      <c r="V384">
        <f>IF(C384,(H384*N384*IF(AND(Inputs!$B$38&lt;&gt;"pvp",Inputs!$B$43&gt;0),((Skills!G7*((R384-1)*IF(Skills!H7&gt;0,Skills!I7/Skills!H7,1)+IF(Skills!H7&gt;0,MIN(Skills!I7,MAX(0,MAX(0,Inputs!$B$43-B414)-((R384-1)*IF(Inputs!$B$38="pvp",15,MAX(0.1,Skills!D7-IF(Skills!E7=TRUE,Inputs!$B$32,0))))))/Skills!H7,1)))/Inputs!$B$43),G384*Q384))*IF(Inputs!$B$38="pvp",1,(1+(Inputs!$B$21+Skills!Q7)/100)*(MIN(Skills!R7,Inputs!$B$37))),0)</f>
        <v/>
      </c>
    </row>
    <row r="385">
      <c r="A385">
        <f>Skills!A8</f>
        <v/>
      </c>
      <c r="B385">
        <f>Skills!B8</f>
        <v/>
      </c>
      <c r="C385">
        <f>Inputs!$B$3&gt;=100</f>
        <v/>
      </c>
      <c r="D385">
        <f>IF(Skills!C8=1,60+Inputs!$B$25+Inputs!$B$29,IF(Skills!C8=2,90+Inputs!$B$26+Inputs!$B$29,IF(Skills!C8=3,120+Inputs!$B$27+Inputs!$B$29,MAX(0,(Inputs!$B$3-100)*3)+Inputs!$B$28+Inputs!$B$29)))</f>
        <v/>
      </c>
      <c r="E385">
        <f>INDEX(FactorTable!$B$2:$Y$301, MATCH(ROUND(MIN(300,MAX(1,D385)),0), FactorTable!$A$2:$A$301,0), Skills!M8+1)</f>
        <v/>
      </c>
      <c r="F385">
        <f>IF(Skills!N8=TRUE,(Skills!L8/10)*(E385/1000),Skills!L8/10)+Skills!O8</f>
        <v/>
      </c>
      <c r="G385">
        <f>Skills!G8*IF(Skills!H8&gt;0,Skills!I8/Skills!H8,1)</f>
        <v/>
      </c>
      <c r="H385">
        <f>1-(1-Skills!J8/100)^Skills!K8</f>
        <v/>
      </c>
      <c r="I385" t="inlineStr">
        <is>
          <t>1</t>
        </is>
      </c>
      <c r="J385">
        <f>((Inputs!$B$6*(1+Inputs!$B$7/100))+(((Inputs!$B$12*(1+Inputs!$B$13/100))-(Inputs!$B$12*(1+Inputs!$B$13/100)))+0.25*(Inputs!$B$14-Inputs!$B$14))*(1+Inputs!$B$7/100))*(F385/100)</f>
        <v/>
      </c>
      <c r="K385">
        <f>J385*(1+((Inputs!$B$12*(1+Inputs!$B$13/100))*0.01+Inputs!$B$14*0.0025)/100)*(1+Inputs!$B$15/100)*(1+Inputs!$B$16/100)*(5000/(6000+Inputs!$B$42*(1-(Inputs!$B$19+0)/100)))*(1+(Inputs!$B$24+((C403=TRUE)*(F403-Calc!F26))+B413)/100)*(1+(IF(Skills!A8="EIGHT_LEGS_EASTON",Inputs!$B$17+((C400=TRUE)*(F400-Calc!F23))+((C404=TRUE)*(F404-Calc!F27)),Inputs!$B$18+0))/100)*((1+(((C394=TRUE)*F394)+((C401=TRUE)*(F401-Calc!F24)))/100)*I385)</f>
        <v/>
      </c>
      <c r="L385">
        <f>K385*(MIN((Inputs!$B$22+1)+((C399=TRUE)*(F399-Calc!F22)),Inputs!$B$23+0)/100+(Inputs!$B$23+0)/100)/2</f>
        <v/>
      </c>
      <c r="M385">
        <f>L385*(1+(Inputs!$B$10+((C402=TRUE)*(F402-Calc!F25))+B412)/100)</f>
        <v/>
      </c>
      <c r="N385">
        <f>L385*(1-MIN((Inputs!$B$9+((C396=TRUE)*(F396-Calc!F19))+B407),100)/100)+M385*(MIN((Inputs!$B$9+((C396=TRUE)*(F396-Calc!F19))+B407),100)/100)</f>
        <v/>
      </c>
      <c r="O385">
        <f>(1-Summary!$B$55)*T385+Summary!$B$55*V385</f>
        <v/>
      </c>
      <c r="P385">
        <f>IF(B417=0,0,O385/B417)</f>
        <v/>
      </c>
      <c r="Q385">
        <f>IFERROR(1/IF(Inputs!$B$38="pvp",15,MAX(0.1,Skills!D8-IF(Skills!E8=TRUE,Inputs!$B$32,0))),0)</f>
        <v/>
      </c>
      <c r="R385">
        <f>IF(AND(Inputs!$B$38&lt;&gt;"pvp",Inputs!$B$43&gt;0),IF(MAX(0,Inputs!$B$43-B414)&lt;=0,0,(INT(MAX(0,Inputs!$B$43-B414)/IF(Inputs!$B$38="pvp",15,MAX(0.1,Skills!D8-IF(Skills!E8=TRUE,Inputs!$B$32,0))))+1)),0)</f>
        <v/>
      </c>
      <c r="S385">
        <f>IFERROR(O385/N385,0)</f>
        <v/>
      </c>
      <c r="T385">
        <f>IF(C385,(H385*N385*IF(AND(Inputs!$B$38&lt;&gt;"pvp",Inputs!$B$43&gt;0),((Skills!G8*((R385-1)*IF(Skills!H8&gt;0,Skills!I8/Skills!H8,1)+IF(Skills!H8&gt;0,MIN(Skills!I8,MAX(0,MAX(0,Inputs!$B$43-B414)-((R385-1)*IF(Inputs!$B$38="pvp",15,MAX(0.1,Skills!D8-IF(Skills!E8=TRUE,Inputs!$B$32,0))))))/Skills!H8,1)))/Inputs!$B$43),G385*Q385))*IF(Inputs!$B$38="pvp",1,1+(Inputs!$B$20+0+Skills!P8)/100),0)</f>
        <v/>
      </c>
      <c r="V385">
        <f>IF(C385,(H385*N385*IF(AND(Inputs!$B$38&lt;&gt;"pvp",Inputs!$B$43&gt;0),((Skills!G8*((R385-1)*IF(Skills!H8&gt;0,Skills!I8/Skills!H8,1)+IF(Skills!H8&gt;0,MIN(Skills!I8,MAX(0,MAX(0,Inputs!$B$43-B414)-((R385-1)*IF(Inputs!$B$38="pvp",15,MAX(0.1,Skills!D8-IF(Skills!E8=TRUE,Inputs!$B$32,0))))))/Skills!H8,1)))/Inputs!$B$43),G385*Q385))*IF(Inputs!$B$38="pvp",1,(1+(Inputs!$B$21+Skills!Q8)/100)*(MIN(Skills!R8,Inputs!$B$37))),0)</f>
        <v/>
      </c>
    </row>
    <row r="386">
      <c r="A386">
        <f>Skills!A9</f>
        <v/>
      </c>
      <c r="B386">
        <f>Skills!B9</f>
        <v/>
      </c>
      <c r="C386">
        <f>Inputs!$B$3&gt;=103</f>
        <v/>
      </c>
      <c r="D386">
        <f>IF(Skills!C9=1,60+Inputs!$B$25+Inputs!$B$29,IF(Skills!C9=2,90+Inputs!$B$26+Inputs!$B$29,IF(Skills!C9=3,120+Inputs!$B$27+Inputs!$B$29,MAX(0,(Inputs!$B$3-100)*3)+Inputs!$B$28+Inputs!$B$29)))</f>
        <v/>
      </c>
      <c r="E386">
        <f>INDEX(FactorTable!$B$2:$Y$301, MATCH(ROUND(MIN(300,MAX(1,D386)),0), FactorTable!$A$2:$A$301,0), Skills!M9+1)</f>
        <v/>
      </c>
      <c r="F386">
        <f>IF(Skills!N9=TRUE,(Skills!L9/10)*(E386/1000),Skills!L9/10)+Skills!O9</f>
        <v/>
      </c>
      <c r="G386">
        <f>Skills!G9*IF(Skills!H9&gt;0,Skills!I9/Skills!H9,1)</f>
        <v/>
      </c>
      <c r="H386">
        <f>1-(1-Skills!J9/100)^Skills!K9</f>
        <v/>
      </c>
      <c r="I386" t="inlineStr">
        <is>
          <t>1</t>
        </is>
      </c>
      <c r="J386">
        <f>((Inputs!$B$6*(1+Inputs!$B$7/100))+(((Inputs!$B$12*(1+Inputs!$B$13/100))-(Inputs!$B$12*(1+Inputs!$B$13/100)))+0.25*(Inputs!$B$14-Inputs!$B$14))*(1+Inputs!$B$7/100))*(F386/100)</f>
        <v/>
      </c>
      <c r="K386">
        <f>J386*(1+((Inputs!$B$12*(1+Inputs!$B$13/100))*0.01+Inputs!$B$14*0.0025)/100)*(1+Inputs!$B$15/100)*(1+Inputs!$B$16/100)*(5000/(6000+Inputs!$B$42*(1-(Inputs!$B$19+0)/100)))*(1+(Inputs!$B$24+((C403=TRUE)*(F403-Calc!F26))+B413)/100)*(1+(IF(Skills!A9="EIGHT_LEGS_EASTON",Inputs!$B$17+((C400=TRUE)*(F400-Calc!F23))+((C404=TRUE)*(F404-Calc!F27)),Inputs!$B$18+0))/100)*((1+(((C394=TRUE)*F394)+((C401=TRUE)*(F401-Calc!F24)))/100)*I386)</f>
        <v/>
      </c>
      <c r="L386">
        <f>K386*(MIN((Inputs!$B$22+1)+((C399=TRUE)*(F399-Calc!F22)),Inputs!$B$23+0)/100+(Inputs!$B$23+0)/100)/2</f>
        <v/>
      </c>
      <c r="M386">
        <f>L386*(1+(Inputs!$B$10+((C402=TRUE)*(F402-Calc!F25))+B412)/100)</f>
        <v/>
      </c>
      <c r="N386">
        <f>L386*(1-MIN((Inputs!$B$9+((C396=TRUE)*(F396-Calc!F19))+B407),100)/100)+M386*(MIN((Inputs!$B$9+((C396=TRUE)*(F396-Calc!F19))+B407),100)/100)</f>
        <v/>
      </c>
      <c r="O386">
        <f>(1-Summary!$B$55)*T386+Summary!$B$55*V386</f>
        <v/>
      </c>
      <c r="P386">
        <f>IF(B417=0,0,O386/B417)</f>
        <v/>
      </c>
      <c r="Q386">
        <f>IFERROR(1/IF(Inputs!$B$38="pvp",15,MAX(0.1,Skills!D9-IF(Skills!E9=TRUE,Inputs!$B$32,0))),0)</f>
        <v/>
      </c>
      <c r="R386">
        <f>IF(AND(Inputs!$B$38&lt;&gt;"pvp",Inputs!$B$43&gt;0),IF(MAX(0,Inputs!$B$43-B414)&lt;=0,0,(INT(MAX(0,Inputs!$B$43-B414)/IF(Inputs!$B$38="pvp",15,MAX(0.1,Skills!D9-IF(Skills!E9=TRUE,Inputs!$B$32,0))))+1)),0)</f>
        <v/>
      </c>
      <c r="S386">
        <f>IFERROR(O386/N386,0)</f>
        <v/>
      </c>
      <c r="T386">
        <f>IF(C386,(H386*N386*IF(AND(Inputs!$B$38&lt;&gt;"pvp",Inputs!$B$43&gt;0),((Skills!G9*((R386-1)*IF(Skills!H9&gt;0,Skills!I9/Skills!H9,1)+IF(Skills!H9&gt;0,MIN(Skills!I9,MAX(0,MAX(0,Inputs!$B$43-B414)-((R386-1)*IF(Inputs!$B$38="pvp",15,MAX(0.1,Skills!D9-IF(Skills!E9=TRUE,Inputs!$B$32,0))))))/Skills!H9,1)))/Inputs!$B$43),G386*Q386))*IF(Inputs!$B$38="pvp",1,1+(Inputs!$B$20+0+Skills!P9)/100),0)</f>
        <v/>
      </c>
      <c r="V386">
        <f>IF(C386,(H386*N386*IF(AND(Inputs!$B$38&lt;&gt;"pvp",Inputs!$B$43&gt;0),((Skills!G9*((R386-1)*IF(Skills!H9&gt;0,Skills!I9/Skills!H9,1)+IF(Skills!H9&gt;0,MIN(Skills!I9,MAX(0,MAX(0,Inputs!$B$43-B414)-((R386-1)*IF(Inputs!$B$38="pvp",15,MAX(0.1,Skills!D9-IF(Skills!E9=TRUE,Inputs!$B$32,0))))))/Skills!H9,1)))/Inputs!$B$43),G386*Q386))*IF(Inputs!$B$38="pvp",1,(1+(Inputs!$B$21+Skills!Q9)/100)*(MIN(Skills!R9,Inputs!$B$37))),0)</f>
        <v/>
      </c>
    </row>
    <row r="387">
      <c r="A387">
        <f>Skills!A10</f>
        <v/>
      </c>
      <c r="B387">
        <f>Skills!B10</f>
        <v/>
      </c>
      <c r="C387">
        <f>Inputs!$B$3&gt;=113</f>
        <v/>
      </c>
      <c r="D387">
        <f>IF(Skills!C10=1,60+Inputs!$B$25+Inputs!$B$29,IF(Skills!C10=2,90+Inputs!$B$26+Inputs!$B$29,IF(Skills!C10=3,120+Inputs!$B$27+Inputs!$B$29,MAX(0,(Inputs!$B$3-100)*3)+Inputs!$B$28+Inputs!$B$29)))</f>
        <v/>
      </c>
      <c r="E387">
        <f>INDEX(FactorTable!$B$2:$Y$301, MATCH(ROUND(MIN(300,MAX(1,D387)),0), FactorTable!$A$2:$A$301,0), Skills!M10+1)</f>
        <v/>
      </c>
      <c r="F387">
        <f>IF(Skills!N10=TRUE,(Skills!L10/10)*(E387/1000),Skills!L10/10)+Skills!O10</f>
        <v/>
      </c>
      <c r="G387">
        <f>Skills!G10*IF(Skills!H10&gt;0,Skills!I10/Skills!H10,1)</f>
        <v/>
      </c>
      <c r="H387">
        <f>1-(1-Skills!J10/100)^Skills!K10</f>
        <v/>
      </c>
      <c r="I387" t="inlineStr">
        <is>
          <t>1</t>
        </is>
      </c>
      <c r="J387">
        <f>((Inputs!$B$6*(1+Inputs!$B$7/100))+(((Inputs!$B$12*(1+Inputs!$B$13/100))-(Inputs!$B$12*(1+Inputs!$B$13/100)))+0.25*(Inputs!$B$14-Inputs!$B$14))*(1+Inputs!$B$7/100))*(F387/100)</f>
        <v/>
      </c>
      <c r="K387">
        <f>J387*(1+((Inputs!$B$12*(1+Inputs!$B$13/100))*0.01+Inputs!$B$14*0.0025)/100)*(1+Inputs!$B$15/100)*(1+Inputs!$B$16/100)*(5000/(6000+Inputs!$B$42*(1-(Inputs!$B$19+0)/100)))*(1+(Inputs!$B$24+((C403=TRUE)*(F403-Calc!F26))+B413)/100)*(1+(IF(Skills!A10="EIGHT_LEGS_EASTON",Inputs!$B$17+((C400=TRUE)*(F400-Calc!F23))+((C404=TRUE)*(F404-Calc!F27)),Inputs!$B$18+0))/100)*((1+(((C394=TRUE)*F394)+((C401=TRUE)*(F401-Calc!F24)))/100)*I387)</f>
        <v/>
      </c>
      <c r="L387">
        <f>K387*(MIN((Inputs!$B$22+1)+((C399=TRUE)*(F399-Calc!F22)),Inputs!$B$23+0)/100+(Inputs!$B$23+0)/100)/2</f>
        <v/>
      </c>
      <c r="M387">
        <f>L387*(1+(Inputs!$B$10+((C402=TRUE)*(F402-Calc!F25))+B412)/100)</f>
        <v/>
      </c>
      <c r="N387">
        <f>L387*(1-MIN((Inputs!$B$9+((C396=TRUE)*(F396-Calc!F19))+B407),100)/100)+M387*(MIN((Inputs!$B$9+((C396=TRUE)*(F396-Calc!F19))+B407),100)/100)</f>
        <v/>
      </c>
      <c r="O387">
        <f>(1-Summary!$B$55)*T387+Summary!$B$55*V387</f>
        <v/>
      </c>
      <c r="P387">
        <f>IF(B417=0,0,O387/B417)</f>
        <v/>
      </c>
      <c r="Q387">
        <f>IFERROR(1/IF(Inputs!$B$38="pvp",15,MAX(0.1,Skills!D10-IF(Skills!E10=TRUE,Inputs!$B$32,0))),0)</f>
        <v/>
      </c>
      <c r="R387">
        <f>IF(AND(Inputs!$B$38&lt;&gt;"pvp",Inputs!$B$43&gt;0),IF(MAX(0,Inputs!$B$43-B414)&lt;=0,0,(INT(MAX(0,Inputs!$B$43-B414)/IF(Inputs!$B$38="pvp",15,MAX(0.1,Skills!D10-IF(Skills!E10=TRUE,Inputs!$B$32,0))))+1)),0)</f>
        <v/>
      </c>
      <c r="S387">
        <f>IFERROR(O387/N387,0)</f>
        <v/>
      </c>
      <c r="T387">
        <f>IF(C387,(H387*N387*IF(AND(Inputs!$B$38&lt;&gt;"pvp",Inputs!$B$43&gt;0),((Skills!G10*((R387-1)*IF(Skills!H10&gt;0,Skills!I10/Skills!H10,1)+IF(Skills!H10&gt;0,MIN(Skills!I10,MAX(0,MAX(0,Inputs!$B$43-B414)-((R387-1)*IF(Inputs!$B$38="pvp",15,MAX(0.1,Skills!D10-IF(Skills!E10=TRUE,Inputs!$B$32,0))))))/Skills!H10,1)))/Inputs!$B$43),G387*Q387))*IF(Inputs!$B$38="pvp",1,1+(Inputs!$B$20+0+Skills!P10)/100),0)</f>
        <v/>
      </c>
      <c r="V387">
        <f>IF(C387,(H387*N387*IF(AND(Inputs!$B$38&lt;&gt;"pvp",Inputs!$B$43&gt;0),((Skills!G10*((R387-1)*IF(Skills!H10&gt;0,Skills!I10/Skills!H10,1)+IF(Skills!H10&gt;0,MIN(Skills!I10,MAX(0,MAX(0,Inputs!$B$43-B414)-((R387-1)*IF(Inputs!$B$38="pvp",15,MAX(0.1,Skills!D10-IF(Skills!E10=TRUE,Inputs!$B$32,0))))))/Skills!H10,1)))/Inputs!$B$43),G387*Q387))*IF(Inputs!$B$38="pvp",1,(1+(Inputs!$B$21+Skills!Q10)/100)*(MIN(Skills!R10,Inputs!$B$37))),0)</f>
        <v/>
      </c>
    </row>
    <row r="388">
      <c r="A388">
        <f>Skills!A11</f>
        <v/>
      </c>
      <c r="B388">
        <f>Skills!B11</f>
        <v/>
      </c>
      <c r="C388">
        <f>Inputs!$B$3&gt;=107</f>
        <v/>
      </c>
      <c r="D388">
        <f>IF(Skills!C11=1,60+Inputs!$B$25+Inputs!$B$29,IF(Skills!C11=2,90+Inputs!$B$26+Inputs!$B$29,IF(Skills!C11=3,120+Inputs!$B$27+Inputs!$B$29,MAX(0,(Inputs!$B$3-100)*3)+Inputs!$B$28+Inputs!$B$29)))</f>
        <v/>
      </c>
      <c r="E388">
        <f>INDEX(FactorTable!$B$2:$Y$301, MATCH(ROUND(MIN(300,MAX(1,D388)),0), FactorTable!$A$2:$A$301,0), Skills!M11+1)</f>
        <v/>
      </c>
      <c r="F388">
        <f>IF(Skills!N11=TRUE,(Skills!L11/10)*(E388/1000),Skills!L11/10)+Skills!O11</f>
        <v/>
      </c>
      <c r="G388">
        <f>Skills!G11*IF(Skills!H11&gt;0,Skills!I11/Skills!H11,1)</f>
        <v/>
      </c>
      <c r="H388">
        <f>1-(1-Skills!J11/100)^Skills!K11</f>
        <v/>
      </c>
      <c r="I388" t="inlineStr">
        <is>
          <t>1</t>
        </is>
      </c>
      <c r="J388">
        <f>((Inputs!$B$6*(1+Inputs!$B$7/100))+(((Inputs!$B$12*(1+Inputs!$B$13/100))-(Inputs!$B$12*(1+Inputs!$B$13/100)))+0.25*(Inputs!$B$14-Inputs!$B$14))*(1+Inputs!$B$7/100))*(F388/100)</f>
        <v/>
      </c>
      <c r="K388">
        <f>J388*(1+((Inputs!$B$12*(1+Inputs!$B$13/100))*0.01+Inputs!$B$14*0.0025)/100)*(1+Inputs!$B$15/100)*(1+Inputs!$B$16/100)*(5000/(6000+Inputs!$B$42*(1-(Inputs!$B$19+0)/100)))*(1+(Inputs!$B$24+((C403=TRUE)*(F403-Calc!F26))+B413)/100)*(1+(IF(Skills!A11="EIGHT_LEGS_EASTON",Inputs!$B$17+((C400=TRUE)*(F400-Calc!F23))+((C404=TRUE)*(F404-Calc!F27)),Inputs!$B$18+0))/100)*((1+(((C394=TRUE)*F394)+((C401=TRUE)*(F401-Calc!F24)))/100)*I388)</f>
        <v/>
      </c>
      <c r="L388">
        <f>K388*(MIN((Inputs!$B$22+1)+((C399=TRUE)*(F399-Calc!F22)),Inputs!$B$23+0)/100+(Inputs!$B$23+0)/100)/2</f>
        <v/>
      </c>
      <c r="M388">
        <f>L388*(1+(Inputs!$B$10+((C402=TRUE)*(F402-Calc!F25))+B412)/100)</f>
        <v/>
      </c>
      <c r="N388">
        <f>L388*(1-MIN((Inputs!$B$9+((C396=TRUE)*(F396-Calc!F19))+B407),100)/100)+M388*(MIN((Inputs!$B$9+((C396=TRUE)*(F396-Calc!F19))+B407),100)/100)</f>
        <v/>
      </c>
      <c r="O388">
        <f>(1-Summary!$B$55)*T388+Summary!$B$55*V388</f>
        <v/>
      </c>
      <c r="P388">
        <f>IF(B417=0,0,O388/B417)</f>
        <v/>
      </c>
      <c r="Q388">
        <f>IFERROR(1/IF(Inputs!$B$38="pvp",15,MAX(0.1,Skills!D11-IF(Skills!E11=TRUE,Inputs!$B$32,0))),0)</f>
        <v/>
      </c>
      <c r="R388">
        <f>IF(AND(Inputs!$B$38&lt;&gt;"pvp",Inputs!$B$43&gt;0),IF(MAX(0,Inputs!$B$43-B414)&lt;=0,0,(INT(MAX(0,Inputs!$B$43-B414)/IF(Inputs!$B$38="pvp",15,MAX(0.1,Skills!D11-IF(Skills!E11=TRUE,Inputs!$B$32,0))))+1)),0)</f>
        <v/>
      </c>
      <c r="S388">
        <f>IFERROR(O388/N388,0)</f>
        <v/>
      </c>
      <c r="T388">
        <f>IF(C388,(H388*N388*IF(AND(Inputs!$B$38&lt;&gt;"pvp",Inputs!$B$43&gt;0),((Skills!G11*((R388-1)*IF(Skills!H11&gt;0,Skills!I11/Skills!H11,1)+IF(Skills!H11&gt;0,MIN(Skills!I11,MAX(0,MAX(0,Inputs!$B$43-B414)-((R388-1)*IF(Inputs!$B$38="pvp",15,MAX(0.1,Skills!D11-IF(Skills!E11=TRUE,Inputs!$B$32,0))))))/Skills!H11,1)))/Inputs!$B$43),G388*Q388))*IF(Inputs!$B$38="pvp",1,1+(Inputs!$B$20+0+Skills!P11)/100),0)</f>
        <v/>
      </c>
      <c r="V388">
        <f>IF(C388,(H388*N388*IF(AND(Inputs!$B$38&lt;&gt;"pvp",Inputs!$B$43&gt;0),((Skills!G11*((R388-1)*IF(Skills!H11&gt;0,Skills!I11/Skills!H11,1)+IF(Skills!H11&gt;0,MIN(Skills!I11,MAX(0,MAX(0,Inputs!$B$43-B414)-((R388-1)*IF(Inputs!$B$38="pvp",15,MAX(0.1,Skills!D11-IF(Skills!E11=TRUE,Inputs!$B$32,0))))))/Skills!H11,1)))/Inputs!$B$43),G388*Q388))*IF(Inputs!$B$38="pvp",1,(1+(Inputs!$B$21+Skills!Q11)/100)*(MIN(Skills!R11,Inputs!$B$37))),0)</f>
        <v/>
      </c>
    </row>
    <row r="389">
      <c r="A389">
        <f>Skills!A12</f>
        <v/>
      </c>
      <c r="B389">
        <f>Skills!B12</f>
        <v/>
      </c>
      <c r="C389">
        <f>Inputs!$B$3&gt;=110</f>
        <v/>
      </c>
      <c r="D389">
        <f>IF(Skills!C12=1,60+Inputs!$B$25+Inputs!$B$29,IF(Skills!C12=2,90+Inputs!$B$26+Inputs!$B$29,IF(Skills!C12=3,120+Inputs!$B$27+Inputs!$B$29,MAX(0,(Inputs!$B$3-100)*3)+Inputs!$B$28+Inputs!$B$29)))</f>
        <v/>
      </c>
      <c r="E389">
        <f>INDEX(FactorTable!$B$2:$Y$301, MATCH(ROUND(MIN(300,MAX(1,D389)),0), FactorTable!$A$2:$A$301,0), Skills!M12+1)</f>
        <v/>
      </c>
      <c r="F389">
        <f>IF(Skills!N12=TRUE,(Skills!L12/10)*(E389/1000),Skills!L12/10)+Skills!O12</f>
        <v/>
      </c>
      <c r="G389">
        <f>Skills!G12*IF(Skills!H12&gt;0,Skills!I12/Skills!H12,1)</f>
        <v/>
      </c>
      <c r="H389">
        <f>1-(1-Skills!J12/100)^Skills!K12</f>
        <v/>
      </c>
      <c r="I389" t="inlineStr">
        <is>
          <t>1</t>
        </is>
      </c>
      <c r="J389">
        <f>((Inputs!$B$6*(1+Inputs!$B$7/100))+(((Inputs!$B$12*(1+Inputs!$B$13/100))-(Inputs!$B$12*(1+Inputs!$B$13/100)))+0.25*(Inputs!$B$14-Inputs!$B$14))*(1+Inputs!$B$7/100))*(F389/100)</f>
        <v/>
      </c>
      <c r="K389">
        <f>J389*(1+((Inputs!$B$12*(1+Inputs!$B$13/100))*0.01+Inputs!$B$14*0.0025)/100)*(1+Inputs!$B$15/100)*(1+Inputs!$B$16/100)*(5000/(6000+Inputs!$B$42*(1-(Inputs!$B$19+0)/100)))*(1+(Inputs!$B$24+((C403=TRUE)*(F403-Calc!F26))+B413)/100)*(1+(IF(Skills!A12="EIGHT_LEGS_EASTON",Inputs!$B$17+((C400=TRUE)*(F400-Calc!F23))+((C404=TRUE)*(F404-Calc!F27)),Inputs!$B$18+0))/100)*((1+(((C394=TRUE)*F394)+((C401=TRUE)*(F401-Calc!F24)))/100)*I389)</f>
        <v/>
      </c>
      <c r="L389">
        <f>K389*(MIN((Inputs!$B$22+1)+((C399=TRUE)*(F399-Calc!F22)),Inputs!$B$23+0)/100+(Inputs!$B$23+0)/100)/2</f>
        <v/>
      </c>
      <c r="M389">
        <f>L389*(1+(Inputs!$B$10+((C402=TRUE)*(F402-Calc!F25))+B412)/100)</f>
        <v/>
      </c>
      <c r="N389">
        <f>L389*(1-MIN((Inputs!$B$9+((C396=TRUE)*(F396-Calc!F19))+B407),100)/100)+M389*(MIN((Inputs!$B$9+((C396=TRUE)*(F396-Calc!F19))+B407),100)/100)</f>
        <v/>
      </c>
      <c r="O389">
        <f>(1-Summary!$B$55)*T389+Summary!$B$55*V389</f>
        <v/>
      </c>
      <c r="P389">
        <f>IF(B417=0,0,O389/B417)</f>
        <v/>
      </c>
      <c r="Q389">
        <f>IFERROR(1/IF(Inputs!$B$38="pvp",15,MAX(0.1,Skills!D12-IF(Skills!E12=TRUE,Inputs!$B$32,0))),0)</f>
        <v/>
      </c>
      <c r="R389">
        <f>IF(AND(Inputs!$B$38&lt;&gt;"pvp",Inputs!$B$43&gt;0),IF(MAX(0,Inputs!$B$43-B414)&lt;=0,0,(INT(MAX(0,Inputs!$B$43-B414)/IF(Inputs!$B$38="pvp",15,MAX(0.1,Skills!D12-IF(Skills!E12=TRUE,Inputs!$B$32,0))))+1)),0)</f>
        <v/>
      </c>
      <c r="S389">
        <f>IFERROR(O389/N389,0)</f>
        <v/>
      </c>
      <c r="T389">
        <f>IF(C389,(H389*N389*IF(AND(Inputs!$B$38&lt;&gt;"pvp",Inputs!$B$43&gt;0),((Skills!G12*((R389-1)*IF(Skills!H12&gt;0,Skills!I12/Skills!H12,1)+IF(Skills!H12&gt;0,MIN(Skills!I12,MAX(0,MAX(0,Inputs!$B$43-B414)-((R389-1)*IF(Inputs!$B$38="pvp",15,MAX(0.1,Skills!D12-IF(Skills!E12=TRUE,Inputs!$B$32,0))))))/Skills!H12,1)))/Inputs!$B$43),G389*Q389))*IF(Inputs!$B$38="pvp",1,1+(Inputs!$B$20+0+Skills!P12)/100),0)</f>
        <v/>
      </c>
      <c r="V389">
        <f>IF(C389,(H389*N389*IF(AND(Inputs!$B$38&lt;&gt;"pvp",Inputs!$B$43&gt;0),((Skills!G12*((R389-1)*IF(Skills!H12&gt;0,Skills!I12/Skills!H12,1)+IF(Skills!H12&gt;0,MIN(Skills!I12,MAX(0,MAX(0,Inputs!$B$43-B414)-((R389-1)*IF(Inputs!$B$38="pvp",15,MAX(0.1,Skills!D12-IF(Skills!E12=TRUE,Inputs!$B$32,0))))))/Skills!H12,1)))/Inputs!$B$43),G389*Q389))*IF(Inputs!$B$38="pvp",1,(1+(Inputs!$B$21+Skills!Q12)/100)*(MIN(Skills!R12,Inputs!$B$37))),0)</f>
        <v/>
      </c>
    </row>
    <row r="390">
      <c r="A390">
        <f>Skills!A13</f>
        <v/>
      </c>
      <c r="B390">
        <f>Skills!B13</f>
        <v/>
      </c>
      <c r="C390">
        <f>Inputs!$B$3&gt;=110</f>
        <v/>
      </c>
      <c r="D390">
        <f>IF(Skills!C13=1,60+Inputs!$B$25+Inputs!$B$29,IF(Skills!C13=2,90+Inputs!$B$26+Inputs!$B$29,IF(Skills!C13=3,120+Inputs!$B$27+Inputs!$B$29,MAX(0,(Inputs!$B$3-100)*3)+Inputs!$B$28+Inputs!$B$29)))</f>
        <v/>
      </c>
      <c r="E390">
        <f>INDEX(FactorTable!$B$2:$Y$301, MATCH(ROUND(MIN(300,MAX(1,D390)),0), FactorTable!$A$2:$A$301,0), Skills!M13+1)</f>
        <v/>
      </c>
      <c r="F390">
        <f>IF(Skills!N13=TRUE,(Skills!L13/10)*(E390/1000),Skills!L13/10)+Skills!O13</f>
        <v/>
      </c>
      <c r="G390">
        <f>Skills!G13*IF(Skills!H13&gt;0,Skills!I13/Skills!H13,1)</f>
        <v/>
      </c>
      <c r="H390">
        <f>1-(1-Skills!J13/100)^Skills!K13</f>
        <v/>
      </c>
      <c r="I390" t="inlineStr">
        <is>
          <t>1</t>
        </is>
      </c>
      <c r="J390">
        <f>((Inputs!$B$6*(1+Inputs!$B$7/100))+(((Inputs!$B$12*(1+Inputs!$B$13/100))-(Inputs!$B$12*(1+Inputs!$B$13/100)))+0.25*(Inputs!$B$14-Inputs!$B$14))*(1+Inputs!$B$7/100))*(F390/100)</f>
        <v/>
      </c>
      <c r="K390">
        <f>J390*(1+((Inputs!$B$12*(1+Inputs!$B$13/100))*0.01+Inputs!$B$14*0.0025)/100)*(1+Inputs!$B$15/100)*(1+Inputs!$B$16/100)*(5000/(6000+Inputs!$B$42*(1-(Inputs!$B$19+0)/100)))*(1+(Inputs!$B$24+((C403=TRUE)*(F403-Calc!F26))+B413)/100)*(1+(IF(Skills!A13="EIGHT_LEGS_EASTON",Inputs!$B$17+((C400=TRUE)*(F400-Calc!F23))+((C404=TRUE)*(F404-Calc!F27)),Inputs!$B$18+0))/100)*((1+(((C394=TRUE)*F394)+((C401=TRUE)*(F401-Calc!F24)))/100)*I390)</f>
        <v/>
      </c>
      <c r="L390">
        <f>K390*(MIN((Inputs!$B$22+1)+((C399=TRUE)*(F399-Calc!F22)),Inputs!$B$23+0)/100+(Inputs!$B$23+0)/100)/2</f>
        <v/>
      </c>
      <c r="M390">
        <f>L390*(1+(Inputs!$B$10+((C402=TRUE)*(F402-Calc!F25))+B412)/100)</f>
        <v/>
      </c>
      <c r="N390">
        <f>L390*(1-MIN((Inputs!$B$9+((C396=TRUE)*(F396-Calc!F19))+B407),100)/100)+M390*(MIN((Inputs!$B$9+((C396=TRUE)*(F396-Calc!F19))+B407),100)/100)</f>
        <v/>
      </c>
      <c r="O390">
        <f>(1-Summary!$B$55)*T390+Summary!$B$55*V390</f>
        <v/>
      </c>
      <c r="P390">
        <f>IF(B417=0,0,O390/B417)</f>
        <v/>
      </c>
      <c r="Q390">
        <f>IFERROR(1/IF(Inputs!$B$38="pvp",15,MAX(0.1,Skills!D13-IF(Skills!E13=TRUE,Inputs!$B$32,0))),0)</f>
        <v/>
      </c>
      <c r="R390">
        <f>IF(AND(Inputs!$B$38&lt;&gt;"pvp",Inputs!$B$43&gt;0),IF(MAX(0,Inputs!$B$43-B414)&lt;=0,0,(INT(MAX(0,Inputs!$B$43-B414)/IF(Inputs!$B$38="pvp",15,MAX(0.1,Skills!D13-IF(Skills!E13=TRUE,Inputs!$B$32,0))))+1)),0)</f>
        <v/>
      </c>
      <c r="S390">
        <f>IFERROR(O390/N390,0)</f>
        <v/>
      </c>
      <c r="T390">
        <f>IF(C390,(H390*N390*IF(AND(Inputs!$B$38&lt;&gt;"pvp",Inputs!$B$43&gt;0),((Skills!G13*((R390-1)*IF(Skills!H13&gt;0,Skills!I13/Skills!H13,1)+IF(Skills!H13&gt;0,MIN(Skills!I13,MAX(0,MAX(0,Inputs!$B$43-B414)-((R390-1)*IF(Inputs!$B$38="pvp",15,MAX(0.1,Skills!D13-IF(Skills!E13=TRUE,Inputs!$B$32,0))))))/Skills!H13,1)))/Inputs!$B$43),G390*Q390))*IF(Inputs!$B$38="pvp",1,1+(Inputs!$B$20+0+Skills!P13)/100),0)</f>
        <v/>
      </c>
      <c r="V390">
        <f>IF(C390,(H390*N390*IF(AND(Inputs!$B$38&lt;&gt;"pvp",Inputs!$B$43&gt;0),((Skills!G13*((R390-1)*IF(Skills!H13&gt;0,Skills!I13/Skills!H13,1)+IF(Skills!H13&gt;0,MIN(Skills!I13,MAX(0,MAX(0,Inputs!$B$43-B414)-((R390-1)*IF(Inputs!$B$38="pvp",15,MAX(0.1,Skills!D13-IF(Skills!E13=TRUE,Inputs!$B$32,0))))))/Skills!H13,1)))/Inputs!$B$43),G390*Q390))*IF(Inputs!$B$38="pvp",1,(1+(Inputs!$B$21+Skills!Q13)/100)*(MIN(Skills!R13,Inputs!$B$37))),0)</f>
        <v/>
      </c>
    </row>
    <row r="391">
      <c r="A391">
        <f>Skills!A14</f>
        <v/>
      </c>
      <c r="B391">
        <f>Skills!B14</f>
        <v/>
      </c>
      <c r="C391">
        <f>Inputs!$B$3&gt;=125</f>
        <v/>
      </c>
      <c r="D391">
        <f>IF(Skills!C14=1,60+Inputs!$B$25+Inputs!$B$29,IF(Skills!C14=2,90+Inputs!$B$26+Inputs!$B$29,IF(Skills!C14=3,120+Inputs!$B$27+Inputs!$B$29,MAX(0,(Inputs!$B$3-100)*3)+Inputs!$B$28+Inputs!$B$29)))</f>
        <v/>
      </c>
      <c r="E391">
        <f>INDEX(FactorTable!$B$2:$Y$301, MATCH(ROUND(MIN(300,MAX(1,D391)),0), FactorTable!$A$2:$A$301,0), Skills!M14+1)</f>
        <v/>
      </c>
      <c r="F391">
        <f>IF(Skills!N14=TRUE,(Skills!L14/10)*(E391/1000),Skills!L14/10)+Skills!O14</f>
        <v/>
      </c>
      <c r="G391">
        <f>Skills!G14*IF(Skills!H14&gt;0,Skills!I14/Skills!H14,1)</f>
        <v/>
      </c>
      <c r="H391">
        <f>1-(1-Skills!J14/100)^Skills!K14</f>
        <v/>
      </c>
      <c r="I391" t="inlineStr">
        <is>
          <t>1</t>
        </is>
      </c>
      <c r="J391">
        <f>((Inputs!$B$6*(1+Inputs!$B$7/100))+(((Inputs!$B$12*(1+Inputs!$B$13/100))-(Inputs!$B$12*(1+Inputs!$B$13/100)))+0.25*(Inputs!$B$14-Inputs!$B$14))*(1+Inputs!$B$7/100))*(F391/100)</f>
        <v/>
      </c>
      <c r="K391">
        <f>J391*(1+((Inputs!$B$12*(1+Inputs!$B$13/100))*0.01+Inputs!$B$14*0.0025)/100)*(1+Inputs!$B$15/100)*(1+Inputs!$B$16/100)*(5000/(6000+Inputs!$B$42*(1-(Inputs!$B$19+0)/100)))*(1+(Inputs!$B$24+((C403=TRUE)*(F403-Calc!F26))+B413)/100)*(1+(IF(Skills!A14="EIGHT_LEGS_EASTON",Inputs!$B$17+((C400=TRUE)*(F400-Calc!F23))+((C404=TRUE)*(F404-Calc!F27)),Inputs!$B$18+0))/100)*((1+(((C394=TRUE)*F394)+((C401=TRUE)*(F401-Calc!F24)))/100)*I391)</f>
        <v/>
      </c>
      <c r="L391">
        <f>K391*(MIN((Inputs!$B$22+1)+((C399=TRUE)*(F399-Calc!F22)),Inputs!$B$23+0)/100+(Inputs!$B$23+0)/100)/2</f>
        <v/>
      </c>
      <c r="M391">
        <f>L391*(1+(Inputs!$B$10+((C402=TRUE)*(F402-Calc!F25))+B412)/100)</f>
        <v/>
      </c>
      <c r="N391">
        <f>L391*(1-MIN((Inputs!$B$9+((C396=TRUE)*(F396-Calc!F19))+B407),100)/100)+M391*(MIN((Inputs!$B$9+((C396=TRUE)*(F396-Calc!F19))+B407),100)/100)</f>
        <v/>
      </c>
      <c r="O391">
        <f>(1-Summary!$B$55)*T391+Summary!$B$55*V391</f>
        <v/>
      </c>
      <c r="P391">
        <f>IF(B417=0,0,O391/B417)</f>
        <v/>
      </c>
      <c r="Q391" t="n">
        <v>0</v>
      </c>
      <c r="R391" t="n">
        <v>0</v>
      </c>
      <c r="S391">
        <f>IFERROR(O391/N391,0)</f>
        <v/>
      </c>
      <c r="T391">
        <f>IF(C391,(H391*N391*(B411+IF(AND(Inputs!$B$38&lt;&gt;"pvp",Inputs!$B$43&gt;0),((Skills!G8*((R385-1)*IF(Skills!H8&gt;0,Skills!I8/Skills!H8,1)+IF(Skills!H8&gt;0,MIN(Skills!I8,MAX(0,MAX(0,Inputs!$B$43-B414)-((R385-1)*IF(Inputs!$B$38="pvp",15,MAX(0.1,Skills!D8-IF(Skills!E8=TRUE,Inputs!$B$32,0))))))/Skills!H8,1)))/Inputs!$B$43),G385*Q385)+IF(AND(Inputs!$B$38&lt;&gt;"pvp",Inputs!$B$43&gt;0),((Skills!G11*((R388-1)*IF(Skills!H11&gt;0,Skills!I11/Skills!H11,1)+IF(Skills!H11&gt;0,MIN(Skills!I11,MAX(0,MAX(0,Inputs!$B$43-B414)-((R388-1)*IF(Inputs!$B$38="pvp",15,MAX(0.1,Skills!D11-IF(Skills!E11=TRUE,Inputs!$B$32,0))))))/Skills!H11,1)))/Inputs!$B$43),G388*Q388)))*IF(Inputs!$B$38="pvp",1,1+(Inputs!$B$20+0+Skills!P14)/100),0)</f>
        <v/>
      </c>
      <c r="V391">
        <f>IF(C391,(H391*N391*(B411+IF(AND(Inputs!$B$38&lt;&gt;"pvp",Inputs!$B$43&gt;0),((Skills!G8*((R385-1)*IF(Skills!H8&gt;0,Skills!I8/Skills!H8,1)+IF(Skills!H8&gt;0,MIN(Skills!I8,MAX(0,MAX(0,Inputs!$B$43-B414)-((R385-1)*IF(Inputs!$B$38="pvp",15,MAX(0.1,Skills!D8-IF(Skills!E8=TRUE,Inputs!$B$32,0))))))/Skills!H8,1)))/Inputs!$B$43),G385*Q385)+IF(AND(Inputs!$B$38&lt;&gt;"pvp",Inputs!$B$43&gt;0),((Skills!G11*((R388-1)*IF(Skills!H11&gt;0,Skills!I11/Skills!H11,1)+IF(Skills!H11&gt;0,MIN(Skills!I11,MAX(0,MAX(0,Inputs!$B$43-B414)-((R388-1)*IF(Inputs!$B$38="pvp",15,MAX(0.1,Skills!D11-IF(Skills!E11=TRUE,Inputs!$B$32,0))))))/Skills!H11,1)))/Inputs!$B$43),G388*Q388)))*IF(Inputs!$B$38="pvp",1,(1+(Inputs!$B$21+Skills!Q14)/100)*(MIN(Skills!R14,Inputs!$B$37))),0)</f>
        <v/>
      </c>
    </row>
    <row r="392">
      <c r="A392">
        <f>Skills!A15</f>
        <v/>
      </c>
      <c r="B392">
        <f>Skills!B15</f>
        <v/>
      </c>
      <c r="C392">
        <f>Inputs!$B$3&gt;=100</f>
        <v/>
      </c>
      <c r="D392">
        <f>IF(Skills!C15=1,60+Inputs!$B$25+Inputs!$B$29,IF(Skills!C15=2,90+Inputs!$B$26+Inputs!$B$29,IF(Skills!C15=3,120+Inputs!$B$27+Inputs!$B$29,MAX(0,(Inputs!$B$3-100)*3)+Inputs!$B$28+Inputs!$B$29)))</f>
        <v/>
      </c>
      <c r="E392">
        <f>INDEX(FactorTable!$B$2:$Y$301, MATCH(ROUND(MIN(300,MAX(1,D392)),0), FactorTable!$A$2:$A$301,0), Skills!M15+1)</f>
        <v/>
      </c>
      <c r="F392">
        <f>IF(Skills!N15=TRUE,(Skills!L15/10)*(E392/1000),Skills!L15/10)+Skills!O15</f>
        <v/>
      </c>
      <c r="G392" t="inlineStr"/>
      <c r="H392" t="inlineStr"/>
      <c r="I392" t="inlineStr">
        <is>
          <t>1</t>
        </is>
      </c>
      <c r="J392" t="inlineStr"/>
      <c r="K392" t="inlineStr"/>
      <c r="L392" t="inlineStr"/>
      <c r="M392" t="inlineStr"/>
      <c r="N392" t="inlineStr"/>
      <c r="O392" t="inlineStr"/>
      <c r="P392" t="inlineStr"/>
      <c r="Q392" t="inlineStr"/>
      <c r="R392" t="inlineStr"/>
      <c r="S392" t="inlineStr"/>
    </row>
    <row r="393">
      <c r="A393">
        <f>Skills!A16</f>
        <v/>
      </c>
      <c r="B393">
        <f>Skills!B16</f>
        <v/>
      </c>
      <c r="C393">
        <f>Inputs!$B$3&gt;=120</f>
        <v/>
      </c>
      <c r="D393">
        <f>IF(Skills!C16=1,60+Inputs!$B$25+Inputs!$B$29,IF(Skills!C16=2,90+Inputs!$B$26+Inputs!$B$29,IF(Skills!C16=3,120+Inputs!$B$27+Inputs!$B$29,MAX(0,(Inputs!$B$3-100)*3)+Inputs!$B$28+Inputs!$B$29)))</f>
        <v/>
      </c>
      <c r="E393">
        <f>INDEX(FactorTable!$B$2:$Y$301, MATCH(ROUND(MIN(300,MAX(1,D393)),0), FactorTable!$A$2:$A$301,0), Skills!M16+1)</f>
        <v/>
      </c>
      <c r="F393">
        <f>IF(Skills!N16=TRUE,(Skills!L16/10)*(E393/1000),Skills!L16/10)+Skills!O16</f>
        <v/>
      </c>
      <c r="G393" t="inlineStr"/>
      <c r="H393" t="inlineStr"/>
      <c r="I393" t="inlineStr">
        <is>
          <t>1</t>
        </is>
      </c>
      <c r="J393" t="inlineStr"/>
      <c r="K393" t="inlineStr"/>
      <c r="L393" t="inlineStr"/>
      <c r="M393" t="inlineStr"/>
      <c r="N393" t="inlineStr"/>
      <c r="O393" t="inlineStr"/>
      <c r="P393" t="inlineStr"/>
      <c r="Q393" t="inlineStr"/>
      <c r="R393" t="inlineStr"/>
      <c r="S393" t="inlineStr"/>
    </row>
    <row r="394">
      <c r="A394">
        <f>Skills!A17</f>
        <v/>
      </c>
      <c r="B394">
        <f>Skills!B17</f>
        <v/>
      </c>
      <c r="C394">
        <f>Inputs!$B$3&gt;=66</f>
        <v/>
      </c>
      <c r="D394">
        <f>IF(Skills!C17=1,60+Inputs!$B$25+Inputs!$B$29,IF(Skills!C17=2,90+Inputs!$B$26+Inputs!$B$29,IF(Skills!C17=3,120+Inputs!$B$27+Inputs!$B$29,MAX(0,(Inputs!$B$3-100)*3)+Inputs!$B$28+Inputs!$B$29)))</f>
        <v/>
      </c>
      <c r="E394">
        <f>INDEX(FactorTable!$B$2:$Y$301, MATCH(ROUND(MIN(300,MAX(1,D394)),0), FactorTable!$A$2:$A$301,0), Skills!M17+1)</f>
        <v/>
      </c>
      <c r="F394">
        <f>IF(Skills!N17=TRUE,(Skills!L17/10)*(E394/1000),Skills!L17/10)+Skills!O17</f>
        <v/>
      </c>
      <c r="G394">
        <f>Skills!G17*IF(Skills!H17&gt;0,Skills!I17/Skills!H17,1)</f>
        <v/>
      </c>
      <c r="H394">
        <f>1-(1-Skills!J17/100)^Skills!K17</f>
        <v/>
      </c>
      <c r="I394" t="inlineStr">
        <is>
          <t>1</t>
        </is>
      </c>
      <c r="J394" t="inlineStr"/>
      <c r="K394" t="inlineStr"/>
      <c r="L394" t="inlineStr"/>
      <c r="M394" t="inlineStr"/>
      <c r="N394" t="inlineStr"/>
      <c r="O394">
        <f>(1-Summary!$B$55)*T394+Summary!$B$55*V394</f>
        <v/>
      </c>
      <c r="P394">
        <f>IF(B417=0,0,O394/B417)</f>
        <v/>
      </c>
      <c r="Q394" t="n">
        <v>0</v>
      </c>
      <c r="R394" t="n">
        <v>0</v>
      </c>
      <c r="S394">
        <f>IFERROR(O394/N394,0)</f>
        <v/>
      </c>
      <c r="T394" t="n">
        <v>0</v>
      </c>
      <c r="V394" t="n">
        <v>0</v>
      </c>
    </row>
    <row r="395">
      <c r="A395">
        <f>Skills!A18</f>
        <v/>
      </c>
      <c r="B395">
        <f>Skills!B18</f>
        <v/>
      </c>
      <c r="C395">
        <f>Inputs!$B$3&gt;=115</f>
        <v/>
      </c>
      <c r="D395">
        <f>IF(Skills!C18=1,60+Inputs!$B$25+Inputs!$B$29,IF(Skills!C18=2,90+Inputs!$B$26+Inputs!$B$29,IF(Skills!C18=3,120+Inputs!$B$27+Inputs!$B$29,MAX(0,(Inputs!$B$3-100)*3)+Inputs!$B$28+Inputs!$B$29)))</f>
        <v/>
      </c>
      <c r="E395">
        <f>INDEX(FactorTable!$B$2:$Y$301, MATCH(ROUND(MIN(300,MAX(1,D395)),0), FactorTable!$A$2:$A$301,0), Skills!M18+1)</f>
        <v/>
      </c>
      <c r="F395">
        <f>IF(Skills!N18=TRUE,(Skills!L18/10)*(E395/1000),Skills!L18/10)+Skills!O18</f>
        <v/>
      </c>
      <c r="G395">
        <f>Skills!G18*IF(Skills!H18&gt;0,Skills!I18/Skills!H18,1)</f>
        <v/>
      </c>
      <c r="H395">
        <f>1-(1-Skills!J18/100)^Skills!K18</f>
        <v/>
      </c>
      <c r="I395" t="inlineStr">
        <is>
          <t>1</t>
        </is>
      </c>
      <c r="J395" t="inlineStr"/>
      <c r="K395" t="inlineStr"/>
      <c r="L395" t="inlineStr"/>
      <c r="M395" t="inlineStr"/>
      <c r="N395" t="inlineStr"/>
      <c r="O395">
        <f>(1-Summary!$B$55)*T395+Summary!$B$55*V395</f>
        <v/>
      </c>
      <c r="P395">
        <f>IF(B417=0,0,O395/B417)</f>
        <v/>
      </c>
      <c r="Q395" t="n">
        <v>0</v>
      </c>
      <c r="R395" t="n">
        <v>0</v>
      </c>
      <c r="S395">
        <f>IFERROR(O395/N395,0)</f>
        <v/>
      </c>
      <c r="T395" t="n">
        <v>0</v>
      </c>
      <c r="V395" t="n">
        <v>0</v>
      </c>
    </row>
    <row r="396">
      <c r="A396">
        <f>Skills!A19</f>
        <v/>
      </c>
      <c r="B396">
        <f>Skills!B19</f>
        <v/>
      </c>
      <c r="C396">
        <f>Inputs!$B$3&gt;=15</f>
        <v/>
      </c>
      <c r="D396">
        <f>IF(Skills!C19=1,60+Inputs!$B$25+Inputs!$B$29,IF(Skills!C19=2,90+Inputs!$B$26+Inputs!$B$29,IF(Skills!C19=3,120+Inputs!$B$27+Inputs!$B$29,MAX(0,(Inputs!$B$3-100)*3)+Inputs!$B$28+Inputs!$B$29)))</f>
        <v/>
      </c>
      <c r="E396">
        <f>INDEX(FactorTable!$B$2:$Y$301, MATCH(ROUND(MIN(300,MAX(1,D396)),0), FactorTable!$A$2:$A$301,0), Skills!M19+1)</f>
        <v/>
      </c>
      <c r="F396">
        <f>IF(Skills!N19=TRUE,(Skills!L19/10)*(E396/1000),Skills!L19/10)+Skills!O19</f>
        <v/>
      </c>
      <c r="G396">
        <f>Skills!G19*IF(Skills!H19&gt;0,Skills!I19/Skills!H19,1)</f>
        <v/>
      </c>
      <c r="H396">
        <f>1-(1-Skills!J19/100)^Skills!K19</f>
        <v/>
      </c>
      <c r="I396" t="inlineStr">
        <is>
          <t>1</t>
        </is>
      </c>
      <c r="J396" t="inlineStr"/>
      <c r="K396" t="inlineStr"/>
      <c r="L396" t="inlineStr"/>
      <c r="M396" t="inlineStr"/>
      <c r="N396" t="inlineStr"/>
      <c r="O396">
        <f>(1-Summary!$B$55)*T396+Summary!$B$55*V396</f>
        <v/>
      </c>
      <c r="P396">
        <f>IF(B417=0,0,O396/B417)</f>
        <v/>
      </c>
      <c r="Q396" t="n">
        <v>0</v>
      </c>
      <c r="R396" t="n">
        <v>0</v>
      </c>
      <c r="S396">
        <f>IFERROR(O396/N396,0)</f>
        <v/>
      </c>
      <c r="T396" t="n">
        <v>0</v>
      </c>
      <c r="V396" t="n">
        <v>0</v>
      </c>
    </row>
    <row r="397">
      <c r="A397">
        <f>Skills!A20</f>
        <v/>
      </c>
      <c r="B397">
        <f>Skills!B20</f>
        <v/>
      </c>
      <c r="C397">
        <f>Inputs!$B$3&gt;=10</f>
        <v/>
      </c>
      <c r="D397">
        <f>IF(Skills!C20=1,60+Inputs!$B$25+Inputs!$B$29,IF(Skills!C20=2,90+Inputs!$B$26+Inputs!$B$29,IF(Skills!C20=3,120+Inputs!$B$27+Inputs!$B$29,MAX(0,(Inputs!$B$3-100)*3)+Inputs!$B$28+Inputs!$B$29)))</f>
        <v/>
      </c>
      <c r="E397">
        <f>INDEX(FactorTable!$B$2:$Y$301, MATCH(ROUND(MIN(300,MAX(1,D397)),0), FactorTable!$A$2:$A$301,0), Skills!M20+1)</f>
        <v/>
      </c>
      <c r="F397">
        <f>IF(Skills!N20=TRUE,(Skills!L20/10)*(E397/1000),Skills!L20/10)+Skills!O20</f>
        <v/>
      </c>
      <c r="G397">
        <f>Skills!G20*IF(Skills!H20&gt;0,Skills!I20/Skills!H20,1)</f>
        <v/>
      </c>
      <c r="H397">
        <f>1-(1-Skills!J20/100)^Skills!K20</f>
        <v/>
      </c>
      <c r="I397" t="inlineStr">
        <is>
          <t>1</t>
        </is>
      </c>
      <c r="J397" t="inlineStr"/>
      <c r="K397" t="inlineStr"/>
      <c r="L397" t="inlineStr"/>
      <c r="M397" t="inlineStr"/>
      <c r="N397" t="inlineStr"/>
      <c r="O397">
        <f>(1-Summary!$B$55)*T397+Summary!$B$55*V397</f>
        <v/>
      </c>
      <c r="P397">
        <f>IF(B417=0,0,O397/B417)</f>
        <v/>
      </c>
      <c r="Q397" t="n">
        <v>0</v>
      </c>
      <c r="R397" t="n">
        <v>0</v>
      </c>
      <c r="S397">
        <f>IFERROR(O397/N397,0)</f>
        <v/>
      </c>
      <c r="T397" t="n">
        <v>0</v>
      </c>
      <c r="V397" t="n">
        <v>0</v>
      </c>
    </row>
    <row r="398">
      <c r="A398">
        <f>Skills!A21</f>
        <v/>
      </c>
      <c r="B398">
        <f>Skills!B21</f>
        <v/>
      </c>
      <c r="C398">
        <f>Inputs!$B$3&gt;=33</f>
        <v/>
      </c>
      <c r="D398">
        <f>IF(Skills!C21=1,60+Inputs!$B$25+Inputs!$B$29,IF(Skills!C21=2,90+Inputs!$B$26+Inputs!$B$29,IF(Skills!C21=3,120+Inputs!$B$27+Inputs!$B$29,MAX(0,(Inputs!$B$3-100)*3)+Inputs!$B$28+Inputs!$B$29)))</f>
        <v/>
      </c>
      <c r="E398">
        <f>INDEX(FactorTable!$B$2:$Y$301, MATCH(ROUND(MIN(300,MAX(1,D398)),0), FactorTable!$A$2:$A$301,0), Skills!M21+1)</f>
        <v/>
      </c>
      <c r="F398">
        <f>IF(Skills!N21=TRUE,(Skills!L21/10)*(E398/1000),Skills!L21/10)+Skills!O21</f>
        <v/>
      </c>
      <c r="G398">
        <f>Skills!G21*IF(Skills!H21&gt;0,Skills!I21/Skills!H21,1)</f>
        <v/>
      </c>
      <c r="H398">
        <f>1-(1-Skills!J21/100)^Skills!K21</f>
        <v/>
      </c>
      <c r="I398" t="inlineStr">
        <is>
          <t>1</t>
        </is>
      </c>
      <c r="J398" t="inlineStr"/>
      <c r="K398" t="inlineStr"/>
      <c r="L398" t="inlineStr"/>
      <c r="M398" t="inlineStr"/>
      <c r="N398" t="inlineStr"/>
      <c r="O398">
        <f>(1-Summary!$B$55)*T398+Summary!$B$55*V398</f>
        <v/>
      </c>
      <c r="P398">
        <f>IF(B417=0,0,O398/B417)</f>
        <v/>
      </c>
      <c r="Q398" t="n">
        <v>0</v>
      </c>
      <c r="R398" t="n">
        <v>0</v>
      </c>
      <c r="S398">
        <f>IFERROR(O398/N398,0)</f>
        <v/>
      </c>
      <c r="T398" t="n">
        <v>0</v>
      </c>
      <c r="V398" t="n">
        <v>0</v>
      </c>
    </row>
    <row r="399">
      <c r="A399">
        <f>Skills!A22</f>
        <v/>
      </c>
      <c r="B399">
        <f>Skills!B22</f>
        <v/>
      </c>
      <c r="C399">
        <f>Inputs!$B$3&gt;=43</f>
        <v/>
      </c>
      <c r="D399">
        <f>IF(Skills!C22=1,60+Inputs!$B$25+Inputs!$B$29,IF(Skills!C22=2,90+Inputs!$B$26+Inputs!$B$29,IF(Skills!C22=3,120+Inputs!$B$27+Inputs!$B$29,MAX(0,(Inputs!$B$3-100)*3)+Inputs!$B$28+Inputs!$B$29)))</f>
        <v/>
      </c>
      <c r="E399">
        <f>INDEX(FactorTable!$B$2:$Y$301, MATCH(ROUND(MIN(300,MAX(1,D399)),0), FactorTable!$A$2:$A$301,0), Skills!M22+1)</f>
        <v/>
      </c>
      <c r="F399">
        <f>IF(Skills!N22=TRUE,(Skills!L22/10)*(E399/1000),Skills!L22/10)+Skills!O22</f>
        <v/>
      </c>
      <c r="G399">
        <f>Skills!G22*IF(Skills!H22&gt;0,Skills!I22/Skills!H22,1)</f>
        <v/>
      </c>
      <c r="H399">
        <f>1-(1-Skills!J22/100)^Skills!K22</f>
        <v/>
      </c>
      <c r="I399" t="inlineStr">
        <is>
          <t>1</t>
        </is>
      </c>
      <c r="J399" t="inlineStr"/>
      <c r="K399" t="inlineStr"/>
      <c r="L399" t="inlineStr"/>
      <c r="M399" t="inlineStr"/>
      <c r="N399" t="inlineStr"/>
      <c r="O399">
        <f>(1-Summary!$B$55)*T399+Summary!$B$55*V399</f>
        <v/>
      </c>
      <c r="P399">
        <f>IF(B417=0,0,O399/B417)</f>
        <v/>
      </c>
      <c r="Q399" t="n">
        <v>0</v>
      </c>
      <c r="R399" t="n">
        <v>0</v>
      </c>
      <c r="S399">
        <f>IFERROR(O399/N399,0)</f>
        <v/>
      </c>
      <c r="T399" t="n">
        <v>0</v>
      </c>
      <c r="V399" t="n">
        <v>0</v>
      </c>
    </row>
    <row r="400">
      <c r="A400">
        <f>Skills!A23</f>
        <v/>
      </c>
      <c r="B400">
        <f>Skills!B23</f>
        <v/>
      </c>
      <c r="C400">
        <f>Inputs!$B$3&gt;=38</f>
        <v/>
      </c>
      <c r="D400">
        <f>IF(Skills!C23=1,60+Inputs!$B$25+Inputs!$B$29,IF(Skills!C23=2,90+Inputs!$B$26+Inputs!$B$29,IF(Skills!C23=3,120+Inputs!$B$27+Inputs!$B$29,MAX(0,(Inputs!$B$3-100)*3)+Inputs!$B$28+Inputs!$B$29)))</f>
        <v/>
      </c>
      <c r="E400">
        <f>INDEX(FactorTable!$B$2:$Y$301, MATCH(ROUND(MIN(300,MAX(1,D400)),0), FactorTable!$A$2:$A$301,0), Skills!M23+1)</f>
        <v/>
      </c>
      <c r="F400">
        <f>IF(Skills!N23=TRUE,(Skills!L23/10)*(E400/1000),Skills!L23/10)+Skills!O23</f>
        <v/>
      </c>
      <c r="G400">
        <f>Skills!G23*IF(Skills!H23&gt;0,Skills!I23/Skills!H23,1)</f>
        <v/>
      </c>
      <c r="H400">
        <f>1-(1-Skills!J23/100)^Skills!K23</f>
        <v/>
      </c>
      <c r="I400" t="inlineStr">
        <is>
          <t>1</t>
        </is>
      </c>
      <c r="J400" t="inlineStr"/>
      <c r="K400" t="inlineStr"/>
      <c r="L400" t="inlineStr"/>
      <c r="M400" t="inlineStr"/>
      <c r="N400" t="inlineStr"/>
      <c r="O400">
        <f>(1-Summary!$B$55)*T400+Summary!$B$55*V400</f>
        <v/>
      </c>
      <c r="P400">
        <f>IF(B417=0,0,O400/B417)</f>
        <v/>
      </c>
      <c r="Q400" t="n">
        <v>0</v>
      </c>
      <c r="R400" t="n">
        <v>0</v>
      </c>
      <c r="S400">
        <f>IFERROR(O400/N400,0)</f>
        <v/>
      </c>
      <c r="T400" t="n">
        <v>0</v>
      </c>
      <c r="V400" t="n">
        <v>0</v>
      </c>
    </row>
    <row r="401">
      <c r="A401">
        <f>Skills!A24</f>
        <v/>
      </c>
      <c r="B401">
        <f>Skills!B24</f>
        <v/>
      </c>
      <c r="C401">
        <f>Inputs!$B$3&gt;=40</f>
        <v/>
      </c>
      <c r="D401">
        <f>IF(Skills!C24=1,60+Inputs!$B$25+Inputs!$B$29,IF(Skills!C24=2,90+Inputs!$B$26+Inputs!$B$29,IF(Skills!C24=3,120+Inputs!$B$27+Inputs!$B$29,MAX(0,(Inputs!$B$3-100)*3)+Inputs!$B$28+Inputs!$B$29)))</f>
        <v/>
      </c>
      <c r="E401">
        <f>INDEX(FactorTable!$B$2:$Y$301, MATCH(ROUND(MIN(300,MAX(1,D401)),0), FactorTable!$A$2:$A$301,0), Skills!M24+1)</f>
        <v/>
      </c>
      <c r="F401">
        <f>IF(Skills!N24=TRUE,(Skills!L24/10)*(E401/1000),Skills!L24/10)+Skills!O24</f>
        <v/>
      </c>
      <c r="G401">
        <f>Skills!G24*IF(Skills!H24&gt;0,Skills!I24/Skills!H24,1)</f>
        <v/>
      </c>
      <c r="H401">
        <f>1-(1-Skills!J24/100)^Skills!K24</f>
        <v/>
      </c>
      <c r="I401" t="inlineStr">
        <is>
          <t>1</t>
        </is>
      </c>
      <c r="J401" t="inlineStr"/>
      <c r="K401" t="inlineStr"/>
      <c r="L401" t="inlineStr"/>
      <c r="M401" t="inlineStr"/>
      <c r="N401" t="inlineStr"/>
      <c r="O401">
        <f>(1-Summary!$B$55)*T401+Summary!$B$55*V401</f>
        <v/>
      </c>
      <c r="P401">
        <f>IF(B417=0,0,O401/B417)</f>
        <v/>
      </c>
      <c r="Q401" t="n">
        <v>0</v>
      </c>
      <c r="R401" t="n">
        <v>0</v>
      </c>
      <c r="S401">
        <f>IFERROR(O401/N401,0)</f>
        <v/>
      </c>
      <c r="T401" t="n">
        <v>0</v>
      </c>
      <c r="V401" t="n">
        <v>0</v>
      </c>
    </row>
    <row r="402">
      <c r="A402">
        <f>Skills!A25</f>
        <v/>
      </c>
      <c r="B402">
        <f>Skills!B25</f>
        <v/>
      </c>
      <c r="C402">
        <f>Inputs!$B$3&gt;=72</f>
        <v/>
      </c>
      <c r="D402">
        <f>IF(Skills!C25=1,60+Inputs!$B$25+Inputs!$B$29,IF(Skills!C25=2,90+Inputs!$B$26+Inputs!$B$29,IF(Skills!C25=3,120+Inputs!$B$27+Inputs!$B$29,MAX(0,(Inputs!$B$3-100)*3)+Inputs!$B$28+Inputs!$B$29)))</f>
        <v/>
      </c>
      <c r="E402">
        <f>INDEX(FactorTable!$B$2:$Y$301, MATCH(ROUND(MIN(300,MAX(1,D402)),0), FactorTable!$A$2:$A$301,0), Skills!M25+1)</f>
        <v/>
      </c>
      <c r="F402">
        <f>IF(Skills!N25=TRUE,(Skills!L25/10)*(E402/1000),Skills!L25/10)+Skills!O25</f>
        <v/>
      </c>
      <c r="G402">
        <f>Skills!G25*IF(Skills!H25&gt;0,Skills!I25/Skills!H25,1)</f>
        <v/>
      </c>
      <c r="H402">
        <f>1-(1-Skills!J25/100)^Skills!K25</f>
        <v/>
      </c>
      <c r="I402" t="inlineStr">
        <is>
          <t>1</t>
        </is>
      </c>
      <c r="J402" t="inlineStr"/>
      <c r="K402" t="inlineStr"/>
      <c r="L402" t="inlineStr"/>
      <c r="M402" t="inlineStr"/>
      <c r="N402" t="inlineStr"/>
      <c r="O402">
        <f>(1-Summary!$B$55)*T402+Summary!$B$55*V402</f>
        <v/>
      </c>
      <c r="P402">
        <f>IF(B417=0,0,O402/B417)</f>
        <v/>
      </c>
      <c r="Q402" t="n">
        <v>0</v>
      </c>
      <c r="R402" t="n">
        <v>0</v>
      </c>
      <c r="S402">
        <f>IFERROR(O402/N402,0)</f>
        <v/>
      </c>
      <c r="T402" t="n">
        <v>0</v>
      </c>
      <c r="V402" t="n">
        <v>0</v>
      </c>
    </row>
    <row r="403">
      <c r="A403">
        <f>Skills!A26</f>
        <v/>
      </c>
      <c r="B403">
        <f>Skills!B26</f>
        <v/>
      </c>
      <c r="C403">
        <f>Inputs!$B$3&gt;=75</f>
        <v/>
      </c>
      <c r="D403">
        <f>IF(Skills!C26=1,60+Inputs!$B$25+Inputs!$B$29,IF(Skills!C26=2,90+Inputs!$B$26+Inputs!$B$29,IF(Skills!C26=3,120+Inputs!$B$27+Inputs!$B$29,MAX(0,(Inputs!$B$3-100)*3)+Inputs!$B$28+Inputs!$B$29)))</f>
        <v/>
      </c>
      <c r="E403">
        <f>INDEX(FactorTable!$B$2:$Y$301, MATCH(ROUND(MIN(300,MAX(1,D403)),0), FactorTable!$A$2:$A$301,0), Skills!M26+1)</f>
        <v/>
      </c>
      <c r="F403">
        <f>IF(Skills!N26=TRUE,(Skills!L26/10)*(E403/1000),Skills!L26/10)+Skills!O26</f>
        <v/>
      </c>
      <c r="G403">
        <f>Skills!G26*IF(Skills!H26&gt;0,Skills!I26/Skills!H26,1)</f>
        <v/>
      </c>
      <c r="H403">
        <f>1-(1-Skills!J26/100)^Skills!K26</f>
        <v/>
      </c>
      <c r="I403" t="inlineStr">
        <is>
          <t>1</t>
        </is>
      </c>
      <c r="J403" t="inlineStr"/>
      <c r="K403" t="inlineStr"/>
      <c r="L403" t="inlineStr"/>
      <c r="M403" t="inlineStr"/>
      <c r="N403" t="inlineStr"/>
      <c r="O403">
        <f>(1-Summary!$B$55)*T403+Summary!$B$55*V403</f>
        <v/>
      </c>
      <c r="P403">
        <f>IF(B417=0,0,O403/B417)</f>
        <v/>
      </c>
      <c r="Q403" t="n">
        <v>0</v>
      </c>
      <c r="R403" t="n">
        <v>0</v>
      </c>
      <c r="S403">
        <f>IFERROR(O403/N403,0)</f>
        <v/>
      </c>
      <c r="T403" t="n">
        <v>0</v>
      </c>
      <c r="V403" t="n">
        <v>0</v>
      </c>
    </row>
    <row r="404">
      <c r="A404">
        <f>Skills!A27</f>
        <v/>
      </c>
      <c r="B404">
        <f>Skills!B27</f>
        <v/>
      </c>
      <c r="C404">
        <f>Inputs!$B$3&gt;=117</f>
        <v/>
      </c>
      <c r="D404">
        <f>IF(Skills!C27=1,60+Inputs!$B$25+Inputs!$B$29,IF(Skills!C27=2,90+Inputs!$B$26+Inputs!$B$29,IF(Skills!C27=3,120+Inputs!$B$27+Inputs!$B$29,MAX(0,(Inputs!$B$3-100)*3)+Inputs!$B$28+Inputs!$B$29)))</f>
        <v/>
      </c>
      <c r="E404">
        <f>INDEX(FactorTable!$B$2:$Y$301, MATCH(ROUND(MIN(300,MAX(1,D404)),0), FactorTable!$A$2:$A$301,0), Skills!M27+1)</f>
        <v/>
      </c>
      <c r="F404">
        <f>IF(Skills!N27=TRUE,(Skills!L27/10)*(E404/1000),Skills!L27/10)+Skills!O27</f>
        <v/>
      </c>
      <c r="G404">
        <f>Skills!G27*IF(Skills!H27&gt;0,Skills!I27/Skills!H27,1)</f>
        <v/>
      </c>
      <c r="H404">
        <f>1-(1-Skills!J27/100)^Skills!K27</f>
        <v/>
      </c>
      <c r="I404" t="inlineStr">
        <is>
          <t>1</t>
        </is>
      </c>
      <c r="J404" t="inlineStr"/>
      <c r="K404" t="inlineStr"/>
      <c r="L404" t="inlineStr"/>
      <c r="M404" t="inlineStr"/>
      <c r="N404" t="inlineStr"/>
      <c r="O404">
        <f>(1-Summary!$B$55)*T404+Summary!$B$55*V404</f>
        <v/>
      </c>
      <c r="P404">
        <f>IF(B417=0,0,O404/B417)</f>
        <v/>
      </c>
      <c r="Q404" t="n">
        <v>0</v>
      </c>
      <c r="R404" t="n">
        <v>0</v>
      </c>
      <c r="S404">
        <f>IFERROR(O404/N404,0)</f>
        <v/>
      </c>
      <c r="T404" t="n">
        <v>0</v>
      </c>
      <c r="V404" t="n">
        <v>0</v>
      </c>
    </row>
    <row r="406">
      <c r="A406" t="inlineStr">
        <is>
          <t>Attack% Bucket Multiplier</t>
        </is>
      </c>
      <c r="B406">
        <f>(1+(((C394=TRUE)*F394)+((C401=TRUE)*(F401-Calc!F24)))/100)</f>
        <v/>
      </c>
    </row>
    <row r="407">
      <c r="A407" t="inlineStr">
        <is>
          <t>Global Crit Rate Bonus %</t>
        </is>
      </c>
      <c r="B407" t="n">
        <v>0</v>
      </c>
    </row>
    <row r="408">
      <c r="A408" t="inlineStr">
        <is>
          <t>Attack Speed Buff Bonus % (unused)</t>
        </is>
      </c>
      <c r="B408" t="n">
        <v>0</v>
      </c>
    </row>
    <row r="409">
      <c r="A409" t="inlineStr">
        <is>
          <t>Actions Per Second</t>
        </is>
      </c>
      <c r="B409">
        <f>1+MIN(150,150*(1-(1-(Inputs!$B$11+((C397=TRUE)*(F397-Calc!F20))+((C398=TRUE)*(F398-Calc!F21)))/150)*(1-B408/150)))/100</f>
        <v/>
      </c>
    </row>
    <row r="410">
      <c r="A410" t="inlineStr">
        <is>
          <t>Skill + Buff Cast Rate</t>
        </is>
      </c>
      <c r="B410">
        <f>IF(AND(Inputs!$B$38&lt;&gt;"pvp",Inputs!$B$43&gt;0),SUMPRODUCT((Skills!E2:E27=TRUE)*(C379:C404=TRUE)*R379:R404*Skills!F2:F27)/Inputs!$B$43,SUMPRODUCT((Skills!E2:E27=TRUE)*(C379:C404=TRUE)*Q379:Q404*Skills!F2:F27))</f>
        <v/>
      </c>
    </row>
    <row r="411">
      <c r="A411" t="inlineStr">
        <is>
          <t>Eight-Legs Easton Casts Per Second</t>
        </is>
      </c>
      <c r="B411">
        <f>MAX(0,B409-B410)</f>
        <v/>
      </c>
    </row>
    <row r="412">
      <c r="A412" t="inlineStr">
        <is>
          <t>Global Critical Damage Bonus % (unused)</t>
        </is>
      </c>
      <c r="B412" t="n">
        <v>0</v>
      </c>
    </row>
    <row r="413">
      <c r="A413" t="inlineStr">
        <is>
          <t>Global Final Damage Bonus % (Jolly Roger only)</t>
        </is>
      </c>
      <c r="B413">
        <f>((C395=TRUE)*F395)</f>
        <v/>
      </c>
    </row>
    <row r="414">
      <c r="A414" t="inlineStr">
        <is>
          <t>Buff-Casting Startup Delay (s, fixed-duration only)</t>
        </is>
      </c>
      <c r="B414">
        <f>IF(AND(Inputs!$B$38&lt;&gt;"pvp",Inputs!$B$43&gt;0),SUMPRODUCT((Skills!T2:T27&gt;0)*(Skills!E2:E27=TRUE)*(C379:C404=TRUE))/B409,0)</f>
        <v/>
      </c>
    </row>
    <row r="415">
      <c r="A415" t="inlineStr">
        <is>
          <t>Boss-Only Total DPS (this block's swept value)</t>
        </is>
      </c>
      <c r="B415">
        <f>SUM(T379:T404)</f>
        <v/>
      </c>
    </row>
    <row r="416">
      <c r="A416" t="inlineStr">
        <is>
          <t>Normal-Only Total DPS (this block's swept value)</t>
        </is>
      </c>
      <c r="B416">
        <f>SUM(V379:V404)</f>
        <v/>
      </c>
    </row>
    <row r="417">
      <c r="A417" s="5" t="inlineStr">
        <is>
          <t>TOTAL DPS</t>
        </is>
      </c>
      <c r="B417" s="5">
        <f>SUM(O379:O404)</f>
        <v/>
      </c>
    </row>
    <row r="420">
      <c r="A420" s="5" t="inlineStr">
        <is>
          <t>Stat: MAX_DAMAGE %</t>
        </is>
      </c>
    </row>
    <row r="421">
      <c r="A421" s="9" t="inlineStr">
        <is>
          <t>Key</t>
        </is>
      </c>
      <c r="B421" s="9" t="inlineStr">
        <is>
          <t>Name</t>
        </is>
      </c>
      <c r="C421" s="9" t="inlineStr">
        <is>
          <t>Unlocked</t>
        </is>
      </c>
      <c r="D421" s="9" t="inlineStr">
        <is>
          <t>InputLevel</t>
        </is>
      </c>
      <c r="E421" s="9" t="inlineStr">
        <is>
          <t>Factor</t>
        </is>
      </c>
      <c r="F421" s="9" t="inlineStr">
        <is>
          <t>CoefficientPercent</t>
        </is>
      </c>
      <c r="G421" s="9" t="inlineStr">
        <is>
          <t>EffectiveHits</t>
        </is>
      </c>
      <c r="H421" s="9" t="inlineStr">
        <is>
          <t>ProcProbability</t>
        </is>
      </c>
      <c r="I421" s="9" t="inlineStr">
        <is>
          <t>MapleHeroMultiplier</t>
        </is>
      </c>
      <c r="J421" s="9" t="inlineStr">
        <is>
          <t>BaseDamage</t>
        </is>
      </c>
      <c r="K421" s="9" t="inlineStr">
        <is>
          <t>BaseHitDamage</t>
        </is>
      </c>
      <c r="L421" s="9" t="inlineStr">
        <is>
          <t>NonCritAvg</t>
        </is>
      </c>
      <c r="M421" s="9" t="inlineStr">
        <is>
          <t>CritAvg</t>
        </is>
      </c>
      <c r="N421" s="9" t="inlineStr">
        <is>
          <t>ExpectedDamage(perHit)</t>
        </is>
      </c>
      <c r="O421" s="9" t="inlineStr">
        <is>
          <t>DPS</t>
        </is>
      </c>
      <c r="P421" s="9" t="inlineStr">
        <is>
          <t>% of Total</t>
        </is>
      </c>
      <c r="Q421" s="9" t="inlineStr">
        <is>
          <t>InvCooldown</t>
        </is>
      </c>
      <c r="R421" s="9" t="inlineStr">
        <is>
          <t>CastsInFight</t>
        </is>
      </c>
      <c r="S421" s="9"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((Inputs!$B$6*(1+Inputs!$B$7/100))+(((Inputs!$B$12*(1+Inputs!$B$13/100))-(Inputs!$B$12*(1+Inputs!$B$13/100)))+0.25*(Inputs!$B$14-Inputs!$B$14))*(1+Inputs!$B$7/100))*(F422/100)</f>
        <v/>
      </c>
      <c r="K422">
        <f>J422*(1+((Inputs!$B$12*(1+Inputs!$B$13/100))*0.01+Inputs!$B$14*0.0025)/100)*(1+Inputs!$B$15/100)*(1+Inputs!$B$16/100)*(5000/(6000+Inputs!$B$42*(1-(Inputs!$B$19+0)/100)))*(1+(Inputs!$B$24+((C446=TRUE)*(F446-Calc!F26))+B456)/100)*(1+(IF(Skills!A2="EIGHT_LEGS_EASTON",Inputs!$B$17+((C443=TRUE)*(F443-Calc!F23))+((C447=TRUE)*(F447-Calc!F27)),Inputs!$B$18+0))/100)*((1+(((C437=TRUE)*F437)+((C444=TRUE)*(F444-Calc!F24)))/100)*I422)</f>
        <v/>
      </c>
      <c r="L422">
        <f>K422*(MIN(Inputs!$B$22+((C442=TRUE)*(F442-Calc!F22)),(Inputs!$B$23+1)+0)/100+((Inputs!$B$23+1)+0)/100)/2</f>
        <v/>
      </c>
      <c r="M422">
        <f>L422*(1+(Inputs!$B$10+((C445=TRUE)*(F445-Calc!F25))+B455)/100)</f>
        <v/>
      </c>
      <c r="N422">
        <f>L422*(1-MIN((Inputs!$B$9+((C439=TRUE)*(F439-Calc!F19))+B450),100)/100)+M422*(MIN((Inputs!$B$9+((C439=TRUE)*(F439-Calc!F19))+B450),100)/100)</f>
        <v/>
      </c>
      <c r="O422">
        <f>(1-Summary!$B$55)*T422+Summary!$B$55*V422</f>
        <v/>
      </c>
      <c r="P422">
        <f>IF(B460=0,0,O422/B460)</f>
        <v/>
      </c>
      <c r="Q422" t="n">
        <v>0</v>
      </c>
      <c r="R422" t="n">
        <v>0</v>
      </c>
      <c r="S422">
        <f>IFERROR(O422/N422,0)</f>
        <v/>
      </c>
      <c r="T422">
        <f>IF(C422,(Skills!G2*N422*B454)*IF(Inputs!$B$38="pvp",1,1+(Inputs!$B$20+0+Skills!P2)/100),0)</f>
        <v/>
      </c>
      <c r="U422">
        <f>MAX(0,(Inputs!$B$3-100)*3)+Inputs!$B$28+Inputs!$B$29</f>
        <v/>
      </c>
      <c r="V422">
        <f>IF(C422,(Skills!G2*N422*B454)*IF(Inputs!$B$38="pvp",1,(1+(Inputs!$B$21+Skills!Q2)/100)*(MIN((6+Inputs!$B$33),Inputs!$B$37))),0)</f>
        <v/>
      </c>
    </row>
    <row r="423">
      <c r="A423">
        <f>Skills!A3</f>
        <v/>
      </c>
      <c r="B423">
        <f>Skills!B3</f>
        <v/>
      </c>
      <c r="C423">
        <f>Inputs!$B$3&gt;=35</f>
        <v/>
      </c>
      <c r="D423">
        <f>IF(Skills!C3=1,60+Inputs!$B$25+Inputs!$B$29,IF(Skills!C3=2,90+Inputs!$B$26+Inputs!$B$29,IF(Skills!C3=3,120+Inputs!$B$27+Inputs!$B$29,MAX(0,(Inputs!$B$3-100)*3)+Inputs!$B$28+Inputs!$B$29)))</f>
        <v/>
      </c>
      <c r="E423">
        <f>INDEX(FactorTable!$B$2:$Y$301, MATCH(ROUND(MIN(300,MAX(1,D423)),0), FactorTable!$A$2:$A$301,0), Skills!M3+1)</f>
        <v/>
      </c>
      <c r="F423">
        <f>IF(Skills!N3=TRUE,(Skills!L3/10)*(E423/1000),Skills!L3/10)+Skills!O3</f>
        <v/>
      </c>
      <c r="G423">
        <f>Skills!G3*IF(Skills!H3&gt;0,Skills!I3/Skills!H3,1)</f>
        <v/>
      </c>
      <c r="H423">
        <f>1-(1-Skills!J3/100)^Skills!K3</f>
        <v/>
      </c>
      <c r="I423" t="inlineStr">
        <is>
          <t>1</t>
        </is>
      </c>
      <c r="J423">
        <f>((Inputs!$B$6*(1+Inputs!$B$7/100))+(((Inputs!$B$12*(1+Inputs!$B$13/100))-(Inputs!$B$12*(1+Inputs!$B$13/100)))+0.25*(Inputs!$B$14-Inputs!$B$14))*(1+Inputs!$B$7/100))*(F423/100)</f>
        <v/>
      </c>
      <c r="K423">
        <f>J423*(1+((Inputs!$B$12*(1+Inputs!$B$13/100))*0.01+Inputs!$B$14*0.0025)/100)*(1+Inputs!$B$15/100)*(1+Inputs!$B$16/100)*(5000/(6000+Inputs!$B$42*(1-(Inputs!$B$19+0)/100)))*(1+(Inputs!$B$24+((C446=TRUE)*(F446-Calc!F26))+B456)/100)*(1+4.0*IF(C435=TRUE,F435,0)/100)*(1+(IF(Skills!A3="EIGHT_LEGS_EASTON",Inputs!$B$17+((C443=TRUE)*(F443-Calc!F23))+((C447=TRUE)*(F447-Calc!F27)),Inputs!$B$18+0))/100)*((1+(((C437=TRUE)*F437)+((C444=TRUE)*(F444-Calc!F24)))/100)*I423)</f>
        <v/>
      </c>
      <c r="L423">
        <f>K423*(MIN(Inputs!$B$22+((C442=TRUE)*(F442-Calc!F22)),(Inputs!$B$23+1)+0)/100+((Inputs!$B$23+1)+0)/100)/2</f>
        <v/>
      </c>
      <c r="M423">
        <f>L423*(1+(Inputs!$B$10+((C445=TRUE)*(F445-Calc!F25))+B455)/100)</f>
        <v/>
      </c>
      <c r="N423">
        <f>L423*(1-MIN((Inputs!$B$9+((C439=TRUE)*(F439-Calc!F19))+B450),100)/100)+M423*(MIN((Inputs!$B$9+((C439=TRUE)*(F439-Calc!F19))+B450),100)/100)</f>
        <v/>
      </c>
      <c r="O423">
        <f>(1-Summary!$B$55)*T423+Summary!$B$55*V423</f>
        <v/>
      </c>
      <c r="P423">
        <f>IF(B460=0,0,O423/B460)</f>
        <v/>
      </c>
      <c r="Q423">
        <f>IFERROR(1/IF(Inputs!$B$38="pvp",15,MAX(0.1,Skills!D3-IF(Skills!E3=TRUE,Inputs!$B$32,0))),0)</f>
        <v/>
      </c>
      <c r="R423">
        <f>IF(AND(Inputs!$B$38&lt;&gt;"pvp",Inputs!$B$43&gt;0),IF(MAX(0,Inputs!$B$43-B457)&lt;=0,0,(INT(MAX(0,Inputs!$B$43-B457)/IF(Inputs!$B$38="pvp",15,MAX(0.1,Skills!D3-IF(Skills!E3=TRUE,Inputs!$B$32,0))))+1)),0)</f>
        <v/>
      </c>
      <c r="S423">
        <f>IFERROR(O423/N423,0)</f>
        <v/>
      </c>
      <c r="T423">
        <f>IF(C423,(H423*N423*IF(AND(Inputs!$B$38&lt;&gt;"pvp",Inputs!$B$43&gt;0),((Skills!G3*((R423-1)*IF(Skills!H3&gt;0,Skills!I3/Skills!H3,1)+IF(Skills!H3&gt;0,MIN(Skills!I3,MAX(0,MAX(0,Inputs!$B$43-B457)-((R423-1)*IF(Inputs!$B$38="pvp",15,MAX(0.1,Skills!D3-IF(Skills!E3=TRUE,Inputs!$B$32,0))))))/Skills!H3,1)))/Inputs!$B$43),G423*Q423))*IF(Inputs!$B$38="pvp",1,1+(Inputs!$B$20+0+Skills!P3)/100),0)</f>
        <v/>
      </c>
      <c r="U423">
        <f>INDEX(FactorTable!$B$2:$Y$301, MATCH(ROUND(MIN(300,MAX(1,U422)),0), FactorTable!$A$2:$A$301,0), 22)</f>
        <v/>
      </c>
      <c r="V423">
        <f>IF(C423,(H423*N423*IF(AND(Inputs!$B$38&lt;&gt;"pvp",Inputs!$B$43&gt;0),((Skills!G3*((R423-1)*IF(Skills!H3&gt;0,Skills!I3/Skills!H3,1)+IF(Skills!H3&gt;0,MIN(Skills!I3,MAX(0,MAX(0,Inputs!$B$43-B457)-((R423-1)*IF(Inputs!$B$38="pvp",15,MAX(0.1,Skills!D3-IF(Skills!E3=TRUE,Inputs!$B$32,0))))))/Skills!H3,1)))/Inputs!$B$43),G423*Q423))*IF(Inputs!$B$38="pvp",1,(1+(Inputs!$B$21+Skills!Q3)/100)*(MIN(Skills!R3,Inputs!$B$37))),0)</f>
        <v/>
      </c>
    </row>
    <row r="424">
      <c r="A424">
        <f>Skills!A4</f>
        <v/>
      </c>
      <c r="B424">
        <f>Skills!B4</f>
        <v/>
      </c>
      <c r="C424">
        <f>Inputs!$B$3&gt;=40</f>
        <v/>
      </c>
      <c r="D424">
        <f>IF(Skills!C4=1,60+Inputs!$B$25+Inputs!$B$29,IF(Skills!C4=2,90+Inputs!$B$26+Inputs!$B$29,IF(Skills!C4=3,120+Inputs!$B$27+Inputs!$B$29,MAX(0,(Inputs!$B$3-100)*3)+Inputs!$B$28+Inputs!$B$29)))</f>
        <v/>
      </c>
      <c r="E424">
        <f>INDEX(FactorTable!$B$2:$Y$301, MATCH(ROUND(MIN(300,MAX(1,D424)),0), FactorTable!$A$2:$A$301,0), Skills!M4+1)</f>
        <v/>
      </c>
      <c r="F424">
        <f>IF(Skills!N4=TRUE,(Skills!L4/10)*(E424/1000),Skills!L4/10)+Skills!O4</f>
        <v/>
      </c>
      <c r="G424">
        <f>Skills!G4*IF(Skills!H4&gt;0,Skills!I4/Skills!H4,1)</f>
        <v/>
      </c>
      <c r="H424">
        <f>1-(1-Skills!J4/100)^Skills!K4</f>
        <v/>
      </c>
      <c r="I424" t="inlineStr">
        <is>
          <t>1</t>
        </is>
      </c>
      <c r="J424">
        <f>((Inputs!$B$6*(1+Inputs!$B$7/100))+(((Inputs!$B$12*(1+Inputs!$B$13/100))-(Inputs!$B$12*(1+Inputs!$B$13/100)))+0.25*(Inputs!$B$14-Inputs!$B$14))*(1+Inputs!$B$7/100))*(F424/100)</f>
        <v/>
      </c>
      <c r="K424">
        <f>J424*(1+((Inputs!$B$12*(1+Inputs!$B$13/100))*0.01+Inputs!$B$14*0.0025)/100)*(1+Inputs!$B$15/100)*(1+Inputs!$B$16/100)*(5000/(6000+Inputs!$B$42*(1-(Inputs!$B$19+0)/100)))*(1+(Inputs!$B$24+((C446=TRUE)*(F446-Calc!F26))+B456)/100)*(1+1.0*IF(C436=TRUE,F436,0)/100)*(1+(IF(Skills!A4="EIGHT_LEGS_EASTON",Inputs!$B$17+((C443=TRUE)*(F443-Calc!F23))+((C447=TRUE)*(F447-Calc!F27)),Inputs!$B$18+0))/100)*((1+(((C437=TRUE)*F437)+((C444=TRUE)*(F444-Calc!F24)))/100)*I424)</f>
        <v/>
      </c>
      <c r="L424">
        <f>K424*(MIN(Inputs!$B$22+((C442=TRUE)*(F442-Calc!F22)),(Inputs!$B$23+1)+0)/100+((Inputs!$B$23+1)+0)/100)/2</f>
        <v/>
      </c>
      <c r="M424">
        <f>L424*(1+(Inputs!$B$10+((C445=TRUE)*(F445-Calc!F25))+B455)/100)</f>
        <v/>
      </c>
      <c r="N424">
        <f>L424*(1-MIN((Inputs!$B$9+((C439=TRUE)*(F439-Calc!F19))+B450),100)/100)+M424*(MIN((Inputs!$B$9+((C439=TRUE)*(F439-Calc!F19))+B450),100)/100)</f>
        <v/>
      </c>
      <c r="O424">
        <f>(1-Summary!$B$55)*T424+Summary!$B$55*V424</f>
        <v/>
      </c>
      <c r="P424">
        <f>IF(B460=0,0,O424/B460)</f>
        <v/>
      </c>
      <c r="Q424">
        <f>IFERROR(1/IF(Inputs!$B$38="pvp",15,MAX(0.1,Skills!D4-IF(Skills!E4=TRUE,Inputs!$B$32,0))),0)</f>
        <v/>
      </c>
      <c r="R424">
        <f>IF(AND(Inputs!$B$38&lt;&gt;"pvp",Inputs!$B$43&gt;0),IF(MAX(0,Inputs!$B$43-B457)&lt;=0,0,(INT(MAX(0,Inputs!$B$43-B457)/IF(Inputs!$B$38="pvp",15,MAX(0.1,Skills!D4-IF(Skills!E4=TRUE,Inputs!$B$32,0))))+1)),0)</f>
        <v/>
      </c>
      <c r="S424">
        <f>IFERROR(O424/N424,0)</f>
        <v/>
      </c>
      <c r="T424">
        <f>IF(C424,(H424*N424*IF(AND(Inputs!$B$38&lt;&gt;"pvp",Inputs!$B$43&gt;0),((Skills!G4*((R424-1)*IF(Skills!H4&gt;0,Skills!I4/Skills!H4,1)+IF(Skills!H4&gt;0,MIN(Skills!I4,MAX(0,MAX(0,Inputs!$B$43-B457)-((R424-1)*IF(Inputs!$B$38="pvp",15,MAX(0.1,Skills!D4-IF(Skills!E4=TRUE,Inputs!$B$32,0))))))/Skills!H4,1)))/Inputs!$B$43),G424*Q424))*IF(Inputs!$B$38="pvp",1,1+(Inputs!$B$20+0+Skills!P4)/100),0)</f>
        <v/>
      </c>
      <c r="U424">
        <f>290*U423/1000</f>
        <v/>
      </c>
      <c r="V424">
        <f>IF(C424,(H424*N424*IF(AND(Inputs!$B$38&lt;&gt;"pvp",Inputs!$B$43&gt;0),((Skills!G4*((R424-1)*IF(Skills!H4&gt;0,Skills!I4/Skills!H4,1)+IF(Skills!H4&gt;0,MIN(Skills!I4,MAX(0,MAX(0,Inputs!$B$43-B457)-((R424-1)*IF(Inputs!$B$38="pvp",15,MAX(0.1,Skills!D4-IF(Skills!E4=TRUE,Inputs!$B$32,0))))))/Skills!H4,1)))/Inputs!$B$43),G424*Q424))*IF(Inputs!$B$38="pvp",1,(1+(Inputs!$B$21+Skills!Q4)/100)*(MIN(Skills!R4,Inputs!$B$37))),0)</f>
        <v/>
      </c>
    </row>
    <row r="425">
      <c r="A425">
        <f>Skills!A5</f>
        <v/>
      </c>
      <c r="B425">
        <f>Skills!B5</f>
        <v/>
      </c>
      <c r="C425">
        <f>Inputs!$B$3&gt;=45</f>
        <v/>
      </c>
      <c r="D425">
        <f>IF(Skills!C5=1,60+Inputs!$B$25+Inputs!$B$29,IF(Skills!C5=2,90+Inputs!$B$26+Inputs!$B$29,IF(Skills!C5=3,120+Inputs!$B$27+Inputs!$B$29,MAX(0,(Inputs!$B$3-100)*3)+Inputs!$B$28+Inputs!$B$29)))</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((Inputs!$B$6*(1+Inputs!$B$7/100))+(((Inputs!$B$12*(1+Inputs!$B$13/100))-(Inputs!$B$12*(1+Inputs!$B$13/100)))+0.25*(Inputs!$B$14-Inputs!$B$14))*(1+Inputs!$B$7/100))*(F425/100)</f>
        <v/>
      </c>
      <c r="K425">
        <f>J425*(1+((Inputs!$B$12*(1+Inputs!$B$13/100))*0.01+Inputs!$B$14*0.0025)/100)*(1+Inputs!$B$15/100)*(1+Inputs!$B$16/100)*(5000/(6000+Inputs!$B$42*(1-(Inputs!$B$19+0)/100)))*(1+(Inputs!$B$24+((C446=TRUE)*(F446-Calc!F26))+B456)/100)*(1+0.4*IF(C436=TRUE,F436,0)/100)*(1+(IF(Skills!A5="EIGHT_LEGS_EASTON",Inputs!$B$17+((C443=TRUE)*(F443-Calc!F23))+((C447=TRUE)*(F447-Calc!F27)),Inputs!$B$18+0))/100)*((1+(((C437=TRUE)*F437)+((C444=TRUE)*(F444-Calc!F24)))/100)*I425)</f>
        <v/>
      </c>
      <c r="L425">
        <f>K425*(MIN(Inputs!$B$22+((C442=TRUE)*(F442-Calc!F22)),(Inputs!$B$23+1)+0)/100+((Inputs!$B$23+1)+0)/100)/2</f>
        <v/>
      </c>
      <c r="M425">
        <f>L425*(1+(Inputs!$B$10+((C445=TRUE)*(F445-Calc!F25))+B455)/100)</f>
        <v/>
      </c>
      <c r="N425">
        <f>L425*(1-MIN((Inputs!$B$9+((C439=TRUE)*(F439-Calc!F19))+B450),100)/100)+M425*(MIN((Inputs!$B$9+((C439=TRUE)*(F439-Calc!F19))+B450),100)/100)</f>
        <v/>
      </c>
      <c r="O425">
        <f>(1-Summary!$B$55)*T425+Summary!$B$55*V425</f>
        <v/>
      </c>
      <c r="P425">
        <f>IF(B460=0,0,O425/B460)</f>
        <v/>
      </c>
      <c r="Q425">
        <f>IFERROR(1/IF(Inputs!$B$38="pvp",15,MAX(0.1,Skills!D5-IF(Skills!E5=TRUE,Inputs!$B$32,0))),0)</f>
        <v/>
      </c>
      <c r="R425">
        <f>IF(AND(Inputs!$B$38&lt;&gt;"pvp",Inputs!$B$43&gt;0),IF(MAX(0,Inputs!$B$43-B457)&lt;=0,0,(INT(MAX(0,Inputs!$B$43-B457)/IF(Inputs!$B$38="pvp",15,MAX(0.1,Skills!D5-IF(Skills!E5=TRUE,Inputs!$B$32,0))))+1)),0)</f>
        <v/>
      </c>
      <c r="S425">
        <f>IFERROR(O425/N425,0)</f>
        <v/>
      </c>
      <c r="T425">
        <f>IF(C425,(H425*N425*IF(AND(Inputs!$B$38&lt;&gt;"pvp",Inputs!$B$43&gt;0),((Skills!G5*((R425-1)*IF(Skills!H5&gt;0,Skills!I5/Skills!H5,1)+IF(Skills!H5&gt;0,MIN(Skills!I5,MAX(0,MAX(0,Inputs!$B$43-B457)-((R425-1)*IF(Inputs!$B$38="pvp",15,MAX(0.1,Skills!D5-IF(Skills!E5=TRUE,Inputs!$B$32,0))))))/Skills!H5,1)))/Inputs!$B$43),G425*Q425))*IF(Inputs!$B$38="pvp",1,1+(Inputs!$B$20+0+Skills!P5)/100),0)</f>
        <v/>
      </c>
      <c r="V425">
        <f>IF(C425,(H425*N425*IF(AND(Inputs!$B$38&lt;&gt;"pvp",Inputs!$B$43&gt;0),((Skills!G5*((R425-1)*IF(Skills!H5&gt;0,Skills!I5/Skills!H5,1)+IF(Skills!H5&gt;0,MIN(Skills!I5,MAX(0,MAX(0,Inputs!$B$43-B457)-((R425-1)*IF(Inputs!$B$38="pvp",15,MAX(0.1,Skills!D5-IF(Skills!E5=TRUE,Inputs!$B$32,0))))))/Skills!H5,1)))/Inputs!$B$43),G425*Q425))*IF(Inputs!$B$38="pvp",1,(1+(Inputs!$B$21+Skills!Q5)/100)*(MIN(Skills!R5,Inputs!$B$37))),0)</f>
        <v/>
      </c>
    </row>
    <row r="426">
      <c r="A426">
        <f>Skills!A6</f>
        <v/>
      </c>
      <c r="B426">
        <f>Skills!B6</f>
        <v/>
      </c>
      <c r="C426">
        <f>Inputs!$B$3&gt;=63</f>
        <v/>
      </c>
      <c r="D426">
        <f>IF(Skills!C6=1,60+Inputs!$B$25+Inputs!$B$29,IF(Skills!C6=2,90+Inputs!$B$26+Inputs!$B$29,IF(Skills!C6=3,120+Inputs!$B$27+Inputs!$B$29,MAX(0,(Inputs!$B$3-100)*3)+Inputs!$B$28+Inputs!$B$29)))</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((Inputs!$B$6*(1+Inputs!$B$7/100))+(((Inputs!$B$12*(1+Inputs!$B$13/100))-(Inputs!$B$12*(1+Inputs!$B$13/100)))+0.25*(Inputs!$B$14-Inputs!$B$14))*(1+Inputs!$B$7/100))*(F426/100)</f>
        <v/>
      </c>
      <c r="K426">
        <f>J426*(1+((Inputs!$B$12*(1+Inputs!$B$13/100))*0.01+Inputs!$B$14*0.0025)/100)*(1+Inputs!$B$15/100)*(1+Inputs!$B$16/100)*(5000/(6000+Inputs!$B$42*(1-(Inputs!$B$19+0)/100)))*(1+(Inputs!$B$24+((C446=TRUE)*(F446-Calc!F26))+B456)/100)*(1+2.0*IF(C435=TRUE,F435,0)/100)*(1+(IF(Skills!A6="EIGHT_LEGS_EASTON",Inputs!$B$17+((C443=TRUE)*(F443-Calc!F23))+((C447=TRUE)*(F447-Calc!F27)),Inputs!$B$18+0))/100)*((1+(((C437=TRUE)*F437)+((C444=TRUE)*(F444-Calc!F24)))/100)*I426)</f>
        <v/>
      </c>
      <c r="L426">
        <f>K426*(MIN(Inputs!$B$22+((C442=TRUE)*(F442-Calc!F22)),(Inputs!$B$23+1)+0)/100+((Inputs!$B$23+1)+0)/100)/2</f>
        <v/>
      </c>
      <c r="M426">
        <f>L426*(1+(Inputs!$B$10+((C445=TRUE)*(F445-Calc!F25))+B455)/100)</f>
        <v/>
      </c>
      <c r="N426">
        <f>L426*(1-MIN((Inputs!$B$9+((C439=TRUE)*(F439-Calc!F19))+B450),100)/100)+M426*(MIN((Inputs!$B$9+((C439=TRUE)*(F439-Calc!F19))+B450),100)/100)</f>
        <v/>
      </c>
      <c r="O426">
        <f>(1-Summary!$B$55)*T426+Summary!$B$55*V426</f>
        <v/>
      </c>
      <c r="P426">
        <f>IF(B460=0,0,O426/B460)</f>
        <v/>
      </c>
      <c r="Q426">
        <f>IFERROR(1/IF(Inputs!$B$38="pvp",15,MAX(0.1,Skills!D6-IF(Skills!E6=TRUE,Inputs!$B$32,0))),0)</f>
        <v/>
      </c>
      <c r="R426">
        <f>IF(AND(Inputs!$B$38&lt;&gt;"pvp",Inputs!$B$43&gt;0),IF(MAX(0,Inputs!$B$43-B457)&lt;=0,0,(INT(MAX(0,Inputs!$B$43-B457)/IF(Inputs!$B$38="pvp",15,MAX(0.1,Skills!D6-IF(Skills!E6=TRUE,Inputs!$B$32,0))))+1)),0)</f>
        <v/>
      </c>
      <c r="S426">
        <f>IFERROR(O426/N426,0)</f>
        <v/>
      </c>
      <c r="T426">
        <f>IF(C426,(H426*N426*IF(AND(Inputs!$B$38&lt;&gt;"pvp",Inputs!$B$43&gt;0),((Skills!G6*((R426-1)*IF(Skills!H6&gt;0,Skills!I6/Skills!H6,1)+IF(Skills!H6&gt;0,MIN(Skills!I6,MAX(0,MAX(0,Inputs!$B$43-B457)-((R426-1)*IF(Inputs!$B$38="pvp",15,MAX(0.1,Skills!D6-IF(Skills!E6=TRUE,Inputs!$B$32,0))))))/Skills!H6,1)))/Inputs!$B$43),G426*Q426))*IF(Inputs!$B$38="pvp",1,1+(Inputs!$B$20+0+Skills!P6)/100),0)</f>
        <v/>
      </c>
      <c r="V426">
        <f>IF(C426,(H426*N426*IF(AND(Inputs!$B$38&lt;&gt;"pvp",Inputs!$B$43&gt;0),((Skills!G6*((R426-1)*IF(Skills!H6&gt;0,Skills!I6/Skills!H6,1)+IF(Skills!H6&gt;0,MIN(Skills!I6,MAX(0,MAX(0,Inputs!$B$43-B457)-((R426-1)*IF(Inputs!$B$38="pvp",15,MAX(0.1,Skills!D6-IF(Skills!E6=TRUE,Inputs!$B$32,0))))))/Skills!H6,1)))/Inputs!$B$43),G426*Q426))*IF(Inputs!$B$38="pvp",1,(1+(Inputs!$B$21+Skills!Q6)/100)*(MIN(Skills!R6,Inputs!$B$37))),0)</f>
        <v/>
      </c>
    </row>
    <row r="427">
      <c r="A427">
        <f>Skills!A7</f>
        <v/>
      </c>
      <c r="B427">
        <f>Skills!B7</f>
        <v/>
      </c>
      <c r="C427">
        <f>Inputs!$B$3&gt;=66</f>
        <v/>
      </c>
      <c r="D427">
        <f>IF(Skills!C7=1,60+Inputs!$B$25+Inputs!$B$29,IF(Skills!C7=2,90+Inputs!$B$26+Inputs!$B$29,IF(Skills!C7=3,120+Inputs!$B$27+Inputs!$B$29,MAX(0,(Inputs!$B$3-100)*3)+Inputs!$B$28+Inputs!$B$29)))</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f>((Inputs!$B$6*(1+Inputs!$B$7/100))+(((Inputs!$B$12*(1+Inputs!$B$13/100))-(Inputs!$B$12*(1+Inputs!$B$13/100)))+0.25*(Inputs!$B$14-Inputs!$B$14))*(1+Inputs!$B$7/100))*(F427/100)</f>
        <v/>
      </c>
      <c r="K427">
        <f>J427*(1+((Inputs!$B$12*(1+Inputs!$B$13/100))*0.01+Inputs!$B$14*0.0025)/100)*(1+Inputs!$B$15/100)*(1+Inputs!$B$16/100)*(5000/(6000+Inputs!$B$42*(1-(Inputs!$B$19+0)/100)))*(1+(Inputs!$B$24+((C446=TRUE)*(F446-Calc!F26))+B456)/100)*(1+1.0*IF(C435=TRUE,F435,0)/100)*(1+(IF(Skills!A7="EIGHT_LEGS_EASTON",Inputs!$B$17+((C443=TRUE)*(F443-Calc!F23))+((C447=TRUE)*(F447-Calc!F27)),Inputs!$B$18+0))/100)*((1+(((C437=TRUE)*F437)+((C444=TRUE)*(F444-Calc!F24)))/100)*I427)</f>
        <v/>
      </c>
      <c r="L427">
        <f>K427*(MIN(Inputs!$B$22+((C442=TRUE)*(F442-Calc!F22)),(Inputs!$B$23+1)+0)/100+((Inputs!$B$23+1)+0)/100)/2</f>
        <v/>
      </c>
      <c r="M427">
        <f>L427*(1+(Inputs!$B$10+((C445=TRUE)*(F445-Calc!F25))+B455)/100)</f>
        <v/>
      </c>
      <c r="N427">
        <f>L427*(1-MIN((Inputs!$B$9+((C439=TRUE)*(F439-Calc!F19))+B450),100)/100)+M427*(MIN((Inputs!$B$9+((C439=TRUE)*(F439-Calc!F19))+B450),100)/100)</f>
        <v/>
      </c>
      <c r="O427">
        <f>(1-Summary!$B$55)*T427+Summary!$B$55*V427</f>
        <v/>
      </c>
      <c r="P427">
        <f>IF(B460=0,0,O427/B460)</f>
        <v/>
      </c>
      <c r="Q427">
        <f>IFERROR(1/IF(Inputs!$B$38="pvp",15,MAX(0.1,Skills!D7-IF(Skills!E7=TRUE,Inputs!$B$32,0))),0)</f>
        <v/>
      </c>
      <c r="R427">
        <f>IF(AND(Inputs!$B$38&lt;&gt;"pvp",Inputs!$B$43&gt;0),IF(MAX(0,Inputs!$B$43-B457)&lt;=0,0,(INT(MAX(0,Inputs!$B$43-B457)/IF(Inputs!$B$38="pvp",15,MAX(0.1,Skills!D7-IF(Skills!E7=TRUE,Inputs!$B$32,0))))+1)),0)</f>
        <v/>
      </c>
      <c r="S427">
        <f>IFERROR(O427/N427,0)</f>
        <v/>
      </c>
      <c r="T427">
        <f>IF(C427,(H427*N427*IF(AND(Inputs!$B$38&lt;&gt;"pvp",Inputs!$B$43&gt;0),((Skills!G7*((R427-1)*IF(Skills!H7&gt;0,Skills!I7/Skills!H7,1)+IF(Skills!H7&gt;0,MIN(Skills!I7,MAX(0,MAX(0,Inputs!$B$43-B457)-((R427-1)*IF(Inputs!$B$38="pvp",15,MAX(0.1,Skills!D7-IF(Skills!E7=TRUE,Inputs!$B$32,0))))))/Skills!H7,1)))/Inputs!$B$43),G427*Q427))*IF(Inputs!$B$38="pvp",1,1+(Inputs!$B$20+0+Skills!P7)/100),0)</f>
        <v/>
      </c>
      <c r="V427">
        <f>IF(C427,(H427*N427*IF(AND(Inputs!$B$38&lt;&gt;"pvp",Inputs!$B$43&gt;0),((Skills!G7*((R427-1)*IF(Skills!H7&gt;0,Skills!I7/Skills!H7,1)+IF(Skills!H7&gt;0,MIN(Skills!I7,MAX(0,MAX(0,Inputs!$B$43-B457)-((R427-1)*IF(Inputs!$B$38="pvp",15,MAX(0.1,Skills!D7-IF(Skills!E7=TRUE,Inputs!$B$32,0))))))/Skills!H7,1)))/Inputs!$B$43),G427*Q427))*IF(Inputs!$B$38="pvp",1,(1+(Inputs!$B$21+Skills!Q7)/100)*(MIN(Skills!R7,Inputs!$B$37))),0)</f>
        <v/>
      </c>
    </row>
    <row r="428">
      <c r="A428">
        <f>Skills!A8</f>
        <v/>
      </c>
      <c r="B428">
        <f>Skills!B8</f>
        <v/>
      </c>
      <c r="C428">
        <f>Inputs!$B$3&gt;=100</f>
        <v/>
      </c>
      <c r="D428">
        <f>IF(Skills!C8=1,60+Inputs!$B$25+Inputs!$B$29,IF(Skills!C8=2,90+Inputs!$B$26+Inputs!$B$29,IF(Skills!C8=3,120+Inputs!$B$27+Inputs!$B$29,MAX(0,(Inputs!$B$3-100)*3)+Inputs!$B$28+Inputs!$B$29)))</f>
        <v/>
      </c>
      <c r="E428">
        <f>INDEX(FactorTable!$B$2:$Y$301, MATCH(ROUND(MIN(300,MAX(1,D428)),0), FactorTable!$A$2:$A$301,0), Skills!M8+1)</f>
        <v/>
      </c>
      <c r="F428">
        <f>IF(Skills!N8=TRUE,(Skills!L8/10)*(E428/1000),Skills!L8/10)+Skills!O8</f>
        <v/>
      </c>
      <c r="G428">
        <f>Skills!G8*IF(Skills!H8&gt;0,Skills!I8/Skills!H8,1)</f>
        <v/>
      </c>
      <c r="H428">
        <f>1-(1-Skills!J8/100)^Skills!K8</f>
        <v/>
      </c>
      <c r="I428" t="inlineStr">
        <is>
          <t>1</t>
        </is>
      </c>
      <c r="J428">
        <f>((Inputs!$B$6*(1+Inputs!$B$7/100))+(((Inputs!$B$12*(1+Inputs!$B$13/100))-(Inputs!$B$12*(1+Inputs!$B$13/100)))+0.25*(Inputs!$B$14-Inputs!$B$14))*(1+Inputs!$B$7/100))*(F428/100)</f>
        <v/>
      </c>
      <c r="K428">
        <f>J428*(1+((Inputs!$B$12*(1+Inputs!$B$13/100))*0.01+Inputs!$B$14*0.0025)/100)*(1+Inputs!$B$15/100)*(1+Inputs!$B$16/100)*(5000/(6000+Inputs!$B$42*(1-(Inputs!$B$19+0)/100)))*(1+(Inputs!$B$24+((C446=TRUE)*(F446-Calc!F26))+B456)/100)*(1+(IF(Skills!A8="EIGHT_LEGS_EASTON",Inputs!$B$17+((C443=TRUE)*(F443-Calc!F23))+((C447=TRUE)*(F447-Calc!F27)),Inputs!$B$18+0))/100)*((1+(((C437=TRUE)*F437)+((C444=TRUE)*(F444-Calc!F24)))/100)*I428)</f>
        <v/>
      </c>
      <c r="L428">
        <f>K428*(MIN(Inputs!$B$22+((C442=TRUE)*(F442-Calc!F22)),(Inputs!$B$23+1)+0)/100+((Inputs!$B$23+1)+0)/100)/2</f>
        <v/>
      </c>
      <c r="M428">
        <f>L428*(1+(Inputs!$B$10+((C445=TRUE)*(F445-Calc!F25))+B455)/100)</f>
        <v/>
      </c>
      <c r="N428">
        <f>L428*(1-MIN((Inputs!$B$9+((C439=TRUE)*(F439-Calc!F19))+B450),100)/100)+M428*(MIN((Inputs!$B$9+((C439=TRUE)*(F439-Calc!F19))+B450),100)/100)</f>
        <v/>
      </c>
      <c r="O428">
        <f>(1-Summary!$B$55)*T428+Summary!$B$55*V428</f>
        <v/>
      </c>
      <c r="P428">
        <f>IF(B460=0,0,O428/B460)</f>
        <v/>
      </c>
      <c r="Q428">
        <f>IFERROR(1/IF(Inputs!$B$38="pvp",15,MAX(0.1,Skills!D8-IF(Skills!E8=TRUE,Inputs!$B$32,0))),0)</f>
        <v/>
      </c>
      <c r="R428">
        <f>IF(AND(Inputs!$B$38&lt;&gt;"pvp",Inputs!$B$43&gt;0),IF(MAX(0,Inputs!$B$43-B457)&lt;=0,0,(INT(MAX(0,Inputs!$B$43-B457)/IF(Inputs!$B$38="pvp",15,MAX(0.1,Skills!D8-IF(Skills!E8=TRUE,Inputs!$B$32,0))))+1)),0)</f>
        <v/>
      </c>
      <c r="S428">
        <f>IFERROR(O428/N428,0)</f>
        <v/>
      </c>
      <c r="T428">
        <f>IF(C428,(H428*N428*IF(AND(Inputs!$B$38&lt;&gt;"pvp",Inputs!$B$43&gt;0),((Skills!G8*((R428-1)*IF(Skills!H8&gt;0,Skills!I8/Skills!H8,1)+IF(Skills!H8&gt;0,MIN(Skills!I8,MAX(0,MAX(0,Inputs!$B$43-B457)-((R428-1)*IF(Inputs!$B$38="pvp",15,MAX(0.1,Skills!D8-IF(Skills!E8=TRUE,Inputs!$B$32,0))))))/Skills!H8,1)))/Inputs!$B$43),G428*Q428))*IF(Inputs!$B$38="pvp",1,1+(Inputs!$B$20+0+Skills!P8)/100),0)</f>
        <v/>
      </c>
      <c r="V428">
        <f>IF(C428,(H428*N428*IF(AND(Inputs!$B$38&lt;&gt;"pvp",Inputs!$B$43&gt;0),((Skills!G8*((R428-1)*IF(Skills!H8&gt;0,Skills!I8/Skills!H8,1)+IF(Skills!H8&gt;0,MIN(Skills!I8,MAX(0,MAX(0,Inputs!$B$43-B457)-((R428-1)*IF(Inputs!$B$38="pvp",15,MAX(0.1,Skills!D8-IF(Skills!E8=TRUE,Inputs!$B$32,0))))))/Skills!H8,1)))/Inputs!$B$43),G428*Q428))*IF(Inputs!$B$38="pvp",1,(1+(Inputs!$B$21+Skills!Q8)/100)*(MIN(Skills!R8,Inputs!$B$37))),0)</f>
        <v/>
      </c>
    </row>
    <row r="429">
      <c r="A429">
        <f>Skills!A9</f>
        <v/>
      </c>
      <c r="B429">
        <f>Skills!B9</f>
        <v/>
      </c>
      <c r="C429">
        <f>Inputs!$B$3&gt;=103</f>
        <v/>
      </c>
      <c r="D429">
        <f>IF(Skills!C9=1,60+Inputs!$B$25+Inputs!$B$29,IF(Skills!C9=2,90+Inputs!$B$26+Inputs!$B$29,IF(Skills!C9=3,120+Inputs!$B$27+Inputs!$B$29,MAX(0,(Inputs!$B$3-100)*3)+Inputs!$B$28+Inputs!$B$29)))</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((Inputs!$B$6*(1+Inputs!$B$7/100))+(((Inputs!$B$12*(1+Inputs!$B$13/100))-(Inputs!$B$12*(1+Inputs!$B$13/100)))+0.25*(Inputs!$B$14-Inputs!$B$14))*(1+Inputs!$B$7/100))*(F429/100)</f>
        <v/>
      </c>
      <c r="K429">
        <f>J429*(1+((Inputs!$B$12*(1+Inputs!$B$13/100))*0.01+Inputs!$B$14*0.0025)/100)*(1+Inputs!$B$15/100)*(1+Inputs!$B$16/100)*(5000/(6000+Inputs!$B$42*(1-(Inputs!$B$19+0)/100)))*(1+(Inputs!$B$24+((C446=TRUE)*(F446-Calc!F26))+B456)/100)*(1+(IF(Skills!A9="EIGHT_LEGS_EASTON",Inputs!$B$17+((C443=TRUE)*(F443-Calc!F23))+((C447=TRUE)*(F447-Calc!F27)),Inputs!$B$18+0))/100)*((1+(((C437=TRUE)*F437)+((C444=TRUE)*(F444-Calc!F24)))/100)*I429)</f>
        <v/>
      </c>
      <c r="L429">
        <f>K429*(MIN(Inputs!$B$22+((C442=TRUE)*(F442-Calc!F22)),(Inputs!$B$23+1)+0)/100+((Inputs!$B$23+1)+0)/100)/2</f>
        <v/>
      </c>
      <c r="M429">
        <f>L429*(1+(Inputs!$B$10+((C445=TRUE)*(F445-Calc!F25))+B455)/100)</f>
        <v/>
      </c>
      <c r="N429">
        <f>L429*(1-MIN((Inputs!$B$9+((C439=TRUE)*(F439-Calc!F19))+B450),100)/100)+M429*(MIN((Inputs!$B$9+((C439=TRUE)*(F439-Calc!F19))+B450),100)/100)</f>
        <v/>
      </c>
      <c r="O429">
        <f>(1-Summary!$B$55)*T429+Summary!$B$55*V429</f>
        <v/>
      </c>
      <c r="P429">
        <f>IF(B460=0,0,O429/B460)</f>
        <v/>
      </c>
      <c r="Q429">
        <f>IFERROR(1/IF(Inputs!$B$38="pvp",15,MAX(0.1,Skills!D9-IF(Skills!E9=TRUE,Inputs!$B$32,0))),0)</f>
        <v/>
      </c>
      <c r="R429">
        <f>IF(AND(Inputs!$B$38&lt;&gt;"pvp",Inputs!$B$43&gt;0),IF(MAX(0,Inputs!$B$43-B457)&lt;=0,0,(INT(MAX(0,Inputs!$B$43-B457)/IF(Inputs!$B$38="pvp",15,MAX(0.1,Skills!D9-IF(Skills!E9=TRUE,Inputs!$B$32,0))))+1)),0)</f>
        <v/>
      </c>
      <c r="S429">
        <f>IFERROR(O429/N429,0)</f>
        <v/>
      </c>
      <c r="T429">
        <f>IF(C429,(H429*N429*IF(AND(Inputs!$B$38&lt;&gt;"pvp",Inputs!$B$43&gt;0),((Skills!G9*((R429-1)*IF(Skills!H9&gt;0,Skills!I9/Skills!H9,1)+IF(Skills!H9&gt;0,MIN(Skills!I9,MAX(0,MAX(0,Inputs!$B$43-B457)-((R429-1)*IF(Inputs!$B$38="pvp",15,MAX(0.1,Skills!D9-IF(Skills!E9=TRUE,Inputs!$B$32,0))))))/Skills!H9,1)))/Inputs!$B$43),G429*Q429))*IF(Inputs!$B$38="pvp",1,1+(Inputs!$B$20+0+Skills!P9)/100),0)</f>
        <v/>
      </c>
      <c r="V429">
        <f>IF(C429,(H429*N429*IF(AND(Inputs!$B$38&lt;&gt;"pvp",Inputs!$B$43&gt;0),((Skills!G9*((R429-1)*IF(Skills!H9&gt;0,Skills!I9/Skills!H9,1)+IF(Skills!H9&gt;0,MIN(Skills!I9,MAX(0,MAX(0,Inputs!$B$43-B457)-((R429-1)*IF(Inputs!$B$38="pvp",15,MAX(0.1,Skills!D9-IF(Skills!E9=TRUE,Inputs!$B$32,0))))))/Skills!H9,1)))/Inputs!$B$43),G429*Q429))*IF(Inputs!$B$38="pvp",1,(1+(Inputs!$B$21+Skills!Q9)/100)*(MIN(Skills!R9,Inputs!$B$37))),0)</f>
        <v/>
      </c>
    </row>
    <row r="430">
      <c r="A430">
        <f>Skills!A10</f>
        <v/>
      </c>
      <c r="B430">
        <f>Skills!B10</f>
        <v/>
      </c>
      <c r="C430">
        <f>Inputs!$B$3&gt;=113</f>
        <v/>
      </c>
      <c r="D430">
        <f>IF(Skills!C10=1,60+Inputs!$B$25+Inputs!$B$29,IF(Skills!C10=2,90+Inputs!$B$26+Inputs!$B$29,IF(Skills!C10=3,120+Inputs!$B$27+Inputs!$B$29,MAX(0,(Inputs!$B$3-100)*3)+Inputs!$B$28+Inputs!$B$29)))</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f>((Inputs!$B$6*(1+Inputs!$B$7/100))+(((Inputs!$B$12*(1+Inputs!$B$13/100))-(Inputs!$B$12*(1+Inputs!$B$13/100)))+0.25*(Inputs!$B$14-Inputs!$B$14))*(1+Inputs!$B$7/100))*(F430/100)</f>
        <v/>
      </c>
      <c r="K430">
        <f>J430*(1+((Inputs!$B$12*(1+Inputs!$B$13/100))*0.01+Inputs!$B$14*0.0025)/100)*(1+Inputs!$B$15/100)*(1+Inputs!$B$16/100)*(5000/(6000+Inputs!$B$42*(1-(Inputs!$B$19+0)/100)))*(1+(Inputs!$B$24+((C446=TRUE)*(F446-Calc!F26))+B456)/100)*(1+(IF(Skills!A10="EIGHT_LEGS_EASTON",Inputs!$B$17+((C443=TRUE)*(F443-Calc!F23))+((C447=TRUE)*(F447-Calc!F27)),Inputs!$B$18+0))/100)*((1+(((C437=TRUE)*F437)+((C444=TRUE)*(F444-Calc!F24)))/100)*I430)</f>
        <v/>
      </c>
      <c r="L430">
        <f>K430*(MIN(Inputs!$B$22+((C442=TRUE)*(F442-Calc!F22)),(Inputs!$B$23+1)+0)/100+((Inputs!$B$23+1)+0)/100)/2</f>
        <v/>
      </c>
      <c r="M430">
        <f>L430*(1+(Inputs!$B$10+((C445=TRUE)*(F445-Calc!F25))+B455)/100)</f>
        <v/>
      </c>
      <c r="N430">
        <f>L430*(1-MIN((Inputs!$B$9+((C439=TRUE)*(F439-Calc!F19))+B450),100)/100)+M430*(MIN((Inputs!$B$9+((C439=TRUE)*(F439-Calc!F19))+B450),100)/100)</f>
        <v/>
      </c>
      <c r="O430">
        <f>(1-Summary!$B$55)*T430+Summary!$B$55*V430</f>
        <v/>
      </c>
      <c r="P430">
        <f>IF(B460=0,0,O430/B460)</f>
        <v/>
      </c>
      <c r="Q430">
        <f>IFERROR(1/IF(Inputs!$B$38="pvp",15,MAX(0.1,Skills!D10-IF(Skills!E10=TRUE,Inputs!$B$32,0))),0)</f>
        <v/>
      </c>
      <c r="R430">
        <f>IF(AND(Inputs!$B$38&lt;&gt;"pvp",Inputs!$B$43&gt;0),IF(MAX(0,Inputs!$B$43-B457)&lt;=0,0,(INT(MAX(0,Inputs!$B$43-B457)/IF(Inputs!$B$38="pvp",15,MAX(0.1,Skills!D10-IF(Skills!E10=TRUE,Inputs!$B$32,0))))+1)),0)</f>
        <v/>
      </c>
      <c r="S430">
        <f>IFERROR(O430/N430,0)</f>
        <v/>
      </c>
      <c r="T430">
        <f>IF(C430,(H430*N430*IF(AND(Inputs!$B$38&lt;&gt;"pvp",Inputs!$B$43&gt;0),((Skills!G10*((R430-1)*IF(Skills!H10&gt;0,Skills!I10/Skills!H10,1)+IF(Skills!H10&gt;0,MIN(Skills!I10,MAX(0,MAX(0,Inputs!$B$43-B457)-((R430-1)*IF(Inputs!$B$38="pvp",15,MAX(0.1,Skills!D10-IF(Skills!E10=TRUE,Inputs!$B$32,0))))))/Skills!H10,1)))/Inputs!$B$43),G430*Q430))*IF(Inputs!$B$38="pvp",1,1+(Inputs!$B$20+0+Skills!P10)/100),0)</f>
        <v/>
      </c>
      <c r="V430">
        <f>IF(C430,(H430*N430*IF(AND(Inputs!$B$38&lt;&gt;"pvp",Inputs!$B$43&gt;0),((Skills!G10*((R430-1)*IF(Skills!H10&gt;0,Skills!I10/Skills!H10,1)+IF(Skills!H10&gt;0,MIN(Skills!I10,MAX(0,MAX(0,Inputs!$B$43-B457)-((R430-1)*IF(Inputs!$B$38="pvp",15,MAX(0.1,Skills!D10-IF(Skills!E10=TRUE,Inputs!$B$32,0))))))/Skills!H10,1)))/Inputs!$B$43),G430*Q430))*IF(Inputs!$B$38="pvp",1,(1+(Inputs!$B$21+Skills!Q10)/100)*(MIN(Skills!R10,Inputs!$B$37))),0)</f>
        <v/>
      </c>
    </row>
    <row r="431">
      <c r="A431">
        <f>Skills!A11</f>
        <v/>
      </c>
      <c r="B431">
        <f>Skills!B11</f>
        <v/>
      </c>
      <c r="C431">
        <f>Inputs!$B$3&gt;=107</f>
        <v/>
      </c>
      <c r="D431">
        <f>IF(Skills!C11=1,60+Inputs!$B$25+Inputs!$B$29,IF(Skills!C11=2,90+Inputs!$B$26+Inputs!$B$29,IF(Skills!C11=3,120+Inputs!$B$27+Inputs!$B$29,MAX(0,(Inputs!$B$3-100)*3)+Inputs!$B$28+Inputs!$B$29)))</f>
        <v/>
      </c>
      <c r="E431">
        <f>INDEX(FactorTable!$B$2:$Y$301, MATCH(ROUND(MIN(300,MAX(1,D431)),0), FactorTable!$A$2:$A$301,0), Skills!M11+1)</f>
        <v/>
      </c>
      <c r="F431">
        <f>IF(Skills!N11=TRUE,(Skills!L11/10)*(E431/1000),Skills!L11/10)+Skills!O11</f>
        <v/>
      </c>
      <c r="G431">
        <f>Skills!G11*IF(Skills!H11&gt;0,Skills!I11/Skills!H11,1)</f>
        <v/>
      </c>
      <c r="H431">
        <f>1-(1-Skills!J11/100)^Skills!K11</f>
        <v/>
      </c>
      <c r="I431" t="inlineStr">
        <is>
          <t>1</t>
        </is>
      </c>
      <c r="J431">
        <f>((Inputs!$B$6*(1+Inputs!$B$7/100))+(((Inputs!$B$12*(1+Inputs!$B$13/100))-(Inputs!$B$12*(1+Inputs!$B$13/100)))+0.25*(Inputs!$B$14-Inputs!$B$14))*(1+Inputs!$B$7/100))*(F431/100)</f>
        <v/>
      </c>
      <c r="K431">
        <f>J431*(1+((Inputs!$B$12*(1+Inputs!$B$13/100))*0.01+Inputs!$B$14*0.0025)/100)*(1+Inputs!$B$15/100)*(1+Inputs!$B$16/100)*(5000/(6000+Inputs!$B$42*(1-(Inputs!$B$19+0)/100)))*(1+(Inputs!$B$24+((C446=TRUE)*(F446-Calc!F26))+B456)/100)*(1+(IF(Skills!A11="EIGHT_LEGS_EASTON",Inputs!$B$17+((C443=TRUE)*(F443-Calc!F23))+((C447=TRUE)*(F447-Calc!F27)),Inputs!$B$18+0))/100)*((1+(((C437=TRUE)*F437)+((C444=TRUE)*(F444-Calc!F24)))/100)*I431)</f>
        <v/>
      </c>
      <c r="L431">
        <f>K431*(MIN(Inputs!$B$22+((C442=TRUE)*(F442-Calc!F22)),(Inputs!$B$23+1)+0)/100+((Inputs!$B$23+1)+0)/100)/2</f>
        <v/>
      </c>
      <c r="M431">
        <f>L431*(1+(Inputs!$B$10+((C445=TRUE)*(F445-Calc!F25))+B455)/100)</f>
        <v/>
      </c>
      <c r="N431">
        <f>L431*(1-MIN((Inputs!$B$9+((C439=TRUE)*(F439-Calc!F19))+B450),100)/100)+M431*(MIN((Inputs!$B$9+((C439=TRUE)*(F439-Calc!F19))+B450),100)/100)</f>
        <v/>
      </c>
      <c r="O431">
        <f>(1-Summary!$B$55)*T431+Summary!$B$55*V431</f>
        <v/>
      </c>
      <c r="P431">
        <f>IF(B460=0,0,O431/B460)</f>
        <v/>
      </c>
      <c r="Q431">
        <f>IFERROR(1/IF(Inputs!$B$38="pvp",15,MAX(0.1,Skills!D11-IF(Skills!E11=TRUE,Inputs!$B$32,0))),0)</f>
        <v/>
      </c>
      <c r="R431">
        <f>IF(AND(Inputs!$B$38&lt;&gt;"pvp",Inputs!$B$43&gt;0),IF(MAX(0,Inputs!$B$43-B457)&lt;=0,0,(INT(MAX(0,Inputs!$B$43-B457)/IF(Inputs!$B$38="pvp",15,MAX(0.1,Skills!D11-IF(Skills!E11=TRUE,Inputs!$B$32,0))))+1)),0)</f>
        <v/>
      </c>
      <c r="S431">
        <f>IFERROR(O431/N431,0)</f>
        <v/>
      </c>
      <c r="T431">
        <f>IF(C431,(H431*N431*IF(AND(Inputs!$B$38&lt;&gt;"pvp",Inputs!$B$43&gt;0),((Skills!G11*((R431-1)*IF(Skills!H11&gt;0,Skills!I11/Skills!H11,1)+IF(Skills!H11&gt;0,MIN(Skills!I11,MAX(0,MAX(0,Inputs!$B$43-B457)-((R431-1)*IF(Inputs!$B$38="pvp",15,MAX(0.1,Skills!D11-IF(Skills!E11=TRUE,Inputs!$B$32,0))))))/Skills!H11,1)))/Inputs!$B$43),G431*Q431))*IF(Inputs!$B$38="pvp",1,1+(Inputs!$B$20+0+Skills!P11)/100),0)</f>
        <v/>
      </c>
      <c r="V431">
        <f>IF(C431,(H431*N431*IF(AND(Inputs!$B$38&lt;&gt;"pvp",Inputs!$B$43&gt;0),((Skills!G11*((R431-1)*IF(Skills!H11&gt;0,Skills!I11/Skills!H11,1)+IF(Skills!H11&gt;0,MIN(Skills!I11,MAX(0,MAX(0,Inputs!$B$43-B457)-((R431-1)*IF(Inputs!$B$38="pvp",15,MAX(0.1,Skills!D11-IF(Skills!E11=TRUE,Inputs!$B$32,0))))))/Skills!H11,1)))/Inputs!$B$43),G431*Q431))*IF(Inputs!$B$38="pvp",1,(1+(Inputs!$B$21+Skills!Q11)/100)*(MIN(Skills!R11,Inputs!$B$37))),0)</f>
        <v/>
      </c>
    </row>
    <row r="432">
      <c r="A432">
        <f>Skills!A12</f>
        <v/>
      </c>
      <c r="B432">
        <f>Skills!B12</f>
        <v/>
      </c>
      <c r="C432">
        <f>Inputs!$B$3&gt;=110</f>
        <v/>
      </c>
      <c r="D432">
        <f>IF(Skills!C12=1,60+Inputs!$B$25+Inputs!$B$29,IF(Skills!C12=2,90+Inputs!$B$26+Inputs!$B$29,IF(Skills!C12=3,120+Inputs!$B$27+Inputs!$B$29,MAX(0,(Inputs!$B$3-100)*3)+Inputs!$B$28+Inputs!$B$29)))</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f>((Inputs!$B$6*(1+Inputs!$B$7/100))+(((Inputs!$B$12*(1+Inputs!$B$13/100))-(Inputs!$B$12*(1+Inputs!$B$13/100)))+0.25*(Inputs!$B$14-Inputs!$B$14))*(1+Inputs!$B$7/100))*(F432/100)</f>
        <v/>
      </c>
      <c r="K432">
        <f>J432*(1+((Inputs!$B$12*(1+Inputs!$B$13/100))*0.01+Inputs!$B$14*0.0025)/100)*(1+Inputs!$B$15/100)*(1+Inputs!$B$16/100)*(5000/(6000+Inputs!$B$42*(1-(Inputs!$B$19+0)/100)))*(1+(Inputs!$B$24+((C446=TRUE)*(F446-Calc!F26))+B456)/100)*(1+(IF(Skills!A12="EIGHT_LEGS_EASTON",Inputs!$B$17+((C443=TRUE)*(F443-Calc!F23))+((C447=TRUE)*(F447-Calc!F27)),Inputs!$B$18+0))/100)*((1+(((C437=TRUE)*F437)+((C444=TRUE)*(F444-Calc!F24)))/100)*I432)</f>
        <v/>
      </c>
      <c r="L432">
        <f>K432*(MIN(Inputs!$B$22+((C442=TRUE)*(F442-Calc!F22)),(Inputs!$B$23+1)+0)/100+((Inputs!$B$23+1)+0)/100)/2</f>
        <v/>
      </c>
      <c r="M432">
        <f>L432*(1+(Inputs!$B$10+((C445=TRUE)*(F445-Calc!F25))+B455)/100)</f>
        <v/>
      </c>
      <c r="N432">
        <f>L432*(1-MIN((Inputs!$B$9+((C439=TRUE)*(F439-Calc!F19))+B450),100)/100)+M432*(MIN((Inputs!$B$9+((C439=TRUE)*(F439-Calc!F19))+B450),100)/100)</f>
        <v/>
      </c>
      <c r="O432">
        <f>(1-Summary!$B$55)*T432+Summary!$B$55*V432</f>
        <v/>
      </c>
      <c r="P432">
        <f>IF(B460=0,0,O432/B460)</f>
        <v/>
      </c>
      <c r="Q432">
        <f>IFERROR(1/IF(Inputs!$B$38="pvp",15,MAX(0.1,Skills!D12-IF(Skills!E12=TRUE,Inputs!$B$32,0))),0)</f>
        <v/>
      </c>
      <c r="R432">
        <f>IF(AND(Inputs!$B$38&lt;&gt;"pvp",Inputs!$B$43&gt;0),IF(MAX(0,Inputs!$B$43-B457)&lt;=0,0,(INT(MAX(0,Inputs!$B$43-B457)/IF(Inputs!$B$38="pvp",15,MAX(0.1,Skills!D12-IF(Skills!E12=TRUE,Inputs!$B$32,0))))+1)),0)</f>
        <v/>
      </c>
      <c r="S432">
        <f>IFERROR(O432/N432,0)</f>
        <v/>
      </c>
      <c r="T432">
        <f>IF(C432,(H432*N432*IF(AND(Inputs!$B$38&lt;&gt;"pvp",Inputs!$B$43&gt;0),((Skills!G12*((R432-1)*IF(Skills!H12&gt;0,Skills!I12/Skills!H12,1)+IF(Skills!H12&gt;0,MIN(Skills!I12,MAX(0,MAX(0,Inputs!$B$43-B457)-((R432-1)*IF(Inputs!$B$38="pvp",15,MAX(0.1,Skills!D12-IF(Skills!E12=TRUE,Inputs!$B$32,0))))))/Skills!H12,1)))/Inputs!$B$43),G432*Q432))*IF(Inputs!$B$38="pvp",1,1+(Inputs!$B$20+0+Skills!P12)/100),0)</f>
        <v/>
      </c>
      <c r="V432">
        <f>IF(C432,(H432*N432*IF(AND(Inputs!$B$38&lt;&gt;"pvp",Inputs!$B$43&gt;0),((Skills!G12*((R432-1)*IF(Skills!H12&gt;0,Skills!I12/Skills!H12,1)+IF(Skills!H12&gt;0,MIN(Skills!I12,MAX(0,MAX(0,Inputs!$B$43-B457)-((R432-1)*IF(Inputs!$B$38="pvp",15,MAX(0.1,Skills!D12-IF(Skills!E12=TRUE,Inputs!$B$32,0))))))/Skills!H12,1)))/Inputs!$B$43),G432*Q432))*IF(Inputs!$B$38="pvp",1,(1+(Inputs!$B$21+Skills!Q12)/100)*(MIN(Skills!R12,Inputs!$B$37))),0)</f>
        <v/>
      </c>
    </row>
    <row r="433">
      <c r="A433">
        <f>Skills!A13</f>
        <v/>
      </c>
      <c r="B433">
        <f>Skills!B13</f>
        <v/>
      </c>
      <c r="C433">
        <f>Inputs!$B$3&gt;=110</f>
        <v/>
      </c>
      <c r="D433">
        <f>IF(Skills!C13=1,60+Inputs!$B$25+Inputs!$B$29,IF(Skills!C13=2,90+Inputs!$B$26+Inputs!$B$29,IF(Skills!C13=3,120+Inputs!$B$27+Inputs!$B$29,MAX(0,(Inputs!$B$3-100)*3)+Inputs!$B$28+Inputs!$B$29)))</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f>((Inputs!$B$6*(1+Inputs!$B$7/100))+(((Inputs!$B$12*(1+Inputs!$B$13/100))-(Inputs!$B$12*(1+Inputs!$B$13/100)))+0.25*(Inputs!$B$14-Inputs!$B$14))*(1+Inputs!$B$7/100))*(F433/100)</f>
        <v/>
      </c>
      <c r="K433">
        <f>J433*(1+((Inputs!$B$12*(1+Inputs!$B$13/100))*0.01+Inputs!$B$14*0.0025)/100)*(1+Inputs!$B$15/100)*(1+Inputs!$B$16/100)*(5000/(6000+Inputs!$B$42*(1-(Inputs!$B$19+0)/100)))*(1+(Inputs!$B$24+((C446=TRUE)*(F446-Calc!F26))+B456)/100)*(1+(IF(Skills!A13="EIGHT_LEGS_EASTON",Inputs!$B$17+((C443=TRUE)*(F443-Calc!F23))+((C447=TRUE)*(F447-Calc!F27)),Inputs!$B$18+0))/100)*((1+(((C437=TRUE)*F437)+((C444=TRUE)*(F444-Calc!F24)))/100)*I433)</f>
        <v/>
      </c>
      <c r="L433">
        <f>K433*(MIN(Inputs!$B$22+((C442=TRUE)*(F442-Calc!F22)),(Inputs!$B$23+1)+0)/100+((Inputs!$B$23+1)+0)/100)/2</f>
        <v/>
      </c>
      <c r="M433">
        <f>L433*(1+(Inputs!$B$10+((C445=TRUE)*(F445-Calc!F25))+B455)/100)</f>
        <v/>
      </c>
      <c r="N433">
        <f>L433*(1-MIN((Inputs!$B$9+((C439=TRUE)*(F439-Calc!F19))+B450),100)/100)+M433*(MIN((Inputs!$B$9+((C439=TRUE)*(F439-Calc!F19))+B450),100)/100)</f>
        <v/>
      </c>
      <c r="O433">
        <f>(1-Summary!$B$55)*T433+Summary!$B$55*V433</f>
        <v/>
      </c>
      <c r="P433">
        <f>IF(B460=0,0,O433/B460)</f>
        <v/>
      </c>
      <c r="Q433">
        <f>IFERROR(1/IF(Inputs!$B$38="pvp",15,MAX(0.1,Skills!D13-IF(Skills!E13=TRUE,Inputs!$B$32,0))),0)</f>
        <v/>
      </c>
      <c r="R433">
        <f>IF(AND(Inputs!$B$38&lt;&gt;"pvp",Inputs!$B$43&gt;0),IF(MAX(0,Inputs!$B$43-B457)&lt;=0,0,(INT(MAX(0,Inputs!$B$43-B457)/IF(Inputs!$B$38="pvp",15,MAX(0.1,Skills!D13-IF(Skills!E13=TRUE,Inputs!$B$32,0))))+1)),0)</f>
        <v/>
      </c>
      <c r="S433">
        <f>IFERROR(O433/N433,0)</f>
        <v/>
      </c>
      <c r="T433">
        <f>IF(C433,(H433*N433*IF(AND(Inputs!$B$38&lt;&gt;"pvp",Inputs!$B$43&gt;0),((Skills!G13*((R433-1)*IF(Skills!H13&gt;0,Skills!I13/Skills!H13,1)+IF(Skills!H13&gt;0,MIN(Skills!I13,MAX(0,MAX(0,Inputs!$B$43-B457)-((R433-1)*IF(Inputs!$B$38="pvp",15,MAX(0.1,Skills!D13-IF(Skills!E13=TRUE,Inputs!$B$32,0))))))/Skills!H13,1)))/Inputs!$B$43),G433*Q433))*IF(Inputs!$B$38="pvp",1,1+(Inputs!$B$20+0+Skills!P13)/100),0)</f>
        <v/>
      </c>
      <c r="V433">
        <f>IF(C433,(H433*N433*IF(AND(Inputs!$B$38&lt;&gt;"pvp",Inputs!$B$43&gt;0),((Skills!G13*((R433-1)*IF(Skills!H13&gt;0,Skills!I13/Skills!H13,1)+IF(Skills!H13&gt;0,MIN(Skills!I13,MAX(0,MAX(0,Inputs!$B$43-B457)-((R433-1)*IF(Inputs!$B$38="pvp",15,MAX(0.1,Skills!D13-IF(Skills!E13=TRUE,Inputs!$B$32,0))))))/Skills!H13,1)))/Inputs!$B$43),G433*Q433))*IF(Inputs!$B$38="pvp",1,(1+(Inputs!$B$21+Skills!Q13)/100)*(MIN(Skills!R13,Inputs!$B$37))),0)</f>
        <v/>
      </c>
    </row>
    <row r="434">
      <c r="A434">
        <f>Skills!A14</f>
        <v/>
      </c>
      <c r="B434">
        <f>Skills!B14</f>
        <v/>
      </c>
      <c r="C434">
        <f>Inputs!$B$3&gt;=125</f>
        <v/>
      </c>
      <c r="D434">
        <f>IF(Skills!C14=1,60+Inputs!$B$25+Inputs!$B$29,IF(Skills!C14=2,90+Inputs!$B$26+Inputs!$B$29,IF(Skills!C14=3,120+Inputs!$B$27+Inputs!$B$29,MAX(0,(Inputs!$B$3-100)*3)+Inputs!$B$28+Inputs!$B$29)))</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f>((Inputs!$B$6*(1+Inputs!$B$7/100))+(((Inputs!$B$12*(1+Inputs!$B$13/100))-(Inputs!$B$12*(1+Inputs!$B$13/100)))+0.25*(Inputs!$B$14-Inputs!$B$14))*(1+Inputs!$B$7/100))*(F434/100)</f>
        <v/>
      </c>
      <c r="K434">
        <f>J434*(1+((Inputs!$B$12*(1+Inputs!$B$13/100))*0.01+Inputs!$B$14*0.0025)/100)*(1+Inputs!$B$15/100)*(1+Inputs!$B$16/100)*(5000/(6000+Inputs!$B$42*(1-(Inputs!$B$19+0)/100)))*(1+(Inputs!$B$24+((C446=TRUE)*(F446-Calc!F26))+B456)/100)*(1+(IF(Skills!A14="EIGHT_LEGS_EASTON",Inputs!$B$17+((C443=TRUE)*(F443-Calc!F23))+((C447=TRUE)*(F447-Calc!F27)),Inputs!$B$18+0))/100)*((1+(((C437=TRUE)*F437)+((C444=TRUE)*(F444-Calc!F24)))/100)*I434)</f>
        <v/>
      </c>
      <c r="L434">
        <f>K434*(MIN(Inputs!$B$22+((C442=TRUE)*(F442-Calc!F22)),(Inputs!$B$23+1)+0)/100+((Inputs!$B$23+1)+0)/100)/2</f>
        <v/>
      </c>
      <c r="M434">
        <f>L434*(1+(Inputs!$B$10+((C445=TRUE)*(F445-Calc!F25))+B455)/100)</f>
        <v/>
      </c>
      <c r="N434">
        <f>L434*(1-MIN((Inputs!$B$9+((C439=TRUE)*(F439-Calc!F19))+B450),100)/100)+M434*(MIN((Inputs!$B$9+((C439=TRUE)*(F439-Calc!F19))+B450),100)/100)</f>
        <v/>
      </c>
      <c r="O434">
        <f>(1-Summary!$B$55)*T434+Summary!$B$55*V434</f>
        <v/>
      </c>
      <c r="P434">
        <f>IF(B460=0,0,O434/B460)</f>
        <v/>
      </c>
      <c r="Q434" t="n">
        <v>0</v>
      </c>
      <c r="R434" t="n">
        <v>0</v>
      </c>
      <c r="S434">
        <f>IFERROR(O434/N434,0)</f>
        <v/>
      </c>
      <c r="T434">
        <f>IF(C434,(H434*N434*(B454+IF(AND(Inputs!$B$38&lt;&gt;"pvp",Inputs!$B$43&gt;0),((Skills!G8*((R428-1)*IF(Skills!H8&gt;0,Skills!I8/Skills!H8,1)+IF(Skills!H8&gt;0,MIN(Skills!I8,MAX(0,MAX(0,Inputs!$B$43-B457)-((R428-1)*IF(Inputs!$B$38="pvp",15,MAX(0.1,Skills!D8-IF(Skills!E8=TRUE,Inputs!$B$32,0))))))/Skills!H8,1)))/Inputs!$B$43),G428*Q428)+IF(AND(Inputs!$B$38&lt;&gt;"pvp",Inputs!$B$43&gt;0),((Skills!G11*((R431-1)*IF(Skills!H11&gt;0,Skills!I11/Skills!H11,1)+IF(Skills!H11&gt;0,MIN(Skills!I11,MAX(0,MAX(0,Inputs!$B$43-B457)-((R431-1)*IF(Inputs!$B$38="pvp",15,MAX(0.1,Skills!D11-IF(Skills!E11=TRUE,Inputs!$B$32,0))))))/Skills!H11,1)))/Inputs!$B$43),G431*Q431)))*IF(Inputs!$B$38="pvp",1,1+(Inputs!$B$20+0+Skills!P14)/100),0)</f>
        <v/>
      </c>
      <c r="V434">
        <f>IF(C434,(H434*N434*(B454+IF(AND(Inputs!$B$38&lt;&gt;"pvp",Inputs!$B$43&gt;0),((Skills!G8*((R428-1)*IF(Skills!H8&gt;0,Skills!I8/Skills!H8,1)+IF(Skills!H8&gt;0,MIN(Skills!I8,MAX(0,MAX(0,Inputs!$B$43-B457)-((R428-1)*IF(Inputs!$B$38="pvp",15,MAX(0.1,Skills!D8-IF(Skills!E8=TRUE,Inputs!$B$32,0))))))/Skills!H8,1)))/Inputs!$B$43),G428*Q428)+IF(AND(Inputs!$B$38&lt;&gt;"pvp",Inputs!$B$43&gt;0),((Skills!G11*((R431-1)*IF(Skills!H11&gt;0,Skills!I11/Skills!H11,1)+IF(Skills!H11&gt;0,MIN(Skills!I11,MAX(0,MAX(0,Inputs!$B$43-B457)-((R431-1)*IF(Inputs!$B$38="pvp",15,MAX(0.1,Skills!D11-IF(Skills!E11=TRUE,Inputs!$B$32,0))))))/Skills!H11,1)))/Inputs!$B$43),G431*Q431)))*IF(Inputs!$B$38="pvp",1,(1+(Inputs!$B$21+Skills!Q14)/100)*(MIN(Skills!R14,Inputs!$B$37))),0)</f>
        <v/>
      </c>
    </row>
    <row r="435">
      <c r="A435">
        <f>Skills!A15</f>
        <v/>
      </c>
      <c r="B435">
        <f>Skills!B15</f>
        <v/>
      </c>
      <c r="C435">
        <f>Inputs!$B$3&gt;=100</f>
        <v/>
      </c>
      <c r="D435">
        <f>IF(Skills!C15=1,60+Inputs!$B$25+Inputs!$B$29,IF(Skills!C15=2,90+Inputs!$B$26+Inputs!$B$29,IF(Skills!C15=3,120+Inputs!$B$27+Inputs!$B$29,MAX(0,(Inputs!$B$3-100)*3)+Inputs!$B$28+Inputs!$B$29)))</f>
        <v/>
      </c>
      <c r="E435">
        <f>INDEX(FactorTable!$B$2:$Y$301, MATCH(ROUND(MIN(300,MAX(1,D435)),0), FactorTable!$A$2:$A$301,0), Skills!M15+1)</f>
        <v/>
      </c>
      <c r="F435">
        <f>IF(Skills!N15=TRUE,(Skills!L15/10)*(E435/1000),Skills!L15/10)+Skills!O15</f>
        <v/>
      </c>
      <c r="G435" t="inlineStr"/>
      <c r="H435" t="inlineStr"/>
      <c r="I435" t="inlineStr">
        <is>
          <t>1</t>
        </is>
      </c>
      <c r="J435" t="inlineStr"/>
      <c r="K435" t="inlineStr"/>
      <c r="L435" t="inlineStr"/>
      <c r="M435" t="inlineStr"/>
      <c r="N435" t="inlineStr"/>
      <c r="O435" t="inlineStr"/>
      <c r="P435" t="inlineStr"/>
      <c r="Q435" t="inlineStr"/>
      <c r="R435" t="inlineStr"/>
      <c r="S435" t="inlineStr"/>
    </row>
    <row r="436">
      <c r="A436">
        <f>Skills!A16</f>
        <v/>
      </c>
      <c r="B436">
        <f>Skills!B16</f>
        <v/>
      </c>
      <c r="C436">
        <f>Inputs!$B$3&gt;=120</f>
        <v/>
      </c>
      <c r="D436">
        <f>IF(Skills!C16=1,60+Inputs!$B$25+Inputs!$B$29,IF(Skills!C16=2,90+Inputs!$B$26+Inputs!$B$29,IF(Skills!C16=3,120+Inputs!$B$27+Inputs!$B$29,MAX(0,(Inputs!$B$3-100)*3)+Inputs!$B$28+Inputs!$B$29)))</f>
        <v/>
      </c>
      <c r="E436">
        <f>INDEX(FactorTable!$B$2:$Y$301, MATCH(ROUND(MIN(300,MAX(1,D436)),0), FactorTable!$A$2:$A$301,0), Skills!M16+1)</f>
        <v/>
      </c>
      <c r="F436">
        <f>IF(Skills!N16=TRUE,(Skills!L16/10)*(E436/1000),Skills!L16/10)+Skills!O16</f>
        <v/>
      </c>
      <c r="G436" t="inlineStr"/>
      <c r="H436" t="inlineStr"/>
      <c r="I436" t="inlineStr">
        <is>
          <t>1</t>
        </is>
      </c>
      <c r="J436" t="inlineStr"/>
      <c r="K436" t="inlineStr"/>
      <c r="L436" t="inlineStr"/>
      <c r="M436" t="inlineStr"/>
      <c r="N436" t="inlineStr"/>
      <c r="O436" t="inlineStr"/>
      <c r="P436" t="inlineStr"/>
      <c r="Q436" t="inlineStr"/>
      <c r="R436" t="inlineStr"/>
      <c r="S436" t="inlineStr"/>
    </row>
    <row r="437">
      <c r="A437">
        <f>Skills!A17</f>
        <v/>
      </c>
      <c r="B437">
        <f>Skills!B17</f>
        <v/>
      </c>
      <c r="C437">
        <f>Inputs!$B$3&gt;=66</f>
        <v/>
      </c>
      <c r="D437">
        <f>IF(Skills!C17=1,60+Inputs!$B$25+Inputs!$B$29,IF(Skills!C17=2,90+Inputs!$B$26+Inputs!$B$29,IF(Skills!C17=3,120+Inputs!$B$27+Inputs!$B$29,MAX(0,(Inputs!$B$3-100)*3)+Inputs!$B$28+Inputs!$B$29)))</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f>(1-Summary!$B$55)*T437+Summary!$B$55*V437</f>
        <v/>
      </c>
      <c r="P437">
        <f>IF(B460=0,0,O437/B460)</f>
        <v/>
      </c>
      <c r="Q437" t="n">
        <v>0</v>
      </c>
      <c r="R437" t="n">
        <v>0</v>
      </c>
      <c r="S437">
        <f>IFERROR(O437/N437,0)</f>
        <v/>
      </c>
      <c r="T437" t="n">
        <v>0</v>
      </c>
      <c r="V437" t="n">
        <v>0</v>
      </c>
    </row>
    <row r="438">
      <c r="A438">
        <f>Skills!A18</f>
        <v/>
      </c>
      <c r="B438">
        <f>Skills!B18</f>
        <v/>
      </c>
      <c r="C438">
        <f>Inputs!$B$3&gt;=115</f>
        <v/>
      </c>
      <c r="D438">
        <f>IF(Skills!C18=1,60+Inputs!$B$25+Inputs!$B$29,IF(Skills!C18=2,90+Inputs!$B$26+Inputs!$B$29,IF(Skills!C18=3,120+Inputs!$B$27+Inputs!$B$29,MAX(0,(Inputs!$B$3-100)*3)+Inputs!$B$28+Inputs!$B$29)))</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f>(1-Summary!$B$55)*T438+Summary!$B$55*V438</f>
        <v/>
      </c>
      <c r="P438">
        <f>IF(B460=0,0,O438/B460)</f>
        <v/>
      </c>
      <c r="Q438" t="n">
        <v>0</v>
      </c>
      <c r="R438" t="n">
        <v>0</v>
      </c>
      <c r="S438">
        <f>IFERROR(O438/N438,0)</f>
        <v/>
      </c>
      <c r="T438" t="n">
        <v>0</v>
      </c>
      <c r="V438" t="n">
        <v>0</v>
      </c>
    </row>
    <row r="439">
      <c r="A439">
        <f>Skills!A19</f>
        <v/>
      </c>
      <c r="B439">
        <f>Skills!B19</f>
        <v/>
      </c>
      <c r="C439">
        <f>Inputs!$B$3&gt;=15</f>
        <v/>
      </c>
      <c r="D439">
        <f>IF(Skills!C19=1,60+Inputs!$B$25+Inputs!$B$29,IF(Skills!C19=2,90+Inputs!$B$26+Inputs!$B$29,IF(Skills!C19=3,120+Inputs!$B$27+Inputs!$B$29,MAX(0,(Inputs!$B$3-100)*3)+Inputs!$B$28+Inputs!$B$29)))</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f>(1-Summary!$B$55)*T439+Summary!$B$55*V439</f>
        <v/>
      </c>
      <c r="P439">
        <f>IF(B460=0,0,O439/B460)</f>
        <v/>
      </c>
      <c r="Q439" t="n">
        <v>0</v>
      </c>
      <c r="R439" t="n">
        <v>0</v>
      </c>
      <c r="S439">
        <f>IFERROR(O439/N439,0)</f>
        <v/>
      </c>
      <c r="T439" t="n">
        <v>0</v>
      </c>
      <c r="V439" t="n">
        <v>0</v>
      </c>
    </row>
    <row r="440">
      <c r="A440">
        <f>Skills!A20</f>
        <v/>
      </c>
      <c r="B440">
        <f>Skills!B20</f>
        <v/>
      </c>
      <c r="C440">
        <f>Inputs!$B$3&gt;=10</f>
        <v/>
      </c>
      <c r="D440">
        <f>IF(Skills!C20=1,60+Inputs!$B$25+Inputs!$B$29,IF(Skills!C20=2,90+Inputs!$B$26+Inputs!$B$29,IF(Skills!C20=3,120+Inputs!$B$27+Inputs!$B$29,MAX(0,(Inputs!$B$3-100)*3)+Inputs!$B$28+Inputs!$B$29)))</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f>(1-Summary!$B$55)*T440+Summary!$B$55*V440</f>
        <v/>
      </c>
      <c r="P440">
        <f>IF(B460=0,0,O440/B460)</f>
        <v/>
      </c>
      <c r="Q440" t="n">
        <v>0</v>
      </c>
      <c r="R440" t="n">
        <v>0</v>
      </c>
      <c r="S440">
        <f>IFERROR(O440/N440,0)</f>
        <v/>
      </c>
      <c r="T440" t="n">
        <v>0</v>
      </c>
      <c r="V440" t="n">
        <v>0</v>
      </c>
    </row>
    <row r="441">
      <c r="A441">
        <f>Skills!A21</f>
        <v/>
      </c>
      <c r="B441">
        <f>Skills!B21</f>
        <v/>
      </c>
      <c r="C441">
        <f>Inputs!$B$3&gt;=33</f>
        <v/>
      </c>
      <c r="D441">
        <f>IF(Skills!C21=1,60+Inputs!$B$25+Inputs!$B$29,IF(Skills!C21=2,90+Inputs!$B$26+Inputs!$B$29,IF(Skills!C21=3,120+Inputs!$B$27+Inputs!$B$29,MAX(0,(Inputs!$B$3-100)*3)+Inputs!$B$28+Inputs!$B$29)))</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f>(1-Summary!$B$55)*T441+Summary!$B$55*V441</f>
        <v/>
      </c>
      <c r="P441">
        <f>IF(B460=0,0,O441/B460)</f>
        <v/>
      </c>
      <c r="Q441" t="n">
        <v>0</v>
      </c>
      <c r="R441" t="n">
        <v>0</v>
      </c>
      <c r="S441">
        <f>IFERROR(O441/N441,0)</f>
        <v/>
      </c>
      <c r="T441" t="n">
        <v>0</v>
      </c>
      <c r="V441" t="n">
        <v>0</v>
      </c>
    </row>
    <row r="442">
      <c r="A442">
        <f>Skills!A22</f>
        <v/>
      </c>
      <c r="B442">
        <f>Skills!B22</f>
        <v/>
      </c>
      <c r="C442">
        <f>Inputs!$B$3&gt;=43</f>
        <v/>
      </c>
      <c r="D442">
        <f>IF(Skills!C22=1,60+Inputs!$B$25+Inputs!$B$29,IF(Skills!C22=2,90+Inputs!$B$26+Inputs!$B$29,IF(Skills!C22=3,120+Inputs!$B$27+Inputs!$B$29,MAX(0,(Inputs!$B$3-100)*3)+Inputs!$B$28+Inputs!$B$29)))</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f>(1-Summary!$B$55)*T442+Summary!$B$55*V442</f>
        <v/>
      </c>
      <c r="P442">
        <f>IF(B460=0,0,O442/B460)</f>
        <v/>
      </c>
      <c r="Q442" t="n">
        <v>0</v>
      </c>
      <c r="R442" t="n">
        <v>0</v>
      </c>
      <c r="S442">
        <f>IFERROR(O442/N442,0)</f>
        <v/>
      </c>
      <c r="T442" t="n">
        <v>0</v>
      </c>
      <c r="V442" t="n">
        <v>0</v>
      </c>
    </row>
    <row r="443">
      <c r="A443">
        <f>Skills!A23</f>
        <v/>
      </c>
      <c r="B443">
        <f>Skills!B23</f>
        <v/>
      </c>
      <c r="C443">
        <f>Inputs!$B$3&gt;=38</f>
        <v/>
      </c>
      <c r="D443">
        <f>IF(Skills!C23=1,60+Inputs!$B$25+Inputs!$B$29,IF(Skills!C23=2,90+Inputs!$B$26+Inputs!$B$29,IF(Skills!C23=3,120+Inputs!$B$27+Inputs!$B$29,MAX(0,(Inputs!$B$3-100)*3)+Inputs!$B$28+Inputs!$B$29)))</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f>(1-Summary!$B$55)*T443+Summary!$B$55*V443</f>
        <v/>
      </c>
      <c r="P443">
        <f>IF(B460=0,0,O443/B460)</f>
        <v/>
      </c>
      <c r="Q443" t="n">
        <v>0</v>
      </c>
      <c r="R443" t="n">
        <v>0</v>
      </c>
      <c r="S443">
        <f>IFERROR(O443/N443,0)</f>
        <v/>
      </c>
      <c r="T443" t="n">
        <v>0</v>
      </c>
      <c r="V443" t="n">
        <v>0</v>
      </c>
    </row>
    <row r="444">
      <c r="A444">
        <f>Skills!A24</f>
        <v/>
      </c>
      <c r="B444">
        <f>Skills!B24</f>
        <v/>
      </c>
      <c r="C444">
        <f>Inputs!$B$3&gt;=40</f>
        <v/>
      </c>
      <c r="D444">
        <f>IF(Skills!C24=1,60+Inputs!$B$25+Inputs!$B$29,IF(Skills!C24=2,90+Inputs!$B$26+Inputs!$B$29,IF(Skills!C24=3,120+Inputs!$B$27+Inputs!$B$29,MAX(0,(Inputs!$B$3-100)*3)+Inputs!$B$28+Inputs!$B$29)))</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f>(1-Summary!$B$55)*T444+Summary!$B$55*V444</f>
        <v/>
      </c>
      <c r="P444">
        <f>IF(B460=0,0,O444/B460)</f>
        <v/>
      </c>
      <c r="Q444" t="n">
        <v>0</v>
      </c>
      <c r="R444" t="n">
        <v>0</v>
      </c>
      <c r="S444">
        <f>IFERROR(O444/N444,0)</f>
        <v/>
      </c>
      <c r="T444" t="n">
        <v>0</v>
      </c>
      <c r="V444" t="n">
        <v>0</v>
      </c>
    </row>
    <row r="445">
      <c r="A445">
        <f>Skills!A25</f>
        <v/>
      </c>
      <c r="B445">
        <f>Skills!B25</f>
        <v/>
      </c>
      <c r="C445">
        <f>Inputs!$B$3&gt;=72</f>
        <v/>
      </c>
      <c r="D445">
        <f>IF(Skills!C25=1,60+Inputs!$B$25+Inputs!$B$29,IF(Skills!C25=2,90+Inputs!$B$26+Inputs!$B$29,IF(Skills!C25=3,120+Inputs!$B$27+Inputs!$B$29,MAX(0,(Inputs!$B$3-100)*3)+Inputs!$B$28+Inputs!$B$29)))</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f>(1-Summary!$B$55)*T445+Summary!$B$55*V445</f>
        <v/>
      </c>
      <c r="P445">
        <f>IF(B460=0,0,O445/B460)</f>
        <v/>
      </c>
      <c r="Q445" t="n">
        <v>0</v>
      </c>
      <c r="R445" t="n">
        <v>0</v>
      </c>
      <c r="S445">
        <f>IFERROR(O445/N445,0)</f>
        <v/>
      </c>
      <c r="T445" t="n">
        <v>0</v>
      </c>
      <c r="V445" t="n">
        <v>0</v>
      </c>
    </row>
    <row r="446">
      <c r="A446">
        <f>Skills!A26</f>
        <v/>
      </c>
      <c r="B446">
        <f>Skills!B26</f>
        <v/>
      </c>
      <c r="C446">
        <f>Inputs!$B$3&gt;=75</f>
        <v/>
      </c>
      <c r="D446">
        <f>IF(Skills!C26=1,60+Inputs!$B$25+Inputs!$B$29,IF(Skills!C26=2,90+Inputs!$B$26+Inputs!$B$29,IF(Skills!C26=3,120+Inputs!$B$27+Inputs!$B$29,MAX(0,(Inputs!$B$3-100)*3)+Inputs!$B$28+Inputs!$B$29)))</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f>(1-Summary!$B$55)*T446+Summary!$B$55*V446</f>
        <v/>
      </c>
      <c r="P446">
        <f>IF(B460=0,0,O446/B460)</f>
        <v/>
      </c>
      <c r="Q446" t="n">
        <v>0</v>
      </c>
      <c r="R446" t="n">
        <v>0</v>
      </c>
      <c r="S446">
        <f>IFERROR(O446/N446,0)</f>
        <v/>
      </c>
      <c r="T446" t="n">
        <v>0</v>
      </c>
      <c r="V446" t="n">
        <v>0</v>
      </c>
    </row>
    <row r="447">
      <c r="A447">
        <f>Skills!A27</f>
        <v/>
      </c>
      <c r="B447">
        <f>Skills!B27</f>
        <v/>
      </c>
      <c r="C447">
        <f>Inputs!$B$3&gt;=117</f>
        <v/>
      </c>
      <c r="D447">
        <f>IF(Skills!C27=1,60+Inputs!$B$25+Inputs!$B$29,IF(Skills!C27=2,90+Inputs!$B$26+Inputs!$B$29,IF(Skills!C27=3,120+Inputs!$B$27+Inputs!$B$29,MAX(0,(Inputs!$B$3-100)*3)+Inputs!$B$28+Inputs!$B$29)))</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f>(1-Summary!$B$55)*T447+Summary!$B$55*V447</f>
        <v/>
      </c>
      <c r="P447">
        <f>IF(B460=0,0,O447/B460)</f>
        <v/>
      </c>
      <c r="Q447" t="n">
        <v>0</v>
      </c>
      <c r="R447" t="n">
        <v>0</v>
      </c>
      <c r="S447">
        <f>IFERROR(O447/N447,0)</f>
        <v/>
      </c>
      <c r="T447" t="n">
        <v>0</v>
      </c>
      <c r="V447" t="n">
        <v>0</v>
      </c>
    </row>
    <row r="449">
      <c r="A449" t="inlineStr">
        <is>
          <t>Attack% Bucket Multiplier</t>
        </is>
      </c>
      <c r="B449">
        <f>(1+(((C437=TRUE)*F437)+((C444=TRUE)*(F444-Calc!F24)))/100)</f>
        <v/>
      </c>
    </row>
    <row r="450">
      <c r="A450" t="inlineStr">
        <is>
          <t>Global Crit Rate Bonus %</t>
        </is>
      </c>
      <c r="B450" t="n">
        <v>0</v>
      </c>
    </row>
    <row r="451">
      <c r="A451" t="inlineStr">
        <is>
          <t>Attack Speed Buff Bonus % (unused)</t>
        </is>
      </c>
      <c r="B451" t="n">
        <v>0</v>
      </c>
    </row>
    <row r="452">
      <c r="A452" t="inlineStr">
        <is>
          <t>Actions Per Second</t>
        </is>
      </c>
      <c r="B452">
        <f>1+MIN(150,150*(1-(1-(Inputs!$B$11+((C440=TRUE)*(F440-Calc!F20))+((C441=TRUE)*(F441-Calc!F21)))/150)*(1-B451/150)))/100</f>
        <v/>
      </c>
    </row>
    <row r="453">
      <c r="A453" t="inlineStr">
        <is>
          <t>Skill + Buff Cast Rate</t>
        </is>
      </c>
      <c r="B453">
        <f>IF(AND(Inputs!$B$38&lt;&gt;"pvp",Inputs!$B$43&gt;0),SUMPRODUCT((Skills!E2:E27=TRUE)*(C422:C447=TRUE)*R422:R447*Skills!F2:F27)/Inputs!$B$43,SUMPRODUCT((Skills!E2:E27=TRUE)*(C422:C447=TRUE)*Q422:Q447*Skills!F2:F27))</f>
        <v/>
      </c>
    </row>
    <row r="454">
      <c r="A454" t="inlineStr">
        <is>
          <t>Eight-Legs Easton Casts Per Second</t>
        </is>
      </c>
      <c r="B454">
        <f>MAX(0,B452-B453)</f>
        <v/>
      </c>
    </row>
    <row r="455">
      <c r="A455" t="inlineStr">
        <is>
          <t>Global Critical Damage Bonus % (unused)</t>
        </is>
      </c>
      <c r="B455" t="n">
        <v>0</v>
      </c>
    </row>
    <row r="456">
      <c r="A456" t="inlineStr">
        <is>
          <t>Global Final Damage Bonus % (Jolly Roger only)</t>
        </is>
      </c>
      <c r="B456">
        <f>((C438=TRUE)*F438)</f>
        <v/>
      </c>
    </row>
    <row r="457">
      <c r="A457" t="inlineStr">
        <is>
          <t>Buff-Casting Startup Delay (s, fixed-duration only)</t>
        </is>
      </c>
      <c r="B457">
        <f>IF(AND(Inputs!$B$38&lt;&gt;"pvp",Inputs!$B$43&gt;0),SUMPRODUCT((Skills!T2:T27&gt;0)*(Skills!E2:E27=TRUE)*(C422:C447=TRUE))/B452,0)</f>
        <v/>
      </c>
    </row>
    <row r="458">
      <c r="A458" t="inlineStr">
        <is>
          <t>Boss-Only Total DPS (this block's swept value)</t>
        </is>
      </c>
      <c r="B458">
        <f>SUM(T422:T447)</f>
        <v/>
      </c>
    </row>
    <row r="459">
      <c r="A459" t="inlineStr">
        <is>
          <t>Normal-Only Total DPS (this block's swept value)</t>
        </is>
      </c>
      <c r="B459">
        <f>SUM(V422:V447)</f>
        <v/>
      </c>
    </row>
    <row r="460">
      <c r="A460" s="5" t="inlineStr">
        <is>
          <t>TOTAL DPS</t>
        </is>
      </c>
      <c r="B460" s="5">
        <f>SUM(O422:O447)</f>
        <v/>
      </c>
    </row>
    <row r="463">
      <c r="A463" s="5" t="inlineStr">
        <is>
          <t>Stat: CRIT_RATE %</t>
        </is>
      </c>
    </row>
    <row r="464">
      <c r="A464" s="9" t="inlineStr">
        <is>
          <t>Key</t>
        </is>
      </c>
      <c r="B464" s="9" t="inlineStr">
        <is>
          <t>Name</t>
        </is>
      </c>
      <c r="C464" s="9" t="inlineStr">
        <is>
          <t>Unlocked</t>
        </is>
      </c>
      <c r="D464" s="9" t="inlineStr">
        <is>
          <t>InputLevel</t>
        </is>
      </c>
      <c r="E464" s="9" t="inlineStr">
        <is>
          <t>Factor</t>
        </is>
      </c>
      <c r="F464" s="9" t="inlineStr">
        <is>
          <t>CoefficientPercent</t>
        </is>
      </c>
      <c r="G464" s="9" t="inlineStr">
        <is>
          <t>EffectiveHits</t>
        </is>
      </c>
      <c r="H464" s="9" t="inlineStr">
        <is>
          <t>ProcProbability</t>
        </is>
      </c>
      <c r="I464" s="9" t="inlineStr">
        <is>
          <t>MapleHeroMultiplier</t>
        </is>
      </c>
      <c r="J464" s="9" t="inlineStr">
        <is>
          <t>BaseDamage</t>
        </is>
      </c>
      <c r="K464" s="9" t="inlineStr">
        <is>
          <t>BaseHitDamage</t>
        </is>
      </c>
      <c r="L464" s="9" t="inlineStr">
        <is>
          <t>NonCritAvg</t>
        </is>
      </c>
      <c r="M464" s="9" t="inlineStr">
        <is>
          <t>CritAvg</t>
        </is>
      </c>
      <c r="N464" s="9" t="inlineStr">
        <is>
          <t>ExpectedDamage(perHit)</t>
        </is>
      </c>
      <c r="O464" s="9" t="inlineStr">
        <is>
          <t>DPS</t>
        </is>
      </c>
      <c r="P464" s="9" t="inlineStr">
        <is>
          <t>% of Total</t>
        </is>
      </c>
      <c r="Q464" s="9" t="inlineStr">
        <is>
          <t>InvCooldown</t>
        </is>
      </c>
      <c r="R464" s="9" t="inlineStr">
        <is>
          <t>CastsInFight</t>
        </is>
      </c>
      <c r="S464" s="9" t="inlineStr">
        <is>
          <t>HitRate(perSec)</t>
        </is>
      </c>
      <c r="U464" t="inlineStr">
        <is>
          <t>helpers</t>
        </is>
      </c>
    </row>
    <row r="465">
      <c r="A465">
        <f>Skills!A2</f>
        <v/>
      </c>
      <c r="B465">
        <f>Skills!B2</f>
        <v/>
      </c>
      <c r="C465">
        <f>Inputs!$B$3&gt;=100</f>
        <v/>
      </c>
      <c r="D465" t="inlineStr"/>
      <c r="E465" t="inlineStr"/>
      <c r="F465">
        <f>U467+Skills!O2</f>
        <v/>
      </c>
      <c r="G465">
        <f>Skills!G2*IF(Skills!H2&gt;0,Skills!I2/Skills!H2,1)</f>
        <v/>
      </c>
      <c r="H465">
        <f>1-(1-Skills!J2/100)^Skills!K2</f>
        <v/>
      </c>
      <c r="I465" t="inlineStr">
        <is>
          <t>1</t>
        </is>
      </c>
      <c r="J465">
        <f>((Inputs!$B$6*(1+Inputs!$B$7/100))+(((Inputs!$B$12*(1+Inputs!$B$13/100))-(Inputs!$B$12*(1+Inputs!$B$13/100)))+0.25*(Inputs!$B$14-Inputs!$B$14))*(1+Inputs!$B$7/100))*(F465/100)</f>
        <v/>
      </c>
      <c r="K465">
        <f>J465*(1+((Inputs!$B$12*(1+Inputs!$B$13/100))*0.01+Inputs!$B$14*0.0025)/100)*(1+Inputs!$B$15/100)*(1+Inputs!$B$16/100)*(5000/(6000+Inputs!$B$42*(1-(Inputs!$B$19+0)/100)))*(1+(Inputs!$B$24+((C489=TRUE)*(F489-Calc!F26))+B499)/100)*(1+(IF(Skills!A2="EIGHT_LEGS_EASTON",Inputs!$B$17+((C486=TRUE)*(F486-Calc!F23))+((C490=TRUE)*(F490-Calc!F27)),Inputs!$B$18+0))/100)*((1+(((C480=TRUE)*F480)+((C487=TRUE)*(F487-Calc!F24)))/100)*I465)</f>
        <v/>
      </c>
      <c r="L465">
        <f>K465*(MIN(Inputs!$B$22+((C485=TRUE)*(F485-Calc!F22)),Inputs!$B$23+0)/100+(Inputs!$B$23+0)/100)/2</f>
        <v/>
      </c>
      <c r="M465">
        <f>L465*(1+(Inputs!$B$10+((C488=TRUE)*(F488-Calc!F25))+B498)/100)</f>
        <v/>
      </c>
      <c r="N465">
        <f>L465*(1-MIN(((Inputs!$B$9+1)+((C482=TRUE)*(F482-Calc!F19))+B493),100)/100)+M465*(MIN(((Inputs!$B$9+1)+((C482=TRUE)*(F482-Calc!F19))+B493),100)/100)</f>
        <v/>
      </c>
      <c r="O465">
        <f>(1-Summary!$B$55)*T465+Summary!$B$55*V465</f>
        <v/>
      </c>
      <c r="P465">
        <f>IF(B503=0,0,O465/B503)</f>
        <v/>
      </c>
      <c r="Q465" t="n">
        <v>0</v>
      </c>
      <c r="R465" t="n">
        <v>0</v>
      </c>
      <c r="S465">
        <f>IFERROR(O465/N465,0)</f>
        <v/>
      </c>
      <c r="T465">
        <f>IF(C465,(Skills!G2*N465*B497)*IF(Inputs!$B$38="pvp",1,1+(Inputs!$B$20+0+Skills!P2)/100),0)</f>
        <v/>
      </c>
      <c r="U465">
        <f>MAX(0,(Inputs!$B$3-100)*3)+Inputs!$B$28+Inputs!$B$29</f>
        <v/>
      </c>
      <c r="V465">
        <f>IF(C465,(Skills!G2*N465*B497)*IF(Inputs!$B$38="pvp",1,(1+(Inputs!$B$21+Skills!Q2)/100)*(MIN((6+Inputs!$B$33),Inputs!$B$37))),0)</f>
        <v/>
      </c>
    </row>
    <row r="466">
      <c r="A466">
        <f>Skills!A3</f>
        <v/>
      </c>
      <c r="B466">
        <f>Skills!B3</f>
        <v/>
      </c>
      <c r="C466">
        <f>Inputs!$B$3&gt;=35</f>
        <v/>
      </c>
      <c r="D466">
        <f>IF(Skills!C3=1,60+Inputs!$B$25+Inputs!$B$29,IF(Skills!C3=2,90+Inputs!$B$26+Inputs!$B$29,IF(Skills!C3=3,120+Inputs!$B$27+Inputs!$B$29,MAX(0,(Inputs!$B$3-100)*3)+Inputs!$B$28+Inputs!$B$29)))</f>
        <v/>
      </c>
      <c r="E466">
        <f>INDEX(FactorTable!$B$2:$Y$301, MATCH(ROUND(MIN(300,MAX(1,D466)),0), FactorTable!$A$2:$A$301,0), Skills!M3+1)</f>
        <v/>
      </c>
      <c r="F466">
        <f>IF(Skills!N3=TRUE,(Skills!L3/10)*(E466/1000),Skills!L3/10)+Skills!O3</f>
        <v/>
      </c>
      <c r="G466">
        <f>Skills!G3*IF(Skills!H3&gt;0,Skills!I3/Skills!H3,1)</f>
        <v/>
      </c>
      <c r="H466">
        <f>1-(1-Skills!J3/100)^Skills!K3</f>
        <v/>
      </c>
      <c r="I466" t="inlineStr">
        <is>
          <t>1</t>
        </is>
      </c>
      <c r="J466">
        <f>((Inputs!$B$6*(1+Inputs!$B$7/100))+(((Inputs!$B$12*(1+Inputs!$B$13/100))-(Inputs!$B$12*(1+Inputs!$B$13/100)))+0.25*(Inputs!$B$14-Inputs!$B$14))*(1+Inputs!$B$7/100))*(F466/100)</f>
        <v/>
      </c>
      <c r="K466">
        <f>J466*(1+((Inputs!$B$12*(1+Inputs!$B$13/100))*0.01+Inputs!$B$14*0.0025)/100)*(1+Inputs!$B$15/100)*(1+Inputs!$B$16/100)*(5000/(6000+Inputs!$B$42*(1-(Inputs!$B$19+0)/100)))*(1+(Inputs!$B$24+((C489=TRUE)*(F489-Calc!F26))+B499)/100)*(1+4.0*IF(C478=TRUE,F478,0)/100)*(1+(IF(Skills!A3="EIGHT_LEGS_EASTON",Inputs!$B$17+((C486=TRUE)*(F486-Calc!F23))+((C490=TRUE)*(F490-Calc!F27)),Inputs!$B$18+0))/100)*((1+(((C480=TRUE)*F480)+((C487=TRUE)*(F487-Calc!F24)))/100)*I466)</f>
        <v/>
      </c>
      <c r="L466">
        <f>K466*(MIN(Inputs!$B$22+((C485=TRUE)*(F485-Calc!F22)),Inputs!$B$23+0)/100+(Inputs!$B$23+0)/100)/2</f>
        <v/>
      </c>
      <c r="M466">
        <f>L466*(1+(Inputs!$B$10+((C488=TRUE)*(F488-Calc!F25))+B498)/100)</f>
        <v/>
      </c>
      <c r="N466">
        <f>L466*(1-MIN(((Inputs!$B$9+1)+((C482=TRUE)*(F482-Calc!F19))+B493),100)/100)+M466*(MIN(((Inputs!$B$9+1)+((C482=TRUE)*(F482-Calc!F19))+B493),100)/100)</f>
        <v/>
      </c>
      <c r="O466">
        <f>(1-Summary!$B$55)*T466+Summary!$B$55*V466</f>
        <v/>
      </c>
      <c r="P466">
        <f>IF(B503=0,0,O466/B503)</f>
        <v/>
      </c>
      <c r="Q466">
        <f>IFERROR(1/IF(Inputs!$B$38="pvp",15,MAX(0.1,Skills!D3-IF(Skills!E3=TRUE,Inputs!$B$32,0))),0)</f>
        <v/>
      </c>
      <c r="R466">
        <f>IF(AND(Inputs!$B$38&lt;&gt;"pvp",Inputs!$B$43&gt;0),IF(MAX(0,Inputs!$B$43-B500)&lt;=0,0,(INT(MAX(0,Inputs!$B$43-B500)/IF(Inputs!$B$38="pvp",15,MAX(0.1,Skills!D3-IF(Skills!E3=TRUE,Inputs!$B$32,0))))+1)),0)</f>
        <v/>
      </c>
      <c r="S466">
        <f>IFERROR(O466/N466,0)</f>
        <v/>
      </c>
      <c r="T466">
        <f>IF(C466,(H466*N466*IF(AND(Inputs!$B$38&lt;&gt;"pvp",Inputs!$B$43&gt;0),((Skills!G3*((R466-1)*IF(Skills!H3&gt;0,Skills!I3/Skills!H3,1)+IF(Skills!H3&gt;0,MIN(Skills!I3,MAX(0,MAX(0,Inputs!$B$43-B500)-((R466-1)*IF(Inputs!$B$38="pvp",15,MAX(0.1,Skills!D3-IF(Skills!E3=TRUE,Inputs!$B$32,0))))))/Skills!H3,1)))/Inputs!$B$43),G466*Q466))*IF(Inputs!$B$38="pvp",1,1+(Inputs!$B$20+0+Skills!P3)/100),0)</f>
        <v/>
      </c>
      <c r="U466">
        <f>INDEX(FactorTable!$B$2:$Y$301, MATCH(ROUND(MIN(300,MAX(1,U465)),0), FactorTable!$A$2:$A$301,0), 22)</f>
        <v/>
      </c>
      <c r="V466">
        <f>IF(C466,(H466*N466*IF(AND(Inputs!$B$38&lt;&gt;"pvp",Inputs!$B$43&gt;0),((Skills!G3*((R466-1)*IF(Skills!H3&gt;0,Skills!I3/Skills!H3,1)+IF(Skills!H3&gt;0,MIN(Skills!I3,MAX(0,MAX(0,Inputs!$B$43-B500)-((R466-1)*IF(Inputs!$B$38="pvp",15,MAX(0.1,Skills!D3-IF(Skills!E3=TRUE,Inputs!$B$32,0))))))/Skills!H3,1)))/Inputs!$B$43),G466*Q466))*IF(Inputs!$B$38="pvp",1,(1+(Inputs!$B$21+Skills!Q3)/100)*(MIN(Skills!R3,Inputs!$B$37))),0)</f>
        <v/>
      </c>
    </row>
    <row r="467">
      <c r="A467">
        <f>Skills!A4</f>
        <v/>
      </c>
      <c r="B467">
        <f>Skills!B4</f>
        <v/>
      </c>
      <c r="C467">
        <f>Inputs!$B$3&gt;=40</f>
        <v/>
      </c>
      <c r="D467">
        <f>IF(Skills!C4=1,60+Inputs!$B$25+Inputs!$B$29,IF(Skills!C4=2,90+Inputs!$B$26+Inputs!$B$29,IF(Skills!C4=3,120+Inputs!$B$27+Inputs!$B$29,MAX(0,(Inputs!$B$3-100)*3)+Inputs!$B$28+Inputs!$B$29)))</f>
        <v/>
      </c>
      <c r="E467">
        <f>INDEX(FactorTable!$B$2:$Y$301, MATCH(ROUND(MIN(300,MAX(1,D467)),0), FactorTable!$A$2:$A$301,0), Skills!M4+1)</f>
        <v/>
      </c>
      <c r="F467">
        <f>IF(Skills!N4=TRUE,(Skills!L4/10)*(E467/1000),Skills!L4/10)+Skills!O4</f>
        <v/>
      </c>
      <c r="G467">
        <f>Skills!G4*IF(Skills!H4&gt;0,Skills!I4/Skills!H4,1)</f>
        <v/>
      </c>
      <c r="H467">
        <f>1-(1-Skills!J4/100)^Skills!K4</f>
        <v/>
      </c>
      <c r="I467" t="inlineStr">
        <is>
          <t>1</t>
        </is>
      </c>
      <c r="J467">
        <f>((Inputs!$B$6*(1+Inputs!$B$7/100))+(((Inputs!$B$12*(1+Inputs!$B$13/100))-(Inputs!$B$12*(1+Inputs!$B$13/100)))+0.25*(Inputs!$B$14-Inputs!$B$14))*(1+Inputs!$B$7/100))*(F467/100)</f>
        <v/>
      </c>
      <c r="K467">
        <f>J467*(1+((Inputs!$B$12*(1+Inputs!$B$13/100))*0.01+Inputs!$B$14*0.0025)/100)*(1+Inputs!$B$15/100)*(1+Inputs!$B$16/100)*(5000/(6000+Inputs!$B$42*(1-(Inputs!$B$19+0)/100)))*(1+(Inputs!$B$24+((C489=TRUE)*(F489-Calc!F26))+B499)/100)*(1+1.0*IF(C479=TRUE,F479,0)/100)*(1+(IF(Skills!A4="EIGHT_LEGS_EASTON",Inputs!$B$17+((C486=TRUE)*(F486-Calc!F23))+((C490=TRUE)*(F490-Calc!F27)),Inputs!$B$18+0))/100)*((1+(((C480=TRUE)*F480)+((C487=TRUE)*(F487-Calc!F24)))/100)*I467)</f>
        <v/>
      </c>
      <c r="L467">
        <f>K467*(MIN(Inputs!$B$22+((C485=TRUE)*(F485-Calc!F22)),Inputs!$B$23+0)/100+(Inputs!$B$23+0)/100)/2</f>
        <v/>
      </c>
      <c r="M467">
        <f>L467*(1+(Inputs!$B$10+((C488=TRUE)*(F488-Calc!F25))+B498)/100)</f>
        <v/>
      </c>
      <c r="N467">
        <f>L467*(1-MIN(((Inputs!$B$9+1)+((C482=TRUE)*(F482-Calc!F19))+B493),100)/100)+M467*(MIN(((Inputs!$B$9+1)+((C482=TRUE)*(F482-Calc!F19))+B493),100)/100)</f>
        <v/>
      </c>
      <c r="O467">
        <f>(1-Summary!$B$55)*T467+Summary!$B$55*V467</f>
        <v/>
      </c>
      <c r="P467">
        <f>IF(B503=0,0,O467/B503)</f>
        <v/>
      </c>
      <c r="Q467">
        <f>IFERROR(1/IF(Inputs!$B$38="pvp",15,MAX(0.1,Skills!D4-IF(Skills!E4=TRUE,Inputs!$B$32,0))),0)</f>
        <v/>
      </c>
      <c r="R467">
        <f>IF(AND(Inputs!$B$38&lt;&gt;"pvp",Inputs!$B$43&gt;0),IF(MAX(0,Inputs!$B$43-B500)&lt;=0,0,(INT(MAX(0,Inputs!$B$43-B500)/IF(Inputs!$B$38="pvp",15,MAX(0.1,Skills!D4-IF(Skills!E4=TRUE,Inputs!$B$32,0))))+1)),0)</f>
        <v/>
      </c>
      <c r="S467">
        <f>IFERROR(O467/N467,0)</f>
        <v/>
      </c>
      <c r="T467">
        <f>IF(C467,(H467*N467*IF(AND(Inputs!$B$38&lt;&gt;"pvp",Inputs!$B$43&gt;0),((Skills!G4*((R467-1)*IF(Skills!H4&gt;0,Skills!I4/Skills!H4,1)+IF(Skills!H4&gt;0,MIN(Skills!I4,MAX(0,MAX(0,Inputs!$B$43-B500)-((R467-1)*IF(Inputs!$B$38="pvp",15,MAX(0.1,Skills!D4-IF(Skills!E4=TRUE,Inputs!$B$32,0))))))/Skills!H4,1)))/Inputs!$B$43),G467*Q467))*IF(Inputs!$B$38="pvp",1,1+(Inputs!$B$20+0+Skills!P4)/100),0)</f>
        <v/>
      </c>
      <c r="U467">
        <f>290*U466/1000</f>
        <v/>
      </c>
      <c r="V467">
        <f>IF(C467,(H467*N467*IF(AND(Inputs!$B$38&lt;&gt;"pvp",Inputs!$B$43&gt;0),((Skills!G4*((R467-1)*IF(Skills!H4&gt;0,Skills!I4/Skills!H4,1)+IF(Skills!H4&gt;0,MIN(Skills!I4,MAX(0,MAX(0,Inputs!$B$43-B500)-((R467-1)*IF(Inputs!$B$38="pvp",15,MAX(0.1,Skills!D4-IF(Skills!E4=TRUE,Inputs!$B$32,0))))))/Skills!H4,1)))/Inputs!$B$43),G467*Q467))*IF(Inputs!$B$38="pvp",1,(1+(Inputs!$B$21+Skills!Q4)/100)*(MIN(Skills!R4,Inputs!$B$37))),0)</f>
        <v/>
      </c>
    </row>
    <row r="468">
      <c r="A468">
        <f>Skills!A5</f>
        <v/>
      </c>
      <c r="B468">
        <f>Skills!B5</f>
        <v/>
      </c>
      <c r="C468">
        <f>Inputs!$B$3&gt;=45</f>
        <v/>
      </c>
      <c r="D468">
        <f>IF(Skills!C5=1,60+Inputs!$B$25+Inputs!$B$29,IF(Skills!C5=2,90+Inputs!$B$26+Inputs!$B$29,IF(Skills!C5=3,120+Inputs!$B$27+Inputs!$B$29,MAX(0,(Inputs!$B$3-100)*3)+Inputs!$B$28+Inputs!$B$29)))</f>
        <v/>
      </c>
      <c r="E468">
        <f>INDEX(FactorTable!$B$2:$Y$301, MATCH(ROUND(MIN(300,MAX(1,D468)),0), FactorTable!$A$2:$A$301,0), Skills!M5+1)</f>
        <v/>
      </c>
      <c r="F468">
        <f>IF(Skills!N5=TRUE,(Skills!L5/10)*(E468/1000),Skills!L5/10)+Skills!O5</f>
        <v/>
      </c>
      <c r="G468">
        <f>Skills!G5*IF(Skills!H5&gt;0,Skills!I5/Skills!H5,1)</f>
        <v/>
      </c>
      <c r="H468">
        <f>1-(1-Skills!J5/100)^Skills!K5</f>
        <v/>
      </c>
      <c r="I468" t="inlineStr">
        <is>
          <t>1</t>
        </is>
      </c>
      <c r="J468">
        <f>((Inputs!$B$6*(1+Inputs!$B$7/100))+(((Inputs!$B$12*(1+Inputs!$B$13/100))-(Inputs!$B$12*(1+Inputs!$B$13/100)))+0.25*(Inputs!$B$14-Inputs!$B$14))*(1+Inputs!$B$7/100))*(F468/100)</f>
        <v/>
      </c>
      <c r="K468">
        <f>J468*(1+((Inputs!$B$12*(1+Inputs!$B$13/100))*0.01+Inputs!$B$14*0.0025)/100)*(1+Inputs!$B$15/100)*(1+Inputs!$B$16/100)*(5000/(6000+Inputs!$B$42*(1-(Inputs!$B$19+0)/100)))*(1+(Inputs!$B$24+((C489=TRUE)*(F489-Calc!F26))+B499)/100)*(1+0.4*IF(C479=TRUE,F479,0)/100)*(1+(IF(Skills!A5="EIGHT_LEGS_EASTON",Inputs!$B$17+((C486=TRUE)*(F486-Calc!F23))+((C490=TRUE)*(F490-Calc!F27)),Inputs!$B$18+0))/100)*((1+(((C480=TRUE)*F480)+((C487=TRUE)*(F487-Calc!F24)))/100)*I468)</f>
        <v/>
      </c>
      <c r="L468">
        <f>K468*(MIN(Inputs!$B$22+((C485=TRUE)*(F485-Calc!F22)),Inputs!$B$23+0)/100+(Inputs!$B$23+0)/100)/2</f>
        <v/>
      </c>
      <c r="M468">
        <f>L468*(1+(Inputs!$B$10+((C488=TRUE)*(F488-Calc!F25))+B498)/100)</f>
        <v/>
      </c>
      <c r="N468">
        <f>L468*(1-MIN(((Inputs!$B$9+1)+((C482=TRUE)*(F482-Calc!F19))+B493),100)/100)+M468*(MIN(((Inputs!$B$9+1)+((C482=TRUE)*(F482-Calc!F19))+B493),100)/100)</f>
        <v/>
      </c>
      <c r="O468">
        <f>(1-Summary!$B$55)*T468+Summary!$B$55*V468</f>
        <v/>
      </c>
      <c r="P468">
        <f>IF(B503=0,0,O468/B503)</f>
        <v/>
      </c>
      <c r="Q468">
        <f>IFERROR(1/IF(Inputs!$B$38="pvp",15,MAX(0.1,Skills!D5-IF(Skills!E5=TRUE,Inputs!$B$32,0))),0)</f>
        <v/>
      </c>
      <c r="R468">
        <f>IF(AND(Inputs!$B$38&lt;&gt;"pvp",Inputs!$B$43&gt;0),IF(MAX(0,Inputs!$B$43-B500)&lt;=0,0,(INT(MAX(0,Inputs!$B$43-B500)/IF(Inputs!$B$38="pvp",15,MAX(0.1,Skills!D5-IF(Skills!E5=TRUE,Inputs!$B$32,0))))+1)),0)</f>
        <v/>
      </c>
      <c r="S468">
        <f>IFERROR(O468/N468,0)</f>
        <v/>
      </c>
      <c r="T468">
        <f>IF(C468,(H468*N468*IF(AND(Inputs!$B$38&lt;&gt;"pvp",Inputs!$B$43&gt;0),((Skills!G5*((R468-1)*IF(Skills!H5&gt;0,Skills!I5/Skills!H5,1)+IF(Skills!H5&gt;0,MIN(Skills!I5,MAX(0,MAX(0,Inputs!$B$43-B500)-((R468-1)*IF(Inputs!$B$38="pvp",15,MAX(0.1,Skills!D5-IF(Skills!E5=TRUE,Inputs!$B$32,0))))))/Skills!H5,1)))/Inputs!$B$43),G468*Q468))*IF(Inputs!$B$38="pvp",1,1+(Inputs!$B$20+0+Skills!P5)/100),0)</f>
        <v/>
      </c>
      <c r="V468">
        <f>IF(C468,(H468*N468*IF(AND(Inputs!$B$38&lt;&gt;"pvp",Inputs!$B$43&gt;0),((Skills!G5*((R468-1)*IF(Skills!H5&gt;0,Skills!I5/Skills!H5,1)+IF(Skills!H5&gt;0,MIN(Skills!I5,MAX(0,MAX(0,Inputs!$B$43-B500)-((R468-1)*IF(Inputs!$B$38="pvp",15,MAX(0.1,Skills!D5-IF(Skills!E5=TRUE,Inputs!$B$32,0))))))/Skills!H5,1)))/Inputs!$B$43),G468*Q468))*IF(Inputs!$B$38="pvp",1,(1+(Inputs!$B$21+Skills!Q5)/100)*(MIN(Skills!R5,Inputs!$B$37))),0)</f>
        <v/>
      </c>
    </row>
    <row r="469">
      <c r="A469">
        <f>Skills!A6</f>
        <v/>
      </c>
      <c r="B469">
        <f>Skills!B6</f>
        <v/>
      </c>
      <c r="C469">
        <f>Inputs!$B$3&gt;=63</f>
        <v/>
      </c>
      <c r="D469">
        <f>IF(Skills!C6=1,60+Inputs!$B$25+Inputs!$B$29,IF(Skills!C6=2,90+Inputs!$B$26+Inputs!$B$29,IF(Skills!C6=3,120+Inputs!$B$27+Inputs!$B$29,MAX(0,(Inputs!$B$3-100)*3)+Inputs!$B$28+Inputs!$B$29)))</f>
        <v/>
      </c>
      <c r="E469">
        <f>INDEX(FactorTable!$B$2:$Y$301, MATCH(ROUND(MIN(300,MAX(1,D469)),0), FactorTable!$A$2:$A$301,0), Skills!M6+1)</f>
        <v/>
      </c>
      <c r="F469">
        <f>IF(Skills!N6=TRUE,(Skills!L6/10)*(E469/1000),Skills!L6/10)+Skills!O6</f>
        <v/>
      </c>
      <c r="G469">
        <f>Skills!G6*IF(Skills!H6&gt;0,Skills!I6/Skills!H6,1)</f>
        <v/>
      </c>
      <c r="H469">
        <f>1-(1-Skills!J6/100)^Skills!K6</f>
        <v/>
      </c>
      <c r="I469" t="inlineStr">
        <is>
          <t>1</t>
        </is>
      </c>
      <c r="J469">
        <f>((Inputs!$B$6*(1+Inputs!$B$7/100))+(((Inputs!$B$12*(1+Inputs!$B$13/100))-(Inputs!$B$12*(1+Inputs!$B$13/100)))+0.25*(Inputs!$B$14-Inputs!$B$14))*(1+Inputs!$B$7/100))*(F469/100)</f>
        <v/>
      </c>
      <c r="K469">
        <f>J469*(1+((Inputs!$B$12*(1+Inputs!$B$13/100))*0.01+Inputs!$B$14*0.0025)/100)*(1+Inputs!$B$15/100)*(1+Inputs!$B$16/100)*(5000/(6000+Inputs!$B$42*(1-(Inputs!$B$19+0)/100)))*(1+(Inputs!$B$24+((C489=TRUE)*(F489-Calc!F26))+B499)/100)*(1+2.0*IF(C478=TRUE,F478,0)/100)*(1+(IF(Skills!A6="EIGHT_LEGS_EASTON",Inputs!$B$17+((C486=TRUE)*(F486-Calc!F23))+((C490=TRUE)*(F490-Calc!F27)),Inputs!$B$18+0))/100)*((1+(((C480=TRUE)*F480)+((C487=TRUE)*(F487-Calc!F24)))/100)*I469)</f>
        <v/>
      </c>
      <c r="L469">
        <f>K469*(MIN(Inputs!$B$22+((C485=TRUE)*(F485-Calc!F22)),Inputs!$B$23+0)/100+(Inputs!$B$23+0)/100)/2</f>
        <v/>
      </c>
      <c r="M469">
        <f>L469*(1+(Inputs!$B$10+((C488=TRUE)*(F488-Calc!F25))+B498)/100)</f>
        <v/>
      </c>
      <c r="N469">
        <f>L469*(1-MIN(((Inputs!$B$9+1)+((C482=TRUE)*(F482-Calc!F19))+B493),100)/100)+M469*(MIN(((Inputs!$B$9+1)+((C482=TRUE)*(F482-Calc!F19))+B493),100)/100)</f>
        <v/>
      </c>
      <c r="O469">
        <f>(1-Summary!$B$55)*T469+Summary!$B$55*V469</f>
        <v/>
      </c>
      <c r="P469">
        <f>IF(B503=0,0,O469/B503)</f>
        <v/>
      </c>
      <c r="Q469">
        <f>IFERROR(1/IF(Inputs!$B$38="pvp",15,MAX(0.1,Skills!D6-IF(Skills!E6=TRUE,Inputs!$B$32,0))),0)</f>
        <v/>
      </c>
      <c r="R469">
        <f>IF(AND(Inputs!$B$38&lt;&gt;"pvp",Inputs!$B$43&gt;0),IF(MAX(0,Inputs!$B$43-B500)&lt;=0,0,(INT(MAX(0,Inputs!$B$43-B500)/IF(Inputs!$B$38="pvp",15,MAX(0.1,Skills!D6-IF(Skills!E6=TRUE,Inputs!$B$32,0))))+1)),0)</f>
        <v/>
      </c>
      <c r="S469">
        <f>IFERROR(O469/N469,0)</f>
        <v/>
      </c>
      <c r="T469">
        <f>IF(C469,(H469*N469*IF(AND(Inputs!$B$38&lt;&gt;"pvp",Inputs!$B$43&gt;0),((Skills!G6*((R469-1)*IF(Skills!H6&gt;0,Skills!I6/Skills!H6,1)+IF(Skills!H6&gt;0,MIN(Skills!I6,MAX(0,MAX(0,Inputs!$B$43-B500)-((R469-1)*IF(Inputs!$B$38="pvp",15,MAX(0.1,Skills!D6-IF(Skills!E6=TRUE,Inputs!$B$32,0))))))/Skills!H6,1)))/Inputs!$B$43),G469*Q469))*IF(Inputs!$B$38="pvp",1,1+(Inputs!$B$20+0+Skills!P6)/100),0)</f>
        <v/>
      </c>
      <c r="V469">
        <f>IF(C469,(H469*N469*IF(AND(Inputs!$B$38&lt;&gt;"pvp",Inputs!$B$43&gt;0),((Skills!G6*((R469-1)*IF(Skills!H6&gt;0,Skills!I6/Skills!H6,1)+IF(Skills!H6&gt;0,MIN(Skills!I6,MAX(0,MAX(0,Inputs!$B$43-B500)-((R469-1)*IF(Inputs!$B$38="pvp",15,MAX(0.1,Skills!D6-IF(Skills!E6=TRUE,Inputs!$B$32,0))))))/Skills!H6,1)))/Inputs!$B$43),G469*Q469))*IF(Inputs!$B$38="pvp",1,(1+(Inputs!$B$21+Skills!Q6)/100)*(MIN(Skills!R6,Inputs!$B$37))),0)</f>
        <v/>
      </c>
    </row>
    <row r="470">
      <c r="A470">
        <f>Skills!A7</f>
        <v/>
      </c>
      <c r="B470">
        <f>Skills!B7</f>
        <v/>
      </c>
      <c r="C470">
        <f>Inputs!$B$3&gt;=66</f>
        <v/>
      </c>
      <c r="D470">
        <f>IF(Skills!C7=1,60+Inputs!$B$25+Inputs!$B$29,IF(Skills!C7=2,90+Inputs!$B$26+Inputs!$B$29,IF(Skills!C7=3,120+Inputs!$B$27+Inputs!$B$29,MAX(0,(Inputs!$B$3-100)*3)+Inputs!$B$28+Inputs!$B$29)))</f>
        <v/>
      </c>
      <c r="E470">
        <f>INDEX(FactorTable!$B$2:$Y$301, MATCH(ROUND(MIN(300,MAX(1,D470)),0), FactorTable!$A$2:$A$301,0), Skills!M7+1)</f>
        <v/>
      </c>
      <c r="F470">
        <f>IF(Skills!N7=TRUE,(Skills!L7/10)*(E470/1000),Skills!L7/10)+Skills!O7</f>
        <v/>
      </c>
      <c r="G470">
        <f>Skills!G7*IF(Skills!H7&gt;0,Skills!I7/Skills!H7,1)</f>
        <v/>
      </c>
      <c r="H470">
        <f>1-(1-Skills!J7/100)^Skills!K7</f>
        <v/>
      </c>
      <c r="I470" t="inlineStr">
        <is>
          <t>1</t>
        </is>
      </c>
      <c r="J470">
        <f>((Inputs!$B$6*(1+Inputs!$B$7/100))+(((Inputs!$B$12*(1+Inputs!$B$13/100))-(Inputs!$B$12*(1+Inputs!$B$13/100)))+0.25*(Inputs!$B$14-Inputs!$B$14))*(1+Inputs!$B$7/100))*(F470/100)</f>
        <v/>
      </c>
      <c r="K470">
        <f>J470*(1+((Inputs!$B$12*(1+Inputs!$B$13/100))*0.01+Inputs!$B$14*0.0025)/100)*(1+Inputs!$B$15/100)*(1+Inputs!$B$16/100)*(5000/(6000+Inputs!$B$42*(1-(Inputs!$B$19+0)/100)))*(1+(Inputs!$B$24+((C489=TRUE)*(F489-Calc!F26))+B499)/100)*(1+1.0*IF(C478=TRUE,F478,0)/100)*(1+(IF(Skills!A7="EIGHT_LEGS_EASTON",Inputs!$B$17+((C486=TRUE)*(F486-Calc!F23))+((C490=TRUE)*(F490-Calc!F27)),Inputs!$B$18+0))/100)*((1+(((C480=TRUE)*F480)+((C487=TRUE)*(F487-Calc!F24)))/100)*I470)</f>
        <v/>
      </c>
      <c r="L470">
        <f>K470*(MIN(Inputs!$B$22+((C485=TRUE)*(F485-Calc!F22)),Inputs!$B$23+0)/100+(Inputs!$B$23+0)/100)/2</f>
        <v/>
      </c>
      <c r="M470">
        <f>L470*(1+(Inputs!$B$10+((C488=TRUE)*(F488-Calc!F25))+B498)/100)</f>
        <v/>
      </c>
      <c r="N470">
        <f>L470*(1-MIN(((Inputs!$B$9+1)+((C482=TRUE)*(F482-Calc!F19))+B493),100)/100)+M470*(MIN(((Inputs!$B$9+1)+((C482=TRUE)*(F482-Calc!F19))+B493),100)/100)</f>
        <v/>
      </c>
      <c r="O470">
        <f>(1-Summary!$B$55)*T470+Summary!$B$55*V470</f>
        <v/>
      </c>
      <c r="P470">
        <f>IF(B503=0,0,O470/B503)</f>
        <v/>
      </c>
      <c r="Q470">
        <f>IFERROR(1/IF(Inputs!$B$38="pvp",15,MAX(0.1,Skills!D7-IF(Skills!E7=TRUE,Inputs!$B$32,0))),0)</f>
        <v/>
      </c>
      <c r="R470">
        <f>IF(AND(Inputs!$B$38&lt;&gt;"pvp",Inputs!$B$43&gt;0),IF(MAX(0,Inputs!$B$43-B500)&lt;=0,0,(INT(MAX(0,Inputs!$B$43-B500)/IF(Inputs!$B$38="pvp",15,MAX(0.1,Skills!D7-IF(Skills!E7=TRUE,Inputs!$B$32,0))))+1)),0)</f>
        <v/>
      </c>
      <c r="S470">
        <f>IFERROR(O470/N470,0)</f>
        <v/>
      </c>
      <c r="T470">
        <f>IF(C470,(H470*N470*IF(AND(Inputs!$B$38&lt;&gt;"pvp",Inputs!$B$43&gt;0),((Skills!G7*((R470-1)*IF(Skills!H7&gt;0,Skills!I7/Skills!H7,1)+IF(Skills!H7&gt;0,MIN(Skills!I7,MAX(0,MAX(0,Inputs!$B$43-B500)-((R470-1)*IF(Inputs!$B$38="pvp",15,MAX(0.1,Skills!D7-IF(Skills!E7=TRUE,Inputs!$B$32,0))))))/Skills!H7,1)))/Inputs!$B$43),G470*Q470))*IF(Inputs!$B$38="pvp",1,1+(Inputs!$B$20+0+Skills!P7)/100),0)</f>
        <v/>
      </c>
      <c r="V470">
        <f>IF(C470,(H470*N470*IF(AND(Inputs!$B$38&lt;&gt;"pvp",Inputs!$B$43&gt;0),((Skills!G7*((R470-1)*IF(Skills!H7&gt;0,Skills!I7/Skills!H7,1)+IF(Skills!H7&gt;0,MIN(Skills!I7,MAX(0,MAX(0,Inputs!$B$43-B500)-((R470-1)*IF(Inputs!$B$38="pvp",15,MAX(0.1,Skills!D7-IF(Skills!E7=TRUE,Inputs!$B$32,0))))))/Skills!H7,1)))/Inputs!$B$43),G470*Q470))*IF(Inputs!$B$38="pvp",1,(1+(Inputs!$B$21+Skills!Q7)/100)*(MIN(Skills!R7,Inputs!$B$37))),0)</f>
        <v/>
      </c>
    </row>
    <row r="471">
      <c r="A471">
        <f>Skills!A8</f>
        <v/>
      </c>
      <c r="B471">
        <f>Skills!B8</f>
        <v/>
      </c>
      <c r="C471">
        <f>Inputs!$B$3&gt;=100</f>
        <v/>
      </c>
      <c r="D471">
        <f>IF(Skills!C8=1,60+Inputs!$B$25+Inputs!$B$29,IF(Skills!C8=2,90+Inputs!$B$26+Inputs!$B$29,IF(Skills!C8=3,120+Inputs!$B$27+Inputs!$B$29,MAX(0,(Inputs!$B$3-100)*3)+Inputs!$B$28+Inputs!$B$29)))</f>
        <v/>
      </c>
      <c r="E471">
        <f>INDEX(FactorTable!$B$2:$Y$301, MATCH(ROUND(MIN(300,MAX(1,D471)),0), FactorTable!$A$2:$A$301,0), Skills!M8+1)</f>
        <v/>
      </c>
      <c r="F471">
        <f>IF(Skills!N8=TRUE,(Skills!L8/10)*(E471/1000),Skills!L8/10)+Skills!O8</f>
        <v/>
      </c>
      <c r="G471">
        <f>Skills!G8*IF(Skills!H8&gt;0,Skills!I8/Skills!H8,1)</f>
        <v/>
      </c>
      <c r="H471">
        <f>1-(1-Skills!J8/100)^Skills!K8</f>
        <v/>
      </c>
      <c r="I471" t="inlineStr">
        <is>
          <t>1</t>
        </is>
      </c>
      <c r="J471">
        <f>((Inputs!$B$6*(1+Inputs!$B$7/100))+(((Inputs!$B$12*(1+Inputs!$B$13/100))-(Inputs!$B$12*(1+Inputs!$B$13/100)))+0.25*(Inputs!$B$14-Inputs!$B$14))*(1+Inputs!$B$7/100))*(F471/100)</f>
        <v/>
      </c>
      <c r="K471">
        <f>J471*(1+((Inputs!$B$12*(1+Inputs!$B$13/100))*0.01+Inputs!$B$14*0.0025)/100)*(1+Inputs!$B$15/100)*(1+Inputs!$B$16/100)*(5000/(6000+Inputs!$B$42*(1-(Inputs!$B$19+0)/100)))*(1+(Inputs!$B$24+((C489=TRUE)*(F489-Calc!F26))+B499)/100)*(1+(IF(Skills!A8="EIGHT_LEGS_EASTON",Inputs!$B$17+((C486=TRUE)*(F486-Calc!F23))+((C490=TRUE)*(F490-Calc!F27)),Inputs!$B$18+0))/100)*((1+(((C480=TRUE)*F480)+((C487=TRUE)*(F487-Calc!F24)))/100)*I471)</f>
        <v/>
      </c>
      <c r="L471">
        <f>K471*(MIN(Inputs!$B$22+((C485=TRUE)*(F485-Calc!F22)),Inputs!$B$23+0)/100+(Inputs!$B$23+0)/100)/2</f>
        <v/>
      </c>
      <c r="M471">
        <f>L471*(1+(Inputs!$B$10+((C488=TRUE)*(F488-Calc!F25))+B498)/100)</f>
        <v/>
      </c>
      <c r="N471">
        <f>L471*(1-MIN(((Inputs!$B$9+1)+((C482=TRUE)*(F482-Calc!F19))+B493),100)/100)+M471*(MIN(((Inputs!$B$9+1)+((C482=TRUE)*(F482-Calc!F19))+B493),100)/100)</f>
        <v/>
      </c>
      <c r="O471">
        <f>(1-Summary!$B$55)*T471+Summary!$B$55*V471</f>
        <v/>
      </c>
      <c r="P471">
        <f>IF(B503=0,0,O471/B503)</f>
        <v/>
      </c>
      <c r="Q471">
        <f>IFERROR(1/IF(Inputs!$B$38="pvp",15,MAX(0.1,Skills!D8-IF(Skills!E8=TRUE,Inputs!$B$32,0))),0)</f>
        <v/>
      </c>
      <c r="R471">
        <f>IF(AND(Inputs!$B$38&lt;&gt;"pvp",Inputs!$B$43&gt;0),IF(MAX(0,Inputs!$B$43-B500)&lt;=0,0,(INT(MAX(0,Inputs!$B$43-B500)/IF(Inputs!$B$38="pvp",15,MAX(0.1,Skills!D8-IF(Skills!E8=TRUE,Inputs!$B$32,0))))+1)),0)</f>
        <v/>
      </c>
      <c r="S471">
        <f>IFERROR(O471/N471,0)</f>
        <v/>
      </c>
      <c r="T471">
        <f>IF(C471,(H471*N471*IF(AND(Inputs!$B$38&lt;&gt;"pvp",Inputs!$B$43&gt;0),((Skills!G8*((R471-1)*IF(Skills!H8&gt;0,Skills!I8/Skills!H8,1)+IF(Skills!H8&gt;0,MIN(Skills!I8,MAX(0,MAX(0,Inputs!$B$43-B500)-((R471-1)*IF(Inputs!$B$38="pvp",15,MAX(0.1,Skills!D8-IF(Skills!E8=TRUE,Inputs!$B$32,0))))))/Skills!H8,1)))/Inputs!$B$43),G471*Q471))*IF(Inputs!$B$38="pvp",1,1+(Inputs!$B$20+0+Skills!P8)/100),0)</f>
        <v/>
      </c>
      <c r="V471">
        <f>IF(C471,(H471*N471*IF(AND(Inputs!$B$38&lt;&gt;"pvp",Inputs!$B$43&gt;0),((Skills!G8*((R471-1)*IF(Skills!H8&gt;0,Skills!I8/Skills!H8,1)+IF(Skills!H8&gt;0,MIN(Skills!I8,MAX(0,MAX(0,Inputs!$B$43-B500)-((R471-1)*IF(Inputs!$B$38="pvp",15,MAX(0.1,Skills!D8-IF(Skills!E8=TRUE,Inputs!$B$32,0))))))/Skills!H8,1)))/Inputs!$B$43),G471*Q471))*IF(Inputs!$B$38="pvp",1,(1+(Inputs!$B$21+Skills!Q8)/100)*(MIN(Skills!R8,Inputs!$B$37))),0)</f>
        <v/>
      </c>
    </row>
    <row r="472">
      <c r="A472">
        <f>Skills!A9</f>
        <v/>
      </c>
      <c r="B472">
        <f>Skills!B9</f>
        <v/>
      </c>
      <c r="C472">
        <f>Inputs!$B$3&gt;=103</f>
        <v/>
      </c>
      <c r="D472">
        <f>IF(Skills!C9=1,60+Inputs!$B$25+Inputs!$B$29,IF(Skills!C9=2,90+Inputs!$B$26+Inputs!$B$29,IF(Skills!C9=3,120+Inputs!$B$27+Inputs!$B$29,MAX(0,(Inputs!$B$3-100)*3)+Inputs!$B$28+Inputs!$B$29)))</f>
        <v/>
      </c>
      <c r="E472">
        <f>INDEX(FactorTable!$B$2:$Y$301, MATCH(ROUND(MIN(300,MAX(1,D472)),0), FactorTable!$A$2:$A$301,0), Skills!M9+1)</f>
        <v/>
      </c>
      <c r="F472">
        <f>IF(Skills!N9=TRUE,(Skills!L9/10)*(E472/1000),Skills!L9/10)+Skills!O9</f>
        <v/>
      </c>
      <c r="G472">
        <f>Skills!G9*IF(Skills!H9&gt;0,Skills!I9/Skills!H9,1)</f>
        <v/>
      </c>
      <c r="H472">
        <f>1-(1-Skills!J9/100)^Skills!K9</f>
        <v/>
      </c>
      <c r="I472" t="inlineStr">
        <is>
          <t>1</t>
        </is>
      </c>
      <c r="J472">
        <f>((Inputs!$B$6*(1+Inputs!$B$7/100))+(((Inputs!$B$12*(1+Inputs!$B$13/100))-(Inputs!$B$12*(1+Inputs!$B$13/100)))+0.25*(Inputs!$B$14-Inputs!$B$14))*(1+Inputs!$B$7/100))*(F472/100)</f>
        <v/>
      </c>
      <c r="K472">
        <f>J472*(1+((Inputs!$B$12*(1+Inputs!$B$13/100))*0.01+Inputs!$B$14*0.0025)/100)*(1+Inputs!$B$15/100)*(1+Inputs!$B$16/100)*(5000/(6000+Inputs!$B$42*(1-(Inputs!$B$19+0)/100)))*(1+(Inputs!$B$24+((C489=TRUE)*(F489-Calc!F26))+B499)/100)*(1+(IF(Skills!A9="EIGHT_LEGS_EASTON",Inputs!$B$17+((C486=TRUE)*(F486-Calc!F23))+((C490=TRUE)*(F490-Calc!F27)),Inputs!$B$18+0))/100)*((1+(((C480=TRUE)*F480)+((C487=TRUE)*(F487-Calc!F24)))/100)*I472)</f>
        <v/>
      </c>
      <c r="L472">
        <f>K472*(MIN(Inputs!$B$22+((C485=TRUE)*(F485-Calc!F22)),Inputs!$B$23+0)/100+(Inputs!$B$23+0)/100)/2</f>
        <v/>
      </c>
      <c r="M472">
        <f>L472*(1+(Inputs!$B$10+((C488=TRUE)*(F488-Calc!F25))+B498)/100)</f>
        <v/>
      </c>
      <c r="N472">
        <f>L472*(1-MIN(((Inputs!$B$9+1)+((C482=TRUE)*(F482-Calc!F19))+B493),100)/100)+M472*(MIN(((Inputs!$B$9+1)+((C482=TRUE)*(F482-Calc!F19))+B493),100)/100)</f>
        <v/>
      </c>
      <c r="O472">
        <f>(1-Summary!$B$55)*T472+Summary!$B$55*V472</f>
        <v/>
      </c>
      <c r="P472">
        <f>IF(B503=0,0,O472/B503)</f>
        <v/>
      </c>
      <c r="Q472">
        <f>IFERROR(1/IF(Inputs!$B$38="pvp",15,MAX(0.1,Skills!D9-IF(Skills!E9=TRUE,Inputs!$B$32,0))),0)</f>
        <v/>
      </c>
      <c r="R472">
        <f>IF(AND(Inputs!$B$38&lt;&gt;"pvp",Inputs!$B$43&gt;0),IF(MAX(0,Inputs!$B$43-B500)&lt;=0,0,(INT(MAX(0,Inputs!$B$43-B500)/IF(Inputs!$B$38="pvp",15,MAX(0.1,Skills!D9-IF(Skills!E9=TRUE,Inputs!$B$32,0))))+1)),0)</f>
        <v/>
      </c>
      <c r="S472">
        <f>IFERROR(O472/N472,0)</f>
        <v/>
      </c>
      <c r="T472">
        <f>IF(C472,(H472*N472*IF(AND(Inputs!$B$38&lt;&gt;"pvp",Inputs!$B$43&gt;0),((Skills!G9*((R472-1)*IF(Skills!H9&gt;0,Skills!I9/Skills!H9,1)+IF(Skills!H9&gt;0,MIN(Skills!I9,MAX(0,MAX(0,Inputs!$B$43-B500)-((R472-1)*IF(Inputs!$B$38="pvp",15,MAX(0.1,Skills!D9-IF(Skills!E9=TRUE,Inputs!$B$32,0))))))/Skills!H9,1)))/Inputs!$B$43),G472*Q472))*IF(Inputs!$B$38="pvp",1,1+(Inputs!$B$20+0+Skills!P9)/100),0)</f>
        <v/>
      </c>
      <c r="V472">
        <f>IF(C472,(H472*N472*IF(AND(Inputs!$B$38&lt;&gt;"pvp",Inputs!$B$43&gt;0),((Skills!G9*((R472-1)*IF(Skills!H9&gt;0,Skills!I9/Skills!H9,1)+IF(Skills!H9&gt;0,MIN(Skills!I9,MAX(0,MAX(0,Inputs!$B$43-B500)-((R472-1)*IF(Inputs!$B$38="pvp",15,MAX(0.1,Skills!D9-IF(Skills!E9=TRUE,Inputs!$B$32,0))))))/Skills!H9,1)))/Inputs!$B$43),G472*Q472))*IF(Inputs!$B$38="pvp",1,(1+(Inputs!$B$21+Skills!Q9)/100)*(MIN(Skills!R9,Inputs!$B$37))),0)</f>
        <v/>
      </c>
    </row>
    <row r="473">
      <c r="A473">
        <f>Skills!A10</f>
        <v/>
      </c>
      <c r="B473">
        <f>Skills!B10</f>
        <v/>
      </c>
      <c r="C473">
        <f>Inputs!$B$3&gt;=113</f>
        <v/>
      </c>
      <c r="D473">
        <f>IF(Skills!C10=1,60+Inputs!$B$25+Inputs!$B$29,IF(Skills!C10=2,90+Inputs!$B$26+Inputs!$B$29,IF(Skills!C10=3,120+Inputs!$B$27+Inputs!$B$29,MAX(0,(Inputs!$B$3-100)*3)+Inputs!$B$28+Inputs!$B$29)))</f>
        <v/>
      </c>
      <c r="E473">
        <f>INDEX(FactorTable!$B$2:$Y$301, MATCH(ROUND(MIN(300,MAX(1,D473)),0), FactorTable!$A$2:$A$301,0), Skills!M10+1)</f>
        <v/>
      </c>
      <c r="F473">
        <f>IF(Skills!N10=TRUE,(Skills!L10/10)*(E473/1000),Skills!L10/10)+Skills!O10</f>
        <v/>
      </c>
      <c r="G473">
        <f>Skills!G10*IF(Skills!H10&gt;0,Skills!I10/Skills!H10,1)</f>
        <v/>
      </c>
      <c r="H473">
        <f>1-(1-Skills!J10/100)^Skills!K10</f>
        <v/>
      </c>
      <c r="I473" t="inlineStr">
        <is>
          <t>1</t>
        </is>
      </c>
      <c r="J473">
        <f>((Inputs!$B$6*(1+Inputs!$B$7/100))+(((Inputs!$B$12*(1+Inputs!$B$13/100))-(Inputs!$B$12*(1+Inputs!$B$13/100)))+0.25*(Inputs!$B$14-Inputs!$B$14))*(1+Inputs!$B$7/100))*(F473/100)</f>
        <v/>
      </c>
      <c r="K473">
        <f>J473*(1+((Inputs!$B$12*(1+Inputs!$B$13/100))*0.01+Inputs!$B$14*0.0025)/100)*(1+Inputs!$B$15/100)*(1+Inputs!$B$16/100)*(5000/(6000+Inputs!$B$42*(1-(Inputs!$B$19+0)/100)))*(1+(Inputs!$B$24+((C489=TRUE)*(F489-Calc!F26))+B499)/100)*(1+(IF(Skills!A10="EIGHT_LEGS_EASTON",Inputs!$B$17+((C486=TRUE)*(F486-Calc!F23))+((C490=TRUE)*(F490-Calc!F27)),Inputs!$B$18+0))/100)*((1+(((C480=TRUE)*F480)+((C487=TRUE)*(F487-Calc!F24)))/100)*I473)</f>
        <v/>
      </c>
      <c r="L473">
        <f>K473*(MIN(Inputs!$B$22+((C485=TRUE)*(F485-Calc!F22)),Inputs!$B$23+0)/100+(Inputs!$B$23+0)/100)/2</f>
        <v/>
      </c>
      <c r="M473">
        <f>L473*(1+(Inputs!$B$10+((C488=TRUE)*(F488-Calc!F25))+B498)/100)</f>
        <v/>
      </c>
      <c r="N473">
        <f>L473*(1-MIN(((Inputs!$B$9+1)+((C482=TRUE)*(F482-Calc!F19))+B493),100)/100)+M473*(MIN(((Inputs!$B$9+1)+((C482=TRUE)*(F482-Calc!F19))+B493),100)/100)</f>
        <v/>
      </c>
      <c r="O473">
        <f>(1-Summary!$B$55)*T473+Summary!$B$55*V473</f>
        <v/>
      </c>
      <c r="P473">
        <f>IF(B503=0,0,O473/B503)</f>
        <v/>
      </c>
      <c r="Q473">
        <f>IFERROR(1/IF(Inputs!$B$38="pvp",15,MAX(0.1,Skills!D10-IF(Skills!E10=TRUE,Inputs!$B$32,0))),0)</f>
        <v/>
      </c>
      <c r="R473">
        <f>IF(AND(Inputs!$B$38&lt;&gt;"pvp",Inputs!$B$43&gt;0),IF(MAX(0,Inputs!$B$43-B500)&lt;=0,0,(INT(MAX(0,Inputs!$B$43-B500)/IF(Inputs!$B$38="pvp",15,MAX(0.1,Skills!D10-IF(Skills!E10=TRUE,Inputs!$B$32,0))))+1)),0)</f>
        <v/>
      </c>
      <c r="S473">
        <f>IFERROR(O473/N473,0)</f>
        <v/>
      </c>
      <c r="T473">
        <f>IF(C473,(H473*N473*IF(AND(Inputs!$B$38&lt;&gt;"pvp",Inputs!$B$43&gt;0),((Skills!G10*((R473-1)*IF(Skills!H10&gt;0,Skills!I10/Skills!H10,1)+IF(Skills!H10&gt;0,MIN(Skills!I10,MAX(0,MAX(0,Inputs!$B$43-B500)-((R473-1)*IF(Inputs!$B$38="pvp",15,MAX(0.1,Skills!D10-IF(Skills!E10=TRUE,Inputs!$B$32,0))))))/Skills!H10,1)))/Inputs!$B$43),G473*Q473))*IF(Inputs!$B$38="pvp",1,1+(Inputs!$B$20+0+Skills!P10)/100),0)</f>
        <v/>
      </c>
      <c r="V473">
        <f>IF(C473,(H473*N473*IF(AND(Inputs!$B$38&lt;&gt;"pvp",Inputs!$B$43&gt;0),((Skills!G10*((R473-1)*IF(Skills!H10&gt;0,Skills!I10/Skills!H10,1)+IF(Skills!H10&gt;0,MIN(Skills!I10,MAX(0,MAX(0,Inputs!$B$43-B500)-((R473-1)*IF(Inputs!$B$38="pvp",15,MAX(0.1,Skills!D10-IF(Skills!E10=TRUE,Inputs!$B$32,0))))))/Skills!H10,1)))/Inputs!$B$43),G473*Q473))*IF(Inputs!$B$38="pvp",1,(1+(Inputs!$B$21+Skills!Q10)/100)*(MIN(Skills!R10,Inputs!$B$37))),0)</f>
        <v/>
      </c>
    </row>
    <row r="474">
      <c r="A474">
        <f>Skills!A11</f>
        <v/>
      </c>
      <c r="B474">
        <f>Skills!B11</f>
        <v/>
      </c>
      <c r="C474">
        <f>Inputs!$B$3&gt;=107</f>
        <v/>
      </c>
      <c r="D474">
        <f>IF(Skills!C11=1,60+Inputs!$B$25+Inputs!$B$29,IF(Skills!C11=2,90+Inputs!$B$26+Inputs!$B$29,IF(Skills!C11=3,120+Inputs!$B$27+Inputs!$B$29,MAX(0,(Inputs!$B$3-100)*3)+Inputs!$B$28+Inputs!$B$29)))</f>
        <v/>
      </c>
      <c r="E474">
        <f>INDEX(FactorTable!$B$2:$Y$301, MATCH(ROUND(MIN(300,MAX(1,D474)),0), FactorTable!$A$2:$A$301,0), Skills!M11+1)</f>
        <v/>
      </c>
      <c r="F474">
        <f>IF(Skills!N11=TRUE,(Skills!L11/10)*(E474/1000),Skills!L11/10)+Skills!O11</f>
        <v/>
      </c>
      <c r="G474">
        <f>Skills!G11*IF(Skills!H11&gt;0,Skills!I11/Skills!H11,1)</f>
        <v/>
      </c>
      <c r="H474">
        <f>1-(1-Skills!J11/100)^Skills!K11</f>
        <v/>
      </c>
      <c r="I474" t="inlineStr">
        <is>
          <t>1</t>
        </is>
      </c>
      <c r="J474">
        <f>((Inputs!$B$6*(1+Inputs!$B$7/100))+(((Inputs!$B$12*(1+Inputs!$B$13/100))-(Inputs!$B$12*(1+Inputs!$B$13/100)))+0.25*(Inputs!$B$14-Inputs!$B$14))*(1+Inputs!$B$7/100))*(F474/100)</f>
        <v/>
      </c>
      <c r="K474">
        <f>J474*(1+((Inputs!$B$12*(1+Inputs!$B$13/100))*0.01+Inputs!$B$14*0.0025)/100)*(1+Inputs!$B$15/100)*(1+Inputs!$B$16/100)*(5000/(6000+Inputs!$B$42*(1-(Inputs!$B$19+0)/100)))*(1+(Inputs!$B$24+((C489=TRUE)*(F489-Calc!F26))+B499)/100)*(1+(IF(Skills!A11="EIGHT_LEGS_EASTON",Inputs!$B$17+((C486=TRUE)*(F486-Calc!F23))+((C490=TRUE)*(F490-Calc!F27)),Inputs!$B$18+0))/100)*((1+(((C480=TRUE)*F480)+((C487=TRUE)*(F487-Calc!F24)))/100)*I474)</f>
        <v/>
      </c>
      <c r="L474">
        <f>K474*(MIN(Inputs!$B$22+((C485=TRUE)*(F485-Calc!F22)),Inputs!$B$23+0)/100+(Inputs!$B$23+0)/100)/2</f>
        <v/>
      </c>
      <c r="M474">
        <f>L474*(1+(Inputs!$B$10+((C488=TRUE)*(F488-Calc!F25))+B498)/100)</f>
        <v/>
      </c>
      <c r="N474">
        <f>L474*(1-MIN(((Inputs!$B$9+1)+((C482=TRUE)*(F482-Calc!F19))+B493),100)/100)+M474*(MIN(((Inputs!$B$9+1)+((C482=TRUE)*(F482-Calc!F19))+B493),100)/100)</f>
        <v/>
      </c>
      <c r="O474">
        <f>(1-Summary!$B$55)*T474+Summary!$B$55*V474</f>
        <v/>
      </c>
      <c r="P474">
        <f>IF(B503=0,0,O474/B503)</f>
        <v/>
      </c>
      <c r="Q474">
        <f>IFERROR(1/IF(Inputs!$B$38="pvp",15,MAX(0.1,Skills!D11-IF(Skills!E11=TRUE,Inputs!$B$32,0))),0)</f>
        <v/>
      </c>
      <c r="R474">
        <f>IF(AND(Inputs!$B$38&lt;&gt;"pvp",Inputs!$B$43&gt;0),IF(MAX(0,Inputs!$B$43-B500)&lt;=0,0,(INT(MAX(0,Inputs!$B$43-B500)/IF(Inputs!$B$38="pvp",15,MAX(0.1,Skills!D11-IF(Skills!E11=TRUE,Inputs!$B$32,0))))+1)),0)</f>
        <v/>
      </c>
      <c r="S474">
        <f>IFERROR(O474/N474,0)</f>
        <v/>
      </c>
      <c r="T474">
        <f>IF(C474,(H474*N474*IF(AND(Inputs!$B$38&lt;&gt;"pvp",Inputs!$B$43&gt;0),((Skills!G11*((R474-1)*IF(Skills!H11&gt;0,Skills!I11/Skills!H11,1)+IF(Skills!H11&gt;0,MIN(Skills!I11,MAX(0,MAX(0,Inputs!$B$43-B500)-((R474-1)*IF(Inputs!$B$38="pvp",15,MAX(0.1,Skills!D11-IF(Skills!E11=TRUE,Inputs!$B$32,0))))))/Skills!H11,1)))/Inputs!$B$43),G474*Q474))*IF(Inputs!$B$38="pvp",1,1+(Inputs!$B$20+0+Skills!P11)/100),0)</f>
        <v/>
      </c>
      <c r="V474">
        <f>IF(C474,(H474*N474*IF(AND(Inputs!$B$38&lt;&gt;"pvp",Inputs!$B$43&gt;0),((Skills!G11*((R474-1)*IF(Skills!H11&gt;0,Skills!I11/Skills!H11,1)+IF(Skills!H11&gt;0,MIN(Skills!I11,MAX(0,MAX(0,Inputs!$B$43-B500)-((R474-1)*IF(Inputs!$B$38="pvp",15,MAX(0.1,Skills!D11-IF(Skills!E11=TRUE,Inputs!$B$32,0))))))/Skills!H11,1)))/Inputs!$B$43),G474*Q474))*IF(Inputs!$B$38="pvp",1,(1+(Inputs!$B$21+Skills!Q11)/100)*(MIN(Skills!R11,Inputs!$B$37))),0)</f>
        <v/>
      </c>
    </row>
    <row r="475">
      <c r="A475">
        <f>Skills!A12</f>
        <v/>
      </c>
      <c r="B475">
        <f>Skills!B12</f>
        <v/>
      </c>
      <c r="C475">
        <f>Inputs!$B$3&gt;=110</f>
        <v/>
      </c>
      <c r="D475">
        <f>IF(Skills!C12=1,60+Inputs!$B$25+Inputs!$B$29,IF(Skills!C12=2,90+Inputs!$B$26+Inputs!$B$29,IF(Skills!C12=3,120+Inputs!$B$27+Inputs!$B$29,MAX(0,(Inputs!$B$3-100)*3)+Inputs!$B$28+Inputs!$B$29)))</f>
        <v/>
      </c>
      <c r="E475">
        <f>INDEX(FactorTable!$B$2:$Y$301, MATCH(ROUND(MIN(300,MAX(1,D475)),0), FactorTable!$A$2:$A$301,0), Skills!M12+1)</f>
        <v/>
      </c>
      <c r="F475">
        <f>IF(Skills!N12=TRUE,(Skills!L12/10)*(E475/1000),Skills!L12/10)+Skills!O12</f>
        <v/>
      </c>
      <c r="G475">
        <f>Skills!G12*IF(Skills!H12&gt;0,Skills!I12/Skills!H12,1)</f>
        <v/>
      </c>
      <c r="H475">
        <f>1-(1-Skills!J12/100)^Skills!K12</f>
        <v/>
      </c>
      <c r="I475" t="inlineStr">
        <is>
          <t>1</t>
        </is>
      </c>
      <c r="J475">
        <f>((Inputs!$B$6*(1+Inputs!$B$7/100))+(((Inputs!$B$12*(1+Inputs!$B$13/100))-(Inputs!$B$12*(1+Inputs!$B$13/100)))+0.25*(Inputs!$B$14-Inputs!$B$14))*(1+Inputs!$B$7/100))*(F475/100)</f>
        <v/>
      </c>
      <c r="K475">
        <f>J475*(1+((Inputs!$B$12*(1+Inputs!$B$13/100))*0.01+Inputs!$B$14*0.0025)/100)*(1+Inputs!$B$15/100)*(1+Inputs!$B$16/100)*(5000/(6000+Inputs!$B$42*(1-(Inputs!$B$19+0)/100)))*(1+(Inputs!$B$24+((C489=TRUE)*(F489-Calc!F26))+B499)/100)*(1+(IF(Skills!A12="EIGHT_LEGS_EASTON",Inputs!$B$17+((C486=TRUE)*(F486-Calc!F23))+((C490=TRUE)*(F490-Calc!F27)),Inputs!$B$18+0))/100)*((1+(((C480=TRUE)*F480)+((C487=TRUE)*(F487-Calc!F24)))/100)*I475)</f>
        <v/>
      </c>
      <c r="L475">
        <f>K475*(MIN(Inputs!$B$22+((C485=TRUE)*(F485-Calc!F22)),Inputs!$B$23+0)/100+(Inputs!$B$23+0)/100)/2</f>
        <v/>
      </c>
      <c r="M475">
        <f>L475*(1+(Inputs!$B$10+((C488=TRUE)*(F488-Calc!F25))+B498)/100)</f>
        <v/>
      </c>
      <c r="N475">
        <f>L475*(1-MIN(((Inputs!$B$9+1)+((C482=TRUE)*(F482-Calc!F19))+B493),100)/100)+M475*(MIN(((Inputs!$B$9+1)+((C482=TRUE)*(F482-Calc!F19))+B493),100)/100)</f>
        <v/>
      </c>
      <c r="O475">
        <f>(1-Summary!$B$55)*T475+Summary!$B$55*V475</f>
        <v/>
      </c>
      <c r="P475">
        <f>IF(B503=0,0,O475/B503)</f>
        <v/>
      </c>
      <c r="Q475">
        <f>IFERROR(1/IF(Inputs!$B$38="pvp",15,MAX(0.1,Skills!D12-IF(Skills!E12=TRUE,Inputs!$B$32,0))),0)</f>
        <v/>
      </c>
      <c r="R475">
        <f>IF(AND(Inputs!$B$38&lt;&gt;"pvp",Inputs!$B$43&gt;0),IF(MAX(0,Inputs!$B$43-B500)&lt;=0,0,(INT(MAX(0,Inputs!$B$43-B500)/IF(Inputs!$B$38="pvp",15,MAX(0.1,Skills!D12-IF(Skills!E12=TRUE,Inputs!$B$32,0))))+1)),0)</f>
        <v/>
      </c>
      <c r="S475">
        <f>IFERROR(O475/N475,0)</f>
        <v/>
      </c>
      <c r="T475">
        <f>IF(C475,(H475*N475*IF(AND(Inputs!$B$38&lt;&gt;"pvp",Inputs!$B$43&gt;0),((Skills!G12*((R475-1)*IF(Skills!H12&gt;0,Skills!I12/Skills!H12,1)+IF(Skills!H12&gt;0,MIN(Skills!I12,MAX(0,MAX(0,Inputs!$B$43-B500)-((R475-1)*IF(Inputs!$B$38="pvp",15,MAX(0.1,Skills!D12-IF(Skills!E12=TRUE,Inputs!$B$32,0))))))/Skills!H12,1)))/Inputs!$B$43),G475*Q475))*IF(Inputs!$B$38="pvp",1,1+(Inputs!$B$20+0+Skills!P12)/100),0)</f>
        <v/>
      </c>
      <c r="V475">
        <f>IF(C475,(H475*N475*IF(AND(Inputs!$B$38&lt;&gt;"pvp",Inputs!$B$43&gt;0),((Skills!G12*((R475-1)*IF(Skills!H12&gt;0,Skills!I12/Skills!H12,1)+IF(Skills!H12&gt;0,MIN(Skills!I12,MAX(0,MAX(0,Inputs!$B$43-B500)-((R475-1)*IF(Inputs!$B$38="pvp",15,MAX(0.1,Skills!D12-IF(Skills!E12=TRUE,Inputs!$B$32,0))))))/Skills!H12,1)))/Inputs!$B$43),G475*Q475))*IF(Inputs!$B$38="pvp",1,(1+(Inputs!$B$21+Skills!Q12)/100)*(MIN(Skills!R12,Inputs!$B$37))),0)</f>
        <v/>
      </c>
    </row>
    <row r="476">
      <c r="A476">
        <f>Skills!A13</f>
        <v/>
      </c>
      <c r="B476">
        <f>Skills!B13</f>
        <v/>
      </c>
      <c r="C476">
        <f>Inputs!$B$3&gt;=110</f>
        <v/>
      </c>
      <c r="D476">
        <f>IF(Skills!C13=1,60+Inputs!$B$25+Inputs!$B$29,IF(Skills!C13=2,90+Inputs!$B$26+Inputs!$B$29,IF(Skills!C13=3,120+Inputs!$B$27+Inputs!$B$29,MAX(0,(Inputs!$B$3-100)*3)+Inputs!$B$28+Inputs!$B$29)))</f>
        <v/>
      </c>
      <c r="E476">
        <f>INDEX(FactorTable!$B$2:$Y$301, MATCH(ROUND(MIN(300,MAX(1,D476)),0), FactorTable!$A$2:$A$301,0), Skills!M13+1)</f>
        <v/>
      </c>
      <c r="F476">
        <f>IF(Skills!N13=TRUE,(Skills!L13/10)*(E476/1000),Skills!L13/10)+Skills!O13</f>
        <v/>
      </c>
      <c r="G476">
        <f>Skills!G13*IF(Skills!H13&gt;0,Skills!I13/Skills!H13,1)</f>
        <v/>
      </c>
      <c r="H476">
        <f>1-(1-Skills!J13/100)^Skills!K13</f>
        <v/>
      </c>
      <c r="I476" t="inlineStr">
        <is>
          <t>1</t>
        </is>
      </c>
      <c r="J476">
        <f>((Inputs!$B$6*(1+Inputs!$B$7/100))+(((Inputs!$B$12*(1+Inputs!$B$13/100))-(Inputs!$B$12*(1+Inputs!$B$13/100)))+0.25*(Inputs!$B$14-Inputs!$B$14))*(1+Inputs!$B$7/100))*(F476/100)</f>
        <v/>
      </c>
      <c r="K476">
        <f>J476*(1+((Inputs!$B$12*(1+Inputs!$B$13/100))*0.01+Inputs!$B$14*0.0025)/100)*(1+Inputs!$B$15/100)*(1+Inputs!$B$16/100)*(5000/(6000+Inputs!$B$42*(1-(Inputs!$B$19+0)/100)))*(1+(Inputs!$B$24+((C489=TRUE)*(F489-Calc!F26))+B499)/100)*(1+(IF(Skills!A13="EIGHT_LEGS_EASTON",Inputs!$B$17+((C486=TRUE)*(F486-Calc!F23))+((C490=TRUE)*(F490-Calc!F27)),Inputs!$B$18+0))/100)*((1+(((C480=TRUE)*F480)+((C487=TRUE)*(F487-Calc!F24)))/100)*I476)</f>
        <v/>
      </c>
      <c r="L476">
        <f>K476*(MIN(Inputs!$B$22+((C485=TRUE)*(F485-Calc!F22)),Inputs!$B$23+0)/100+(Inputs!$B$23+0)/100)/2</f>
        <v/>
      </c>
      <c r="M476">
        <f>L476*(1+(Inputs!$B$10+((C488=TRUE)*(F488-Calc!F25))+B498)/100)</f>
        <v/>
      </c>
      <c r="N476">
        <f>L476*(1-MIN(((Inputs!$B$9+1)+((C482=TRUE)*(F482-Calc!F19))+B493),100)/100)+M476*(MIN(((Inputs!$B$9+1)+((C482=TRUE)*(F482-Calc!F19))+B493),100)/100)</f>
        <v/>
      </c>
      <c r="O476">
        <f>(1-Summary!$B$55)*T476+Summary!$B$55*V476</f>
        <v/>
      </c>
      <c r="P476">
        <f>IF(B503=0,0,O476/B503)</f>
        <v/>
      </c>
      <c r="Q476">
        <f>IFERROR(1/IF(Inputs!$B$38="pvp",15,MAX(0.1,Skills!D13-IF(Skills!E13=TRUE,Inputs!$B$32,0))),0)</f>
        <v/>
      </c>
      <c r="R476">
        <f>IF(AND(Inputs!$B$38&lt;&gt;"pvp",Inputs!$B$43&gt;0),IF(MAX(0,Inputs!$B$43-B500)&lt;=0,0,(INT(MAX(0,Inputs!$B$43-B500)/IF(Inputs!$B$38="pvp",15,MAX(0.1,Skills!D13-IF(Skills!E13=TRUE,Inputs!$B$32,0))))+1)),0)</f>
        <v/>
      </c>
      <c r="S476">
        <f>IFERROR(O476/N476,0)</f>
        <v/>
      </c>
      <c r="T476">
        <f>IF(C476,(H476*N476*IF(AND(Inputs!$B$38&lt;&gt;"pvp",Inputs!$B$43&gt;0),((Skills!G13*((R476-1)*IF(Skills!H13&gt;0,Skills!I13/Skills!H13,1)+IF(Skills!H13&gt;0,MIN(Skills!I13,MAX(0,MAX(0,Inputs!$B$43-B500)-((R476-1)*IF(Inputs!$B$38="pvp",15,MAX(0.1,Skills!D13-IF(Skills!E13=TRUE,Inputs!$B$32,0))))))/Skills!H13,1)))/Inputs!$B$43),G476*Q476))*IF(Inputs!$B$38="pvp",1,1+(Inputs!$B$20+0+Skills!P13)/100),0)</f>
        <v/>
      </c>
      <c r="V476">
        <f>IF(C476,(H476*N476*IF(AND(Inputs!$B$38&lt;&gt;"pvp",Inputs!$B$43&gt;0),((Skills!G13*((R476-1)*IF(Skills!H13&gt;0,Skills!I13/Skills!H13,1)+IF(Skills!H13&gt;0,MIN(Skills!I13,MAX(0,MAX(0,Inputs!$B$43-B500)-((R476-1)*IF(Inputs!$B$38="pvp",15,MAX(0.1,Skills!D13-IF(Skills!E13=TRUE,Inputs!$B$32,0))))))/Skills!H13,1)))/Inputs!$B$43),G476*Q476))*IF(Inputs!$B$38="pvp",1,(1+(Inputs!$B$21+Skills!Q13)/100)*(MIN(Skills!R13,Inputs!$B$37))),0)</f>
        <v/>
      </c>
    </row>
    <row r="477">
      <c r="A477">
        <f>Skills!A14</f>
        <v/>
      </c>
      <c r="B477">
        <f>Skills!B14</f>
        <v/>
      </c>
      <c r="C477">
        <f>Inputs!$B$3&gt;=125</f>
        <v/>
      </c>
      <c r="D477">
        <f>IF(Skills!C14=1,60+Inputs!$B$25+Inputs!$B$29,IF(Skills!C14=2,90+Inputs!$B$26+Inputs!$B$29,IF(Skills!C14=3,120+Inputs!$B$27+Inputs!$B$29,MAX(0,(Inputs!$B$3-100)*3)+Inputs!$B$28+Inputs!$B$29)))</f>
        <v/>
      </c>
      <c r="E477">
        <f>INDEX(FactorTable!$B$2:$Y$301, MATCH(ROUND(MIN(300,MAX(1,D477)),0), FactorTable!$A$2:$A$301,0), Skills!M14+1)</f>
        <v/>
      </c>
      <c r="F477">
        <f>IF(Skills!N14=TRUE,(Skills!L14/10)*(E477/1000),Skills!L14/10)+Skills!O14</f>
        <v/>
      </c>
      <c r="G477">
        <f>Skills!G14*IF(Skills!H14&gt;0,Skills!I14/Skills!H14,1)</f>
        <v/>
      </c>
      <c r="H477">
        <f>1-(1-Skills!J14/100)^Skills!K14</f>
        <v/>
      </c>
      <c r="I477" t="inlineStr">
        <is>
          <t>1</t>
        </is>
      </c>
      <c r="J477">
        <f>((Inputs!$B$6*(1+Inputs!$B$7/100))+(((Inputs!$B$12*(1+Inputs!$B$13/100))-(Inputs!$B$12*(1+Inputs!$B$13/100)))+0.25*(Inputs!$B$14-Inputs!$B$14))*(1+Inputs!$B$7/100))*(F477/100)</f>
        <v/>
      </c>
      <c r="K477">
        <f>J477*(1+((Inputs!$B$12*(1+Inputs!$B$13/100))*0.01+Inputs!$B$14*0.0025)/100)*(1+Inputs!$B$15/100)*(1+Inputs!$B$16/100)*(5000/(6000+Inputs!$B$42*(1-(Inputs!$B$19+0)/100)))*(1+(Inputs!$B$24+((C489=TRUE)*(F489-Calc!F26))+B499)/100)*(1+(IF(Skills!A14="EIGHT_LEGS_EASTON",Inputs!$B$17+((C486=TRUE)*(F486-Calc!F23))+((C490=TRUE)*(F490-Calc!F27)),Inputs!$B$18+0))/100)*((1+(((C480=TRUE)*F480)+((C487=TRUE)*(F487-Calc!F24)))/100)*I477)</f>
        <v/>
      </c>
      <c r="L477">
        <f>K477*(MIN(Inputs!$B$22+((C485=TRUE)*(F485-Calc!F22)),Inputs!$B$23+0)/100+(Inputs!$B$23+0)/100)/2</f>
        <v/>
      </c>
      <c r="M477">
        <f>L477*(1+(Inputs!$B$10+((C488=TRUE)*(F488-Calc!F25))+B498)/100)</f>
        <v/>
      </c>
      <c r="N477">
        <f>L477*(1-MIN(((Inputs!$B$9+1)+((C482=TRUE)*(F482-Calc!F19))+B493),100)/100)+M477*(MIN(((Inputs!$B$9+1)+((C482=TRUE)*(F482-Calc!F19))+B493),100)/100)</f>
        <v/>
      </c>
      <c r="O477">
        <f>(1-Summary!$B$55)*T477+Summary!$B$55*V477</f>
        <v/>
      </c>
      <c r="P477">
        <f>IF(B503=0,0,O477/B503)</f>
        <v/>
      </c>
      <c r="Q477" t="n">
        <v>0</v>
      </c>
      <c r="R477" t="n">
        <v>0</v>
      </c>
      <c r="S477">
        <f>IFERROR(O477/N477,0)</f>
        <v/>
      </c>
      <c r="T477">
        <f>IF(C477,(H477*N477*(B497+IF(AND(Inputs!$B$38&lt;&gt;"pvp",Inputs!$B$43&gt;0),((Skills!G8*((R471-1)*IF(Skills!H8&gt;0,Skills!I8/Skills!H8,1)+IF(Skills!H8&gt;0,MIN(Skills!I8,MAX(0,MAX(0,Inputs!$B$43-B500)-((R471-1)*IF(Inputs!$B$38="pvp",15,MAX(0.1,Skills!D8-IF(Skills!E8=TRUE,Inputs!$B$32,0))))))/Skills!H8,1)))/Inputs!$B$43),G471*Q471)+IF(AND(Inputs!$B$38&lt;&gt;"pvp",Inputs!$B$43&gt;0),((Skills!G11*((R474-1)*IF(Skills!H11&gt;0,Skills!I11/Skills!H11,1)+IF(Skills!H11&gt;0,MIN(Skills!I11,MAX(0,MAX(0,Inputs!$B$43-B500)-((R474-1)*IF(Inputs!$B$38="pvp",15,MAX(0.1,Skills!D11-IF(Skills!E11=TRUE,Inputs!$B$32,0))))))/Skills!H11,1)))/Inputs!$B$43),G474*Q474)))*IF(Inputs!$B$38="pvp",1,1+(Inputs!$B$20+0+Skills!P14)/100),0)</f>
        <v/>
      </c>
      <c r="V477">
        <f>IF(C477,(H477*N477*(B497+IF(AND(Inputs!$B$38&lt;&gt;"pvp",Inputs!$B$43&gt;0),((Skills!G8*((R471-1)*IF(Skills!H8&gt;0,Skills!I8/Skills!H8,1)+IF(Skills!H8&gt;0,MIN(Skills!I8,MAX(0,MAX(0,Inputs!$B$43-B500)-((R471-1)*IF(Inputs!$B$38="pvp",15,MAX(0.1,Skills!D8-IF(Skills!E8=TRUE,Inputs!$B$32,0))))))/Skills!H8,1)))/Inputs!$B$43),G471*Q471)+IF(AND(Inputs!$B$38&lt;&gt;"pvp",Inputs!$B$43&gt;0),((Skills!G11*((R474-1)*IF(Skills!H11&gt;0,Skills!I11/Skills!H11,1)+IF(Skills!H11&gt;0,MIN(Skills!I11,MAX(0,MAX(0,Inputs!$B$43-B500)-((R474-1)*IF(Inputs!$B$38="pvp",15,MAX(0.1,Skills!D11-IF(Skills!E11=TRUE,Inputs!$B$32,0))))))/Skills!H11,1)))/Inputs!$B$43),G474*Q474)))*IF(Inputs!$B$38="pvp",1,(1+(Inputs!$B$21+Skills!Q14)/100)*(MIN(Skills!R14,Inputs!$B$37))),0)</f>
        <v/>
      </c>
    </row>
    <row r="478">
      <c r="A478">
        <f>Skills!A15</f>
        <v/>
      </c>
      <c r="B478">
        <f>Skills!B15</f>
        <v/>
      </c>
      <c r="C478">
        <f>Inputs!$B$3&gt;=100</f>
        <v/>
      </c>
      <c r="D478">
        <f>IF(Skills!C15=1,60+Inputs!$B$25+Inputs!$B$29,IF(Skills!C15=2,90+Inputs!$B$26+Inputs!$B$29,IF(Skills!C15=3,120+Inputs!$B$27+Inputs!$B$29,MAX(0,(Inputs!$B$3-100)*3)+Inputs!$B$28+Inputs!$B$29)))</f>
        <v/>
      </c>
      <c r="E478">
        <f>INDEX(FactorTable!$B$2:$Y$301, MATCH(ROUND(MIN(300,MAX(1,D478)),0), FactorTable!$A$2:$A$301,0), Skills!M15+1)</f>
        <v/>
      </c>
      <c r="F478">
        <f>IF(Skills!N15=TRUE,(Skills!L15/10)*(E478/1000),Skills!L15/10)+Skills!O15</f>
        <v/>
      </c>
      <c r="G478" t="inlineStr"/>
      <c r="H478" t="inlineStr"/>
      <c r="I478" t="inlineStr">
        <is>
          <t>1</t>
        </is>
      </c>
      <c r="J478" t="inlineStr"/>
      <c r="K478" t="inlineStr"/>
      <c r="L478" t="inlineStr"/>
      <c r="M478" t="inlineStr"/>
      <c r="N478" t="inlineStr"/>
      <c r="O478" t="inlineStr"/>
      <c r="P478" t="inlineStr"/>
      <c r="Q478" t="inlineStr"/>
      <c r="R478" t="inlineStr"/>
      <c r="S478" t="inlineStr"/>
    </row>
    <row r="479">
      <c r="A479">
        <f>Skills!A16</f>
        <v/>
      </c>
      <c r="B479">
        <f>Skills!B16</f>
        <v/>
      </c>
      <c r="C479">
        <f>Inputs!$B$3&gt;=120</f>
        <v/>
      </c>
      <c r="D479">
        <f>IF(Skills!C16=1,60+Inputs!$B$25+Inputs!$B$29,IF(Skills!C16=2,90+Inputs!$B$26+Inputs!$B$29,IF(Skills!C16=3,120+Inputs!$B$27+Inputs!$B$29,MAX(0,(Inputs!$B$3-100)*3)+Inputs!$B$28+Inputs!$B$29)))</f>
        <v/>
      </c>
      <c r="E479">
        <f>INDEX(FactorTable!$B$2:$Y$301, MATCH(ROUND(MIN(300,MAX(1,D479)),0), FactorTable!$A$2:$A$301,0), Skills!M16+1)</f>
        <v/>
      </c>
      <c r="F479">
        <f>IF(Skills!N16=TRUE,(Skills!L16/10)*(E479/1000),Skills!L16/10)+Skills!O16</f>
        <v/>
      </c>
      <c r="G479" t="inlineStr"/>
      <c r="H479" t="inlineStr"/>
      <c r="I479" t="inlineStr">
        <is>
          <t>1</t>
        </is>
      </c>
      <c r="J479" t="inlineStr"/>
      <c r="K479" t="inlineStr"/>
      <c r="L479" t="inlineStr"/>
      <c r="M479" t="inlineStr"/>
      <c r="N479" t="inlineStr"/>
      <c r="O479" t="inlineStr"/>
      <c r="P479" t="inlineStr"/>
      <c r="Q479" t="inlineStr"/>
      <c r="R479" t="inlineStr"/>
      <c r="S479" t="inlineStr"/>
    </row>
    <row r="480">
      <c r="A480">
        <f>Skills!A17</f>
        <v/>
      </c>
      <c r="B480">
        <f>Skills!B17</f>
        <v/>
      </c>
      <c r="C480">
        <f>Inputs!$B$3&gt;=66</f>
        <v/>
      </c>
      <c r="D480">
        <f>IF(Skills!C17=1,60+Inputs!$B$25+Inputs!$B$29,IF(Skills!C17=2,90+Inputs!$B$26+Inputs!$B$29,IF(Skills!C17=3,120+Inputs!$B$27+Inputs!$B$29,MAX(0,(Inputs!$B$3-100)*3)+Inputs!$B$28+Inputs!$B$29)))</f>
        <v/>
      </c>
      <c r="E480">
        <f>INDEX(FactorTable!$B$2:$Y$301, MATCH(ROUND(MIN(300,MAX(1,D480)),0), FactorTable!$A$2:$A$301,0), Skills!M17+1)</f>
        <v/>
      </c>
      <c r="F480">
        <f>IF(Skills!N17=TRUE,(Skills!L17/10)*(E480/1000),Skills!L17/10)+Skills!O17</f>
        <v/>
      </c>
      <c r="G480">
        <f>Skills!G17*IF(Skills!H17&gt;0,Skills!I17/Skills!H17,1)</f>
        <v/>
      </c>
      <c r="H480">
        <f>1-(1-Skills!J17/100)^Skills!K17</f>
        <v/>
      </c>
      <c r="I480" t="inlineStr">
        <is>
          <t>1</t>
        </is>
      </c>
      <c r="J480" t="inlineStr"/>
      <c r="K480" t="inlineStr"/>
      <c r="L480" t="inlineStr"/>
      <c r="M480" t="inlineStr"/>
      <c r="N480" t="inlineStr"/>
      <c r="O480">
        <f>(1-Summary!$B$55)*T480+Summary!$B$55*V480</f>
        <v/>
      </c>
      <c r="P480">
        <f>IF(B503=0,0,O480/B503)</f>
        <v/>
      </c>
      <c r="Q480" t="n">
        <v>0</v>
      </c>
      <c r="R480" t="n">
        <v>0</v>
      </c>
      <c r="S480">
        <f>IFERROR(O480/N480,0)</f>
        <v/>
      </c>
      <c r="T480" t="n">
        <v>0</v>
      </c>
      <c r="V480" t="n">
        <v>0</v>
      </c>
    </row>
    <row r="481">
      <c r="A481">
        <f>Skills!A18</f>
        <v/>
      </c>
      <c r="B481">
        <f>Skills!B18</f>
        <v/>
      </c>
      <c r="C481">
        <f>Inputs!$B$3&gt;=115</f>
        <v/>
      </c>
      <c r="D481">
        <f>IF(Skills!C18=1,60+Inputs!$B$25+Inputs!$B$29,IF(Skills!C18=2,90+Inputs!$B$26+Inputs!$B$29,IF(Skills!C18=3,120+Inputs!$B$27+Inputs!$B$29,MAX(0,(Inputs!$B$3-100)*3)+Inputs!$B$28+Inputs!$B$29)))</f>
        <v/>
      </c>
      <c r="E481">
        <f>INDEX(FactorTable!$B$2:$Y$301, MATCH(ROUND(MIN(300,MAX(1,D481)),0), FactorTable!$A$2:$A$301,0), Skills!M18+1)</f>
        <v/>
      </c>
      <c r="F481">
        <f>IF(Skills!N18=TRUE,(Skills!L18/10)*(E481/1000),Skills!L18/10)+Skills!O18</f>
        <v/>
      </c>
      <c r="G481">
        <f>Skills!G18*IF(Skills!H18&gt;0,Skills!I18/Skills!H18,1)</f>
        <v/>
      </c>
      <c r="H481">
        <f>1-(1-Skills!J18/100)^Skills!K18</f>
        <v/>
      </c>
      <c r="I481" t="inlineStr">
        <is>
          <t>1</t>
        </is>
      </c>
      <c r="J481" t="inlineStr"/>
      <c r="K481" t="inlineStr"/>
      <c r="L481" t="inlineStr"/>
      <c r="M481" t="inlineStr"/>
      <c r="N481" t="inlineStr"/>
      <c r="O481">
        <f>(1-Summary!$B$55)*T481+Summary!$B$55*V481</f>
        <v/>
      </c>
      <c r="P481">
        <f>IF(B503=0,0,O481/B503)</f>
        <v/>
      </c>
      <c r="Q481" t="n">
        <v>0</v>
      </c>
      <c r="R481" t="n">
        <v>0</v>
      </c>
      <c r="S481">
        <f>IFERROR(O481/N481,0)</f>
        <v/>
      </c>
      <c r="T481" t="n">
        <v>0</v>
      </c>
      <c r="V481" t="n">
        <v>0</v>
      </c>
    </row>
    <row r="482">
      <c r="A482">
        <f>Skills!A19</f>
        <v/>
      </c>
      <c r="B482">
        <f>Skills!B19</f>
        <v/>
      </c>
      <c r="C482">
        <f>Inputs!$B$3&gt;=15</f>
        <v/>
      </c>
      <c r="D482">
        <f>IF(Skills!C19=1,60+Inputs!$B$25+Inputs!$B$29,IF(Skills!C19=2,90+Inputs!$B$26+Inputs!$B$29,IF(Skills!C19=3,120+Inputs!$B$27+Inputs!$B$29,MAX(0,(Inputs!$B$3-100)*3)+Inputs!$B$28+Inputs!$B$29)))</f>
        <v/>
      </c>
      <c r="E482">
        <f>INDEX(FactorTable!$B$2:$Y$301, MATCH(ROUND(MIN(300,MAX(1,D482)),0), FactorTable!$A$2:$A$301,0), Skills!M19+1)</f>
        <v/>
      </c>
      <c r="F482">
        <f>IF(Skills!N19=TRUE,(Skills!L19/10)*(E482/1000),Skills!L19/10)+Skills!O19</f>
        <v/>
      </c>
      <c r="G482">
        <f>Skills!G19*IF(Skills!H19&gt;0,Skills!I19/Skills!H19,1)</f>
        <v/>
      </c>
      <c r="H482">
        <f>1-(1-Skills!J19/100)^Skills!K19</f>
        <v/>
      </c>
      <c r="I482" t="inlineStr">
        <is>
          <t>1</t>
        </is>
      </c>
      <c r="J482" t="inlineStr"/>
      <c r="K482" t="inlineStr"/>
      <c r="L482" t="inlineStr"/>
      <c r="M482" t="inlineStr"/>
      <c r="N482" t="inlineStr"/>
      <c r="O482">
        <f>(1-Summary!$B$55)*T482+Summary!$B$55*V482</f>
        <v/>
      </c>
      <c r="P482">
        <f>IF(B503=0,0,O482/B503)</f>
        <v/>
      </c>
      <c r="Q482" t="n">
        <v>0</v>
      </c>
      <c r="R482" t="n">
        <v>0</v>
      </c>
      <c r="S482">
        <f>IFERROR(O482/N482,0)</f>
        <v/>
      </c>
      <c r="T482" t="n">
        <v>0</v>
      </c>
      <c r="V482" t="n">
        <v>0</v>
      </c>
    </row>
    <row r="483">
      <c r="A483">
        <f>Skills!A20</f>
        <v/>
      </c>
      <c r="B483">
        <f>Skills!B20</f>
        <v/>
      </c>
      <c r="C483">
        <f>Inputs!$B$3&gt;=10</f>
        <v/>
      </c>
      <c r="D483">
        <f>IF(Skills!C20=1,60+Inputs!$B$25+Inputs!$B$29,IF(Skills!C20=2,90+Inputs!$B$26+Inputs!$B$29,IF(Skills!C20=3,120+Inputs!$B$27+Inputs!$B$29,MAX(0,(Inputs!$B$3-100)*3)+Inputs!$B$28+Inputs!$B$29)))</f>
        <v/>
      </c>
      <c r="E483">
        <f>INDEX(FactorTable!$B$2:$Y$301, MATCH(ROUND(MIN(300,MAX(1,D483)),0), FactorTable!$A$2:$A$301,0), Skills!M20+1)</f>
        <v/>
      </c>
      <c r="F483">
        <f>IF(Skills!N20=TRUE,(Skills!L20/10)*(E483/1000),Skills!L20/10)+Skills!O20</f>
        <v/>
      </c>
      <c r="G483">
        <f>Skills!G20*IF(Skills!H20&gt;0,Skills!I20/Skills!H20,1)</f>
        <v/>
      </c>
      <c r="H483">
        <f>1-(1-Skills!J20/100)^Skills!K20</f>
        <v/>
      </c>
      <c r="I483" t="inlineStr">
        <is>
          <t>1</t>
        </is>
      </c>
      <c r="J483" t="inlineStr"/>
      <c r="K483" t="inlineStr"/>
      <c r="L483" t="inlineStr"/>
      <c r="M483" t="inlineStr"/>
      <c r="N483" t="inlineStr"/>
      <c r="O483">
        <f>(1-Summary!$B$55)*T483+Summary!$B$55*V483</f>
        <v/>
      </c>
      <c r="P483">
        <f>IF(B503=0,0,O483/B503)</f>
        <v/>
      </c>
      <c r="Q483" t="n">
        <v>0</v>
      </c>
      <c r="R483" t="n">
        <v>0</v>
      </c>
      <c r="S483">
        <f>IFERROR(O483/N483,0)</f>
        <v/>
      </c>
      <c r="T483" t="n">
        <v>0</v>
      </c>
      <c r="V483" t="n">
        <v>0</v>
      </c>
    </row>
    <row r="484">
      <c r="A484">
        <f>Skills!A21</f>
        <v/>
      </c>
      <c r="B484">
        <f>Skills!B21</f>
        <v/>
      </c>
      <c r="C484">
        <f>Inputs!$B$3&gt;=33</f>
        <v/>
      </c>
      <c r="D484">
        <f>IF(Skills!C21=1,60+Inputs!$B$25+Inputs!$B$29,IF(Skills!C21=2,90+Inputs!$B$26+Inputs!$B$29,IF(Skills!C21=3,120+Inputs!$B$27+Inputs!$B$29,MAX(0,(Inputs!$B$3-100)*3)+Inputs!$B$28+Inputs!$B$29)))</f>
        <v/>
      </c>
      <c r="E484">
        <f>INDEX(FactorTable!$B$2:$Y$301, MATCH(ROUND(MIN(300,MAX(1,D484)),0), FactorTable!$A$2:$A$301,0), Skills!M21+1)</f>
        <v/>
      </c>
      <c r="F484">
        <f>IF(Skills!N21=TRUE,(Skills!L21/10)*(E484/1000),Skills!L21/10)+Skills!O21</f>
        <v/>
      </c>
      <c r="G484">
        <f>Skills!G21*IF(Skills!H21&gt;0,Skills!I21/Skills!H21,1)</f>
        <v/>
      </c>
      <c r="H484">
        <f>1-(1-Skills!J21/100)^Skills!K21</f>
        <v/>
      </c>
      <c r="I484" t="inlineStr">
        <is>
          <t>1</t>
        </is>
      </c>
      <c r="J484" t="inlineStr"/>
      <c r="K484" t="inlineStr"/>
      <c r="L484" t="inlineStr"/>
      <c r="M484" t="inlineStr"/>
      <c r="N484" t="inlineStr"/>
      <c r="O484">
        <f>(1-Summary!$B$55)*T484+Summary!$B$55*V484</f>
        <v/>
      </c>
      <c r="P484">
        <f>IF(B503=0,0,O484/B503)</f>
        <v/>
      </c>
      <c r="Q484" t="n">
        <v>0</v>
      </c>
      <c r="R484" t="n">
        <v>0</v>
      </c>
      <c r="S484">
        <f>IFERROR(O484/N484,0)</f>
        <v/>
      </c>
      <c r="T484" t="n">
        <v>0</v>
      </c>
      <c r="V484" t="n">
        <v>0</v>
      </c>
    </row>
    <row r="485">
      <c r="A485">
        <f>Skills!A22</f>
        <v/>
      </c>
      <c r="B485">
        <f>Skills!B22</f>
        <v/>
      </c>
      <c r="C485">
        <f>Inputs!$B$3&gt;=43</f>
        <v/>
      </c>
      <c r="D485">
        <f>IF(Skills!C22=1,60+Inputs!$B$25+Inputs!$B$29,IF(Skills!C22=2,90+Inputs!$B$26+Inputs!$B$29,IF(Skills!C22=3,120+Inputs!$B$27+Inputs!$B$29,MAX(0,(Inputs!$B$3-100)*3)+Inputs!$B$28+Inputs!$B$29)))</f>
        <v/>
      </c>
      <c r="E485">
        <f>INDEX(FactorTable!$B$2:$Y$301, MATCH(ROUND(MIN(300,MAX(1,D485)),0), FactorTable!$A$2:$A$301,0), Skills!M22+1)</f>
        <v/>
      </c>
      <c r="F485">
        <f>IF(Skills!N22=TRUE,(Skills!L22/10)*(E485/1000),Skills!L22/10)+Skills!O22</f>
        <v/>
      </c>
      <c r="G485">
        <f>Skills!G22*IF(Skills!H22&gt;0,Skills!I22/Skills!H22,1)</f>
        <v/>
      </c>
      <c r="H485">
        <f>1-(1-Skills!J22/100)^Skills!K22</f>
        <v/>
      </c>
      <c r="I485" t="inlineStr">
        <is>
          <t>1</t>
        </is>
      </c>
      <c r="J485" t="inlineStr"/>
      <c r="K485" t="inlineStr"/>
      <c r="L485" t="inlineStr"/>
      <c r="M485" t="inlineStr"/>
      <c r="N485" t="inlineStr"/>
      <c r="O485">
        <f>(1-Summary!$B$55)*T485+Summary!$B$55*V485</f>
        <v/>
      </c>
      <c r="P485">
        <f>IF(B503=0,0,O485/B503)</f>
        <v/>
      </c>
      <c r="Q485" t="n">
        <v>0</v>
      </c>
      <c r="R485" t="n">
        <v>0</v>
      </c>
      <c r="S485">
        <f>IFERROR(O485/N485,0)</f>
        <v/>
      </c>
      <c r="T485" t="n">
        <v>0</v>
      </c>
      <c r="V485" t="n">
        <v>0</v>
      </c>
    </row>
    <row r="486">
      <c r="A486">
        <f>Skills!A23</f>
        <v/>
      </c>
      <c r="B486">
        <f>Skills!B23</f>
        <v/>
      </c>
      <c r="C486">
        <f>Inputs!$B$3&gt;=38</f>
        <v/>
      </c>
      <c r="D486">
        <f>IF(Skills!C23=1,60+Inputs!$B$25+Inputs!$B$29,IF(Skills!C23=2,90+Inputs!$B$26+Inputs!$B$29,IF(Skills!C23=3,120+Inputs!$B$27+Inputs!$B$29,MAX(0,(Inputs!$B$3-100)*3)+Inputs!$B$28+Inputs!$B$29)))</f>
        <v/>
      </c>
      <c r="E486">
        <f>INDEX(FactorTable!$B$2:$Y$301, MATCH(ROUND(MIN(300,MAX(1,D486)),0), FactorTable!$A$2:$A$301,0), Skills!M23+1)</f>
        <v/>
      </c>
      <c r="F486">
        <f>IF(Skills!N23=TRUE,(Skills!L23/10)*(E486/1000),Skills!L23/10)+Skills!O23</f>
        <v/>
      </c>
      <c r="G486">
        <f>Skills!G23*IF(Skills!H23&gt;0,Skills!I23/Skills!H23,1)</f>
        <v/>
      </c>
      <c r="H486">
        <f>1-(1-Skills!J23/100)^Skills!K23</f>
        <v/>
      </c>
      <c r="I486" t="inlineStr">
        <is>
          <t>1</t>
        </is>
      </c>
      <c r="J486" t="inlineStr"/>
      <c r="K486" t="inlineStr"/>
      <c r="L486" t="inlineStr"/>
      <c r="M486" t="inlineStr"/>
      <c r="N486" t="inlineStr"/>
      <c r="O486">
        <f>(1-Summary!$B$55)*T486+Summary!$B$55*V486</f>
        <v/>
      </c>
      <c r="P486">
        <f>IF(B503=0,0,O486/B503)</f>
        <v/>
      </c>
      <c r="Q486" t="n">
        <v>0</v>
      </c>
      <c r="R486" t="n">
        <v>0</v>
      </c>
      <c r="S486">
        <f>IFERROR(O486/N486,0)</f>
        <v/>
      </c>
      <c r="T486" t="n">
        <v>0</v>
      </c>
      <c r="V486" t="n">
        <v>0</v>
      </c>
    </row>
    <row r="487">
      <c r="A487">
        <f>Skills!A24</f>
        <v/>
      </c>
      <c r="B487">
        <f>Skills!B24</f>
        <v/>
      </c>
      <c r="C487">
        <f>Inputs!$B$3&gt;=40</f>
        <v/>
      </c>
      <c r="D487">
        <f>IF(Skills!C24=1,60+Inputs!$B$25+Inputs!$B$29,IF(Skills!C24=2,90+Inputs!$B$26+Inputs!$B$29,IF(Skills!C24=3,120+Inputs!$B$27+Inputs!$B$29,MAX(0,(Inputs!$B$3-100)*3)+Inputs!$B$28+Inputs!$B$29)))</f>
        <v/>
      </c>
      <c r="E487">
        <f>INDEX(FactorTable!$B$2:$Y$301, MATCH(ROUND(MIN(300,MAX(1,D487)),0), FactorTable!$A$2:$A$301,0), Skills!M24+1)</f>
        <v/>
      </c>
      <c r="F487">
        <f>IF(Skills!N24=TRUE,(Skills!L24/10)*(E487/1000),Skills!L24/10)+Skills!O24</f>
        <v/>
      </c>
      <c r="G487">
        <f>Skills!G24*IF(Skills!H24&gt;0,Skills!I24/Skills!H24,1)</f>
        <v/>
      </c>
      <c r="H487">
        <f>1-(1-Skills!J24/100)^Skills!K24</f>
        <v/>
      </c>
      <c r="I487" t="inlineStr">
        <is>
          <t>1</t>
        </is>
      </c>
      <c r="J487" t="inlineStr"/>
      <c r="K487" t="inlineStr"/>
      <c r="L487" t="inlineStr"/>
      <c r="M487" t="inlineStr"/>
      <c r="N487" t="inlineStr"/>
      <c r="O487">
        <f>(1-Summary!$B$55)*T487+Summary!$B$55*V487</f>
        <v/>
      </c>
      <c r="P487">
        <f>IF(B503=0,0,O487/B503)</f>
        <v/>
      </c>
      <c r="Q487" t="n">
        <v>0</v>
      </c>
      <c r="R487" t="n">
        <v>0</v>
      </c>
      <c r="S487">
        <f>IFERROR(O487/N487,0)</f>
        <v/>
      </c>
      <c r="T487" t="n">
        <v>0</v>
      </c>
      <c r="V487" t="n">
        <v>0</v>
      </c>
    </row>
    <row r="488">
      <c r="A488">
        <f>Skills!A25</f>
        <v/>
      </c>
      <c r="B488">
        <f>Skills!B25</f>
        <v/>
      </c>
      <c r="C488">
        <f>Inputs!$B$3&gt;=72</f>
        <v/>
      </c>
      <c r="D488">
        <f>IF(Skills!C25=1,60+Inputs!$B$25+Inputs!$B$29,IF(Skills!C25=2,90+Inputs!$B$26+Inputs!$B$29,IF(Skills!C25=3,120+Inputs!$B$27+Inputs!$B$29,MAX(0,(Inputs!$B$3-100)*3)+Inputs!$B$28+Inputs!$B$29)))</f>
        <v/>
      </c>
      <c r="E488">
        <f>INDEX(FactorTable!$B$2:$Y$301, MATCH(ROUND(MIN(300,MAX(1,D488)),0), FactorTable!$A$2:$A$301,0), Skills!M25+1)</f>
        <v/>
      </c>
      <c r="F488">
        <f>IF(Skills!N25=TRUE,(Skills!L25/10)*(E488/1000),Skills!L25/10)+Skills!O25</f>
        <v/>
      </c>
      <c r="G488">
        <f>Skills!G25*IF(Skills!H25&gt;0,Skills!I25/Skills!H25,1)</f>
        <v/>
      </c>
      <c r="H488">
        <f>1-(1-Skills!J25/100)^Skills!K25</f>
        <v/>
      </c>
      <c r="I488" t="inlineStr">
        <is>
          <t>1</t>
        </is>
      </c>
      <c r="J488" t="inlineStr"/>
      <c r="K488" t="inlineStr"/>
      <c r="L488" t="inlineStr"/>
      <c r="M488" t="inlineStr"/>
      <c r="N488" t="inlineStr"/>
      <c r="O488">
        <f>(1-Summary!$B$55)*T488+Summary!$B$55*V488</f>
        <v/>
      </c>
      <c r="P488">
        <f>IF(B503=0,0,O488/B503)</f>
        <v/>
      </c>
      <c r="Q488" t="n">
        <v>0</v>
      </c>
      <c r="R488" t="n">
        <v>0</v>
      </c>
      <c r="S488">
        <f>IFERROR(O488/N488,0)</f>
        <v/>
      </c>
      <c r="T488" t="n">
        <v>0</v>
      </c>
      <c r="V488" t="n">
        <v>0</v>
      </c>
    </row>
    <row r="489">
      <c r="A489">
        <f>Skills!A26</f>
        <v/>
      </c>
      <c r="B489">
        <f>Skills!B26</f>
        <v/>
      </c>
      <c r="C489">
        <f>Inputs!$B$3&gt;=75</f>
        <v/>
      </c>
      <c r="D489">
        <f>IF(Skills!C26=1,60+Inputs!$B$25+Inputs!$B$29,IF(Skills!C26=2,90+Inputs!$B$26+Inputs!$B$29,IF(Skills!C26=3,120+Inputs!$B$27+Inputs!$B$29,MAX(0,(Inputs!$B$3-100)*3)+Inputs!$B$28+Inputs!$B$29)))</f>
        <v/>
      </c>
      <c r="E489">
        <f>INDEX(FactorTable!$B$2:$Y$301, MATCH(ROUND(MIN(300,MAX(1,D489)),0), FactorTable!$A$2:$A$301,0), Skills!M26+1)</f>
        <v/>
      </c>
      <c r="F489">
        <f>IF(Skills!N26=TRUE,(Skills!L26/10)*(E489/1000),Skills!L26/10)+Skills!O26</f>
        <v/>
      </c>
      <c r="G489">
        <f>Skills!G26*IF(Skills!H26&gt;0,Skills!I26/Skills!H26,1)</f>
        <v/>
      </c>
      <c r="H489">
        <f>1-(1-Skills!J26/100)^Skills!K26</f>
        <v/>
      </c>
      <c r="I489" t="inlineStr">
        <is>
          <t>1</t>
        </is>
      </c>
      <c r="J489" t="inlineStr"/>
      <c r="K489" t="inlineStr"/>
      <c r="L489" t="inlineStr"/>
      <c r="M489" t="inlineStr"/>
      <c r="N489" t="inlineStr"/>
      <c r="O489">
        <f>(1-Summary!$B$55)*T489+Summary!$B$55*V489</f>
        <v/>
      </c>
      <c r="P489">
        <f>IF(B503=0,0,O489/B503)</f>
        <v/>
      </c>
      <c r="Q489" t="n">
        <v>0</v>
      </c>
      <c r="R489" t="n">
        <v>0</v>
      </c>
      <c r="S489">
        <f>IFERROR(O489/N489,0)</f>
        <v/>
      </c>
      <c r="T489" t="n">
        <v>0</v>
      </c>
      <c r="V489" t="n">
        <v>0</v>
      </c>
    </row>
    <row r="490">
      <c r="A490">
        <f>Skills!A27</f>
        <v/>
      </c>
      <c r="B490">
        <f>Skills!B27</f>
        <v/>
      </c>
      <c r="C490">
        <f>Inputs!$B$3&gt;=117</f>
        <v/>
      </c>
      <c r="D490">
        <f>IF(Skills!C27=1,60+Inputs!$B$25+Inputs!$B$29,IF(Skills!C27=2,90+Inputs!$B$26+Inputs!$B$29,IF(Skills!C27=3,120+Inputs!$B$27+Inputs!$B$29,MAX(0,(Inputs!$B$3-100)*3)+Inputs!$B$28+Inputs!$B$29)))</f>
        <v/>
      </c>
      <c r="E490">
        <f>INDEX(FactorTable!$B$2:$Y$301, MATCH(ROUND(MIN(300,MAX(1,D490)),0), FactorTable!$A$2:$A$301,0), Skills!M27+1)</f>
        <v/>
      </c>
      <c r="F490">
        <f>IF(Skills!N27=TRUE,(Skills!L27/10)*(E490/1000),Skills!L27/10)+Skills!O27</f>
        <v/>
      </c>
      <c r="G490">
        <f>Skills!G27*IF(Skills!H27&gt;0,Skills!I27/Skills!H27,1)</f>
        <v/>
      </c>
      <c r="H490">
        <f>1-(1-Skills!J27/100)^Skills!K27</f>
        <v/>
      </c>
      <c r="I490" t="inlineStr">
        <is>
          <t>1</t>
        </is>
      </c>
      <c r="J490" t="inlineStr"/>
      <c r="K490" t="inlineStr"/>
      <c r="L490" t="inlineStr"/>
      <c r="M490" t="inlineStr"/>
      <c r="N490" t="inlineStr"/>
      <c r="O490">
        <f>(1-Summary!$B$55)*T490+Summary!$B$55*V490</f>
        <v/>
      </c>
      <c r="P490">
        <f>IF(B503=0,0,O490/B503)</f>
        <v/>
      </c>
      <c r="Q490" t="n">
        <v>0</v>
      </c>
      <c r="R490" t="n">
        <v>0</v>
      </c>
      <c r="S490">
        <f>IFERROR(O490/N490,0)</f>
        <v/>
      </c>
      <c r="T490" t="n">
        <v>0</v>
      </c>
      <c r="V490" t="n">
        <v>0</v>
      </c>
    </row>
    <row r="492">
      <c r="A492" t="inlineStr">
        <is>
          <t>Attack% Bucket Multiplier</t>
        </is>
      </c>
      <c r="B492">
        <f>(1+(((C480=TRUE)*F480)+((C487=TRUE)*(F487-Calc!F24)))/100)</f>
        <v/>
      </c>
    </row>
    <row r="493">
      <c r="A493" t="inlineStr">
        <is>
          <t>Global Crit Rate Bonus %</t>
        </is>
      </c>
      <c r="B493" t="n">
        <v>0</v>
      </c>
    </row>
    <row r="494">
      <c r="A494" t="inlineStr">
        <is>
          <t>Attack Speed Buff Bonus % (unused)</t>
        </is>
      </c>
      <c r="B494" t="n">
        <v>0</v>
      </c>
    </row>
    <row r="495">
      <c r="A495" t="inlineStr">
        <is>
          <t>Actions Per Second</t>
        </is>
      </c>
      <c r="B495">
        <f>1+MIN(150,150*(1-(1-(Inputs!$B$11+((C483=TRUE)*(F483-Calc!F20))+((C484=TRUE)*(F484-Calc!F21)))/150)*(1-B494/150)))/100</f>
        <v/>
      </c>
    </row>
    <row r="496">
      <c r="A496" t="inlineStr">
        <is>
          <t>Skill + Buff Cast Rate</t>
        </is>
      </c>
      <c r="B496">
        <f>IF(AND(Inputs!$B$38&lt;&gt;"pvp",Inputs!$B$43&gt;0),SUMPRODUCT((Skills!E2:E27=TRUE)*(C465:C490=TRUE)*R465:R490*Skills!F2:F27)/Inputs!$B$43,SUMPRODUCT((Skills!E2:E27=TRUE)*(C465:C490=TRUE)*Q465:Q490*Skills!F2:F27))</f>
        <v/>
      </c>
    </row>
    <row r="497">
      <c r="A497" t="inlineStr">
        <is>
          <t>Eight-Legs Easton Casts Per Second</t>
        </is>
      </c>
      <c r="B497">
        <f>MAX(0,B495-B496)</f>
        <v/>
      </c>
    </row>
    <row r="498">
      <c r="A498" t="inlineStr">
        <is>
          <t>Global Critical Damage Bonus % (unused)</t>
        </is>
      </c>
      <c r="B498" t="n">
        <v>0</v>
      </c>
    </row>
    <row r="499">
      <c r="A499" t="inlineStr">
        <is>
          <t>Global Final Damage Bonus % (Jolly Roger only)</t>
        </is>
      </c>
      <c r="B499">
        <f>((C481=TRUE)*F481)</f>
        <v/>
      </c>
    </row>
    <row r="500">
      <c r="A500" t="inlineStr">
        <is>
          <t>Buff-Casting Startup Delay (s, fixed-duration only)</t>
        </is>
      </c>
      <c r="B500">
        <f>IF(AND(Inputs!$B$38&lt;&gt;"pvp",Inputs!$B$43&gt;0),SUMPRODUCT((Skills!T2:T27&gt;0)*(Skills!E2:E27=TRUE)*(C465:C490=TRUE))/B495,0)</f>
        <v/>
      </c>
    </row>
    <row r="501">
      <c r="A501" t="inlineStr">
        <is>
          <t>Boss-Only Total DPS (this block's swept value)</t>
        </is>
      </c>
      <c r="B501">
        <f>SUM(T465:T490)</f>
        <v/>
      </c>
    </row>
    <row r="502">
      <c r="A502" t="inlineStr">
        <is>
          <t>Normal-Only Total DPS (this block's swept value)</t>
        </is>
      </c>
      <c r="B502">
        <f>SUM(V465:V490)</f>
        <v/>
      </c>
    </row>
    <row r="503">
      <c r="A503" s="5" t="inlineStr">
        <is>
          <t>TOTAL DPS</t>
        </is>
      </c>
      <c r="B503" s="5">
        <f>SUM(O465:O490)</f>
        <v/>
      </c>
    </row>
    <row r="506">
      <c r="A506" s="5" t="inlineStr">
        <is>
          <t>Stat: CRIT_DAMAGE %</t>
        </is>
      </c>
    </row>
    <row r="507">
      <c r="A507" s="9" t="inlineStr">
        <is>
          <t>Key</t>
        </is>
      </c>
      <c r="B507" s="9" t="inlineStr">
        <is>
          <t>Name</t>
        </is>
      </c>
      <c r="C507" s="9" t="inlineStr">
        <is>
          <t>Unlocked</t>
        </is>
      </c>
      <c r="D507" s="9" t="inlineStr">
        <is>
          <t>InputLevel</t>
        </is>
      </c>
      <c r="E507" s="9" t="inlineStr">
        <is>
          <t>Factor</t>
        </is>
      </c>
      <c r="F507" s="9" t="inlineStr">
        <is>
          <t>CoefficientPercent</t>
        </is>
      </c>
      <c r="G507" s="9" t="inlineStr">
        <is>
          <t>EffectiveHits</t>
        </is>
      </c>
      <c r="H507" s="9" t="inlineStr">
        <is>
          <t>ProcProbability</t>
        </is>
      </c>
      <c r="I507" s="9" t="inlineStr">
        <is>
          <t>MapleHeroMultiplier</t>
        </is>
      </c>
      <c r="J507" s="9" t="inlineStr">
        <is>
          <t>BaseDamage</t>
        </is>
      </c>
      <c r="K507" s="9" t="inlineStr">
        <is>
          <t>BaseHitDamage</t>
        </is>
      </c>
      <c r="L507" s="9" t="inlineStr">
        <is>
          <t>NonCritAvg</t>
        </is>
      </c>
      <c r="M507" s="9" t="inlineStr">
        <is>
          <t>CritAvg</t>
        </is>
      </c>
      <c r="N507" s="9" t="inlineStr">
        <is>
          <t>ExpectedDamage(perHit)</t>
        </is>
      </c>
      <c r="O507" s="9" t="inlineStr">
        <is>
          <t>DPS</t>
        </is>
      </c>
      <c r="P507" s="9" t="inlineStr">
        <is>
          <t>% of Total</t>
        </is>
      </c>
      <c r="Q507" s="9" t="inlineStr">
        <is>
          <t>InvCooldown</t>
        </is>
      </c>
      <c r="R507" s="9" t="inlineStr">
        <is>
          <t>CastsInFight</t>
        </is>
      </c>
      <c r="S507" s="9" t="inlineStr">
        <is>
          <t>HitRate(perSec)</t>
        </is>
      </c>
      <c r="U507" t="inlineStr">
        <is>
          <t>helpers</t>
        </is>
      </c>
    </row>
    <row r="508">
      <c r="A508">
        <f>Skills!A2</f>
        <v/>
      </c>
      <c r="B508">
        <f>Skills!B2</f>
        <v/>
      </c>
      <c r="C508">
        <f>Inputs!$B$3&gt;=100</f>
        <v/>
      </c>
      <c r="D508" t="inlineStr"/>
      <c r="E508" t="inlineStr"/>
      <c r="F508">
        <f>U510+Skills!O2</f>
        <v/>
      </c>
      <c r="G508">
        <f>Skills!G2*IF(Skills!H2&gt;0,Skills!I2/Skills!H2,1)</f>
        <v/>
      </c>
      <c r="H508">
        <f>1-(1-Skills!J2/100)^Skills!K2</f>
        <v/>
      </c>
      <c r="I508" t="inlineStr">
        <is>
          <t>1</t>
        </is>
      </c>
      <c r="J508">
        <f>((Inputs!$B$6*(1+Inputs!$B$7/100))+(((Inputs!$B$12*(1+Inputs!$B$13/100))-(Inputs!$B$12*(1+Inputs!$B$13/100)))+0.25*(Inputs!$B$14-Inputs!$B$14))*(1+Inputs!$B$7/100))*(F508/100)</f>
        <v/>
      </c>
      <c r="K508">
        <f>J508*(1+((Inputs!$B$12*(1+Inputs!$B$13/100))*0.01+Inputs!$B$14*0.0025)/100)*(1+Inputs!$B$15/100)*(1+Inputs!$B$16/100)*(5000/(6000+Inputs!$B$42*(1-(Inputs!$B$19+0)/100)))*(1+(Inputs!$B$24+((C532=TRUE)*(F532-Calc!F26))+B542)/100)*(1+(IF(Skills!A2="EIGHT_LEGS_EASTON",Inputs!$B$17+((C529=TRUE)*(F529-Calc!F23))+((C533=TRUE)*(F533-Calc!F27)),Inputs!$B$18+0))/100)*((1+(((C523=TRUE)*F523)+((C530=TRUE)*(F530-Calc!F24)))/100)*I508)</f>
        <v/>
      </c>
      <c r="L508">
        <f>K508*(MIN(Inputs!$B$22+((C528=TRUE)*(F528-Calc!F22)),Inputs!$B$23+0)/100+(Inputs!$B$23+0)/100)/2</f>
        <v/>
      </c>
      <c r="M508">
        <f>L508*(1+((Inputs!$B$10+1)+((C531=TRUE)*(F531-Calc!F25))+B541)/100)</f>
        <v/>
      </c>
      <c r="N508">
        <f>L508*(1-MIN((Inputs!$B$9+((C525=TRUE)*(F525-Calc!F19))+B536),100)/100)+M508*(MIN((Inputs!$B$9+((C525=TRUE)*(F525-Calc!F19))+B536),100)/100)</f>
        <v/>
      </c>
      <c r="O508">
        <f>(1-Summary!$B$55)*T508+Summary!$B$55*V508</f>
        <v/>
      </c>
      <c r="P508">
        <f>IF(B546=0,0,O508/B546)</f>
        <v/>
      </c>
      <c r="Q508" t="n">
        <v>0</v>
      </c>
      <c r="R508" t="n">
        <v>0</v>
      </c>
      <c r="S508">
        <f>IFERROR(O508/N508,0)</f>
        <v/>
      </c>
      <c r="T508">
        <f>IF(C508,(Skills!G2*N508*B540)*IF(Inputs!$B$38="pvp",1,1+(Inputs!$B$20+0+Skills!P2)/100),0)</f>
        <v/>
      </c>
      <c r="U508">
        <f>MAX(0,(Inputs!$B$3-100)*3)+Inputs!$B$28+Inputs!$B$29</f>
        <v/>
      </c>
      <c r="V508">
        <f>IF(C508,(Skills!G2*N508*B540)*IF(Inputs!$B$38="pvp",1,(1+(Inputs!$B$21+Skills!Q2)/100)*(MIN((6+Inputs!$B$33),Inputs!$B$37))),0)</f>
        <v/>
      </c>
    </row>
    <row r="509">
      <c r="A509">
        <f>Skills!A3</f>
        <v/>
      </c>
      <c r="B509">
        <f>Skills!B3</f>
        <v/>
      </c>
      <c r="C509">
        <f>Inputs!$B$3&gt;=35</f>
        <v/>
      </c>
      <c r="D509">
        <f>IF(Skills!C3=1,60+Inputs!$B$25+Inputs!$B$29,IF(Skills!C3=2,90+Inputs!$B$26+Inputs!$B$29,IF(Skills!C3=3,120+Inputs!$B$27+Inputs!$B$29,MAX(0,(Inputs!$B$3-100)*3)+Inputs!$B$28+Inputs!$B$29)))</f>
        <v/>
      </c>
      <c r="E509">
        <f>INDEX(FactorTable!$B$2:$Y$301, MATCH(ROUND(MIN(300,MAX(1,D509)),0), FactorTable!$A$2:$A$301,0), Skills!M3+1)</f>
        <v/>
      </c>
      <c r="F509">
        <f>IF(Skills!N3=TRUE,(Skills!L3/10)*(E509/1000),Skills!L3/10)+Skills!O3</f>
        <v/>
      </c>
      <c r="G509">
        <f>Skills!G3*IF(Skills!H3&gt;0,Skills!I3/Skills!H3,1)</f>
        <v/>
      </c>
      <c r="H509">
        <f>1-(1-Skills!J3/100)^Skills!K3</f>
        <v/>
      </c>
      <c r="I509" t="inlineStr">
        <is>
          <t>1</t>
        </is>
      </c>
      <c r="J509">
        <f>((Inputs!$B$6*(1+Inputs!$B$7/100))+(((Inputs!$B$12*(1+Inputs!$B$13/100))-(Inputs!$B$12*(1+Inputs!$B$13/100)))+0.25*(Inputs!$B$14-Inputs!$B$14))*(1+Inputs!$B$7/100))*(F509/100)</f>
        <v/>
      </c>
      <c r="K509">
        <f>J509*(1+((Inputs!$B$12*(1+Inputs!$B$13/100))*0.01+Inputs!$B$14*0.0025)/100)*(1+Inputs!$B$15/100)*(1+Inputs!$B$16/100)*(5000/(6000+Inputs!$B$42*(1-(Inputs!$B$19+0)/100)))*(1+(Inputs!$B$24+((C532=TRUE)*(F532-Calc!F26))+B542)/100)*(1+4.0*IF(C521=TRUE,F521,0)/100)*(1+(IF(Skills!A3="EIGHT_LEGS_EASTON",Inputs!$B$17+((C529=TRUE)*(F529-Calc!F23))+((C533=TRUE)*(F533-Calc!F27)),Inputs!$B$18+0))/100)*((1+(((C523=TRUE)*F523)+((C530=TRUE)*(F530-Calc!F24)))/100)*I509)</f>
        <v/>
      </c>
      <c r="L509">
        <f>K509*(MIN(Inputs!$B$22+((C528=TRUE)*(F528-Calc!F22)),Inputs!$B$23+0)/100+(Inputs!$B$23+0)/100)/2</f>
        <v/>
      </c>
      <c r="M509">
        <f>L509*(1+((Inputs!$B$10+1)+((C531=TRUE)*(F531-Calc!F25))+B541)/100)</f>
        <v/>
      </c>
      <c r="N509">
        <f>L509*(1-MIN((Inputs!$B$9+((C525=TRUE)*(F525-Calc!F19))+B536),100)/100)+M509*(MIN((Inputs!$B$9+((C525=TRUE)*(F525-Calc!F19))+B536),100)/100)</f>
        <v/>
      </c>
      <c r="O509">
        <f>(1-Summary!$B$55)*T509+Summary!$B$55*V509</f>
        <v/>
      </c>
      <c r="P509">
        <f>IF(B546=0,0,O509/B546)</f>
        <v/>
      </c>
      <c r="Q509">
        <f>IFERROR(1/IF(Inputs!$B$38="pvp",15,MAX(0.1,Skills!D3-IF(Skills!E3=TRUE,Inputs!$B$32,0))),0)</f>
        <v/>
      </c>
      <c r="R509">
        <f>IF(AND(Inputs!$B$38&lt;&gt;"pvp",Inputs!$B$43&gt;0),IF(MAX(0,Inputs!$B$43-B543)&lt;=0,0,(INT(MAX(0,Inputs!$B$43-B543)/IF(Inputs!$B$38="pvp",15,MAX(0.1,Skills!D3-IF(Skills!E3=TRUE,Inputs!$B$32,0))))+1)),0)</f>
        <v/>
      </c>
      <c r="S509">
        <f>IFERROR(O509/N509,0)</f>
        <v/>
      </c>
      <c r="T509">
        <f>IF(C509,(H509*N509*IF(AND(Inputs!$B$38&lt;&gt;"pvp",Inputs!$B$43&gt;0),((Skills!G3*((R509-1)*IF(Skills!H3&gt;0,Skills!I3/Skills!H3,1)+IF(Skills!H3&gt;0,MIN(Skills!I3,MAX(0,MAX(0,Inputs!$B$43-B543)-((R509-1)*IF(Inputs!$B$38="pvp",15,MAX(0.1,Skills!D3-IF(Skills!E3=TRUE,Inputs!$B$32,0))))))/Skills!H3,1)))/Inputs!$B$43),G509*Q509))*IF(Inputs!$B$38="pvp",1,1+(Inputs!$B$20+0+Skills!P3)/100),0)</f>
        <v/>
      </c>
      <c r="U509">
        <f>INDEX(FactorTable!$B$2:$Y$301, MATCH(ROUND(MIN(300,MAX(1,U508)),0), FactorTable!$A$2:$A$301,0), 22)</f>
        <v/>
      </c>
      <c r="V509">
        <f>IF(C509,(H509*N509*IF(AND(Inputs!$B$38&lt;&gt;"pvp",Inputs!$B$43&gt;0),((Skills!G3*((R509-1)*IF(Skills!H3&gt;0,Skills!I3/Skills!H3,1)+IF(Skills!H3&gt;0,MIN(Skills!I3,MAX(0,MAX(0,Inputs!$B$43-B543)-((R509-1)*IF(Inputs!$B$38="pvp",15,MAX(0.1,Skills!D3-IF(Skills!E3=TRUE,Inputs!$B$32,0))))))/Skills!H3,1)))/Inputs!$B$43),G509*Q509))*IF(Inputs!$B$38="pvp",1,(1+(Inputs!$B$21+Skills!Q3)/100)*(MIN(Skills!R3,Inputs!$B$37))),0)</f>
        <v/>
      </c>
    </row>
    <row r="510">
      <c r="A510">
        <f>Skills!A4</f>
        <v/>
      </c>
      <c r="B510">
        <f>Skills!B4</f>
        <v/>
      </c>
      <c r="C510">
        <f>Inputs!$B$3&gt;=40</f>
        <v/>
      </c>
      <c r="D510">
        <f>IF(Skills!C4=1,60+Inputs!$B$25+Inputs!$B$29,IF(Skills!C4=2,90+Inputs!$B$26+Inputs!$B$29,IF(Skills!C4=3,120+Inputs!$B$27+Inputs!$B$29,MAX(0,(Inputs!$B$3-100)*3)+Inputs!$B$28+Inputs!$B$29)))</f>
        <v/>
      </c>
      <c r="E510">
        <f>INDEX(FactorTable!$B$2:$Y$301, MATCH(ROUND(MIN(300,MAX(1,D510)),0), FactorTable!$A$2:$A$301,0), Skills!M4+1)</f>
        <v/>
      </c>
      <c r="F510">
        <f>IF(Skills!N4=TRUE,(Skills!L4/10)*(E510/1000),Skills!L4/10)+Skills!O4</f>
        <v/>
      </c>
      <c r="G510">
        <f>Skills!G4*IF(Skills!H4&gt;0,Skills!I4/Skills!H4,1)</f>
        <v/>
      </c>
      <c r="H510">
        <f>1-(1-Skills!J4/100)^Skills!K4</f>
        <v/>
      </c>
      <c r="I510" t="inlineStr">
        <is>
          <t>1</t>
        </is>
      </c>
      <c r="J510">
        <f>((Inputs!$B$6*(1+Inputs!$B$7/100))+(((Inputs!$B$12*(1+Inputs!$B$13/100))-(Inputs!$B$12*(1+Inputs!$B$13/100)))+0.25*(Inputs!$B$14-Inputs!$B$14))*(1+Inputs!$B$7/100))*(F510/100)</f>
        <v/>
      </c>
      <c r="K510">
        <f>J510*(1+((Inputs!$B$12*(1+Inputs!$B$13/100))*0.01+Inputs!$B$14*0.0025)/100)*(1+Inputs!$B$15/100)*(1+Inputs!$B$16/100)*(5000/(6000+Inputs!$B$42*(1-(Inputs!$B$19+0)/100)))*(1+(Inputs!$B$24+((C532=TRUE)*(F532-Calc!F26))+B542)/100)*(1+1.0*IF(C522=TRUE,F522,0)/100)*(1+(IF(Skills!A4="EIGHT_LEGS_EASTON",Inputs!$B$17+((C529=TRUE)*(F529-Calc!F23))+((C533=TRUE)*(F533-Calc!F27)),Inputs!$B$18+0))/100)*((1+(((C523=TRUE)*F523)+((C530=TRUE)*(F530-Calc!F24)))/100)*I510)</f>
        <v/>
      </c>
      <c r="L510">
        <f>K510*(MIN(Inputs!$B$22+((C528=TRUE)*(F528-Calc!F22)),Inputs!$B$23+0)/100+(Inputs!$B$23+0)/100)/2</f>
        <v/>
      </c>
      <c r="M510">
        <f>L510*(1+((Inputs!$B$10+1)+((C531=TRUE)*(F531-Calc!F25))+B541)/100)</f>
        <v/>
      </c>
      <c r="N510">
        <f>L510*(1-MIN((Inputs!$B$9+((C525=TRUE)*(F525-Calc!F19))+B536),100)/100)+M510*(MIN((Inputs!$B$9+((C525=TRUE)*(F525-Calc!F19))+B536),100)/100)</f>
        <v/>
      </c>
      <c r="O510">
        <f>(1-Summary!$B$55)*T510+Summary!$B$55*V510</f>
        <v/>
      </c>
      <c r="P510">
        <f>IF(B546=0,0,O510/B546)</f>
        <v/>
      </c>
      <c r="Q510">
        <f>IFERROR(1/IF(Inputs!$B$38="pvp",15,MAX(0.1,Skills!D4-IF(Skills!E4=TRUE,Inputs!$B$32,0))),0)</f>
        <v/>
      </c>
      <c r="R510">
        <f>IF(AND(Inputs!$B$38&lt;&gt;"pvp",Inputs!$B$43&gt;0),IF(MAX(0,Inputs!$B$43-B543)&lt;=0,0,(INT(MAX(0,Inputs!$B$43-B543)/IF(Inputs!$B$38="pvp",15,MAX(0.1,Skills!D4-IF(Skills!E4=TRUE,Inputs!$B$32,0))))+1)),0)</f>
        <v/>
      </c>
      <c r="S510">
        <f>IFERROR(O510/N510,0)</f>
        <v/>
      </c>
      <c r="T510">
        <f>IF(C510,(H510*N510*IF(AND(Inputs!$B$38&lt;&gt;"pvp",Inputs!$B$43&gt;0),((Skills!G4*((R510-1)*IF(Skills!H4&gt;0,Skills!I4/Skills!H4,1)+IF(Skills!H4&gt;0,MIN(Skills!I4,MAX(0,MAX(0,Inputs!$B$43-B543)-((R510-1)*IF(Inputs!$B$38="pvp",15,MAX(0.1,Skills!D4-IF(Skills!E4=TRUE,Inputs!$B$32,0))))))/Skills!H4,1)))/Inputs!$B$43),G510*Q510))*IF(Inputs!$B$38="pvp",1,1+(Inputs!$B$20+0+Skills!P4)/100),0)</f>
        <v/>
      </c>
      <c r="U510">
        <f>290*U509/1000</f>
        <v/>
      </c>
      <c r="V510">
        <f>IF(C510,(H510*N510*IF(AND(Inputs!$B$38&lt;&gt;"pvp",Inputs!$B$43&gt;0),((Skills!G4*((R510-1)*IF(Skills!H4&gt;0,Skills!I4/Skills!H4,1)+IF(Skills!H4&gt;0,MIN(Skills!I4,MAX(0,MAX(0,Inputs!$B$43-B543)-((R510-1)*IF(Inputs!$B$38="pvp",15,MAX(0.1,Skills!D4-IF(Skills!E4=TRUE,Inputs!$B$32,0))))))/Skills!H4,1)))/Inputs!$B$43),G510*Q510))*IF(Inputs!$B$38="pvp",1,(1+(Inputs!$B$21+Skills!Q4)/100)*(MIN(Skills!R4,Inputs!$B$37))),0)</f>
        <v/>
      </c>
    </row>
    <row r="511">
      <c r="A511">
        <f>Skills!A5</f>
        <v/>
      </c>
      <c r="B511">
        <f>Skills!B5</f>
        <v/>
      </c>
      <c r="C511">
        <f>Inputs!$B$3&gt;=45</f>
        <v/>
      </c>
      <c r="D511">
        <f>IF(Skills!C5=1,60+Inputs!$B$25+Inputs!$B$29,IF(Skills!C5=2,90+Inputs!$B$26+Inputs!$B$29,IF(Skills!C5=3,120+Inputs!$B$27+Inputs!$B$29,MAX(0,(Inputs!$B$3-100)*3)+Inputs!$B$28+Inputs!$B$29)))</f>
        <v/>
      </c>
      <c r="E511">
        <f>INDEX(FactorTable!$B$2:$Y$301, MATCH(ROUND(MIN(300,MAX(1,D511)),0), FactorTable!$A$2:$A$301,0), Skills!M5+1)</f>
        <v/>
      </c>
      <c r="F511">
        <f>IF(Skills!N5=TRUE,(Skills!L5/10)*(E511/1000),Skills!L5/10)+Skills!O5</f>
        <v/>
      </c>
      <c r="G511">
        <f>Skills!G5*IF(Skills!H5&gt;0,Skills!I5/Skills!H5,1)</f>
        <v/>
      </c>
      <c r="H511">
        <f>1-(1-Skills!J5/100)^Skills!K5</f>
        <v/>
      </c>
      <c r="I511" t="inlineStr">
        <is>
          <t>1</t>
        </is>
      </c>
      <c r="J511">
        <f>((Inputs!$B$6*(1+Inputs!$B$7/100))+(((Inputs!$B$12*(1+Inputs!$B$13/100))-(Inputs!$B$12*(1+Inputs!$B$13/100)))+0.25*(Inputs!$B$14-Inputs!$B$14))*(1+Inputs!$B$7/100))*(F511/100)</f>
        <v/>
      </c>
      <c r="K511">
        <f>J511*(1+((Inputs!$B$12*(1+Inputs!$B$13/100))*0.01+Inputs!$B$14*0.0025)/100)*(1+Inputs!$B$15/100)*(1+Inputs!$B$16/100)*(5000/(6000+Inputs!$B$42*(1-(Inputs!$B$19+0)/100)))*(1+(Inputs!$B$24+((C532=TRUE)*(F532-Calc!F26))+B542)/100)*(1+0.4*IF(C522=TRUE,F522,0)/100)*(1+(IF(Skills!A5="EIGHT_LEGS_EASTON",Inputs!$B$17+((C529=TRUE)*(F529-Calc!F23))+((C533=TRUE)*(F533-Calc!F27)),Inputs!$B$18+0))/100)*((1+(((C523=TRUE)*F523)+((C530=TRUE)*(F530-Calc!F24)))/100)*I511)</f>
        <v/>
      </c>
      <c r="L511">
        <f>K511*(MIN(Inputs!$B$22+((C528=TRUE)*(F528-Calc!F22)),Inputs!$B$23+0)/100+(Inputs!$B$23+0)/100)/2</f>
        <v/>
      </c>
      <c r="M511">
        <f>L511*(1+((Inputs!$B$10+1)+((C531=TRUE)*(F531-Calc!F25))+B541)/100)</f>
        <v/>
      </c>
      <c r="N511">
        <f>L511*(1-MIN((Inputs!$B$9+((C525=TRUE)*(F525-Calc!F19))+B536),100)/100)+M511*(MIN((Inputs!$B$9+((C525=TRUE)*(F525-Calc!F19))+B536),100)/100)</f>
        <v/>
      </c>
      <c r="O511">
        <f>(1-Summary!$B$55)*T511+Summary!$B$55*V511</f>
        <v/>
      </c>
      <c r="P511">
        <f>IF(B546=0,0,O511/B546)</f>
        <v/>
      </c>
      <c r="Q511">
        <f>IFERROR(1/IF(Inputs!$B$38="pvp",15,MAX(0.1,Skills!D5-IF(Skills!E5=TRUE,Inputs!$B$32,0))),0)</f>
        <v/>
      </c>
      <c r="R511">
        <f>IF(AND(Inputs!$B$38&lt;&gt;"pvp",Inputs!$B$43&gt;0),IF(MAX(0,Inputs!$B$43-B543)&lt;=0,0,(INT(MAX(0,Inputs!$B$43-B543)/IF(Inputs!$B$38="pvp",15,MAX(0.1,Skills!D5-IF(Skills!E5=TRUE,Inputs!$B$32,0))))+1)),0)</f>
        <v/>
      </c>
      <c r="S511">
        <f>IFERROR(O511/N511,0)</f>
        <v/>
      </c>
      <c r="T511">
        <f>IF(C511,(H511*N511*IF(AND(Inputs!$B$38&lt;&gt;"pvp",Inputs!$B$43&gt;0),((Skills!G5*((R511-1)*IF(Skills!H5&gt;0,Skills!I5/Skills!H5,1)+IF(Skills!H5&gt;0,MIN(Skills!I5,MAX(0,MAX(0,Inputs!$B$43-B543)-((R511-1)*IF(Inputs!$B$38="pvp",15,MAX(0.1,Skills!D5-IF(Skills!E5=TRUE,Inputs!$B$32,0))))))/Skills!H5,1)))/Inputs!$B$43),G511*Q511))*IF(Inputs!$B$38="pvp",1,1+(Inputs!$B$20+0+Skills!P5)/100),0)</f>
        <v/>
      </c>
      <c r="V511">
        <f>IF(C511,(H511*N511*IF(AND(Inputs!$B$38&lt;&gt;"pvp",Inputs!$B$43&gt;0),((Skills!G5*((R511-1)*IF(Skills!H5&gt;0,Skills!I5/Skills!H5,1)+IF(Skills!H5&gt;0,MIN(Skills!I5,MAX(0,MAX(0,Inputs!$B$43-B543)-((R511-1)*IF(Inputs!$B$38="pvp",15,MAX(0.1,Skills!D5-IF(Skills!E5=TRUE,Inputs!$B$32,0))))))/Skills!H5,1)))/Inputs!$B$43),G511*Q511))*IF(Inputs!$B$38="pvp",1,(1+(Inputs!$B$21+Skills!Q5)/100)*(MIN(Skills!R5,Inputs!$B$37))),0)</f>
        <v/>
      </c>
    </row>
    <row r="512">
      <c r="A512">
        <f>Skills!A6</f>
        <v/>
      </c>
      <c r="B512">
        <f>Skills!B6</f>
        <v/>
      </c>
      <c r="C512">
        <f>Inputs!$B$3&gt;=63</f>
        <v/>
      </c>
      <c r="D512">
        <f>IF(Skills!C6=1,60+Inputs!$B$25+Inputs!$B$29,IF(Skills!C6=2,90+Inputs!$B$26+Inputs!$B$29,IF(Skills!C6=3,120+Inputs!$B$27+Inputs!$B$29,MAX(0,(Inputs!$B$3-100)*3)+Inputs!$B$28+Inputs!$B$29)))</f>
        <v/>
      </c>
      <c r="E512">
        <f>INDEX(FactorTable!$B$2:$Y$301, MATCH(ROUND(MIN(300,MAX(1,D512)),0), FactorTable!$A$2:$A$301,0), Skills!M6+1)</f>
        <v/>
      </c>
      <c r="F512">
        <f>IF(Skills!N6=TRUE,(Skills!L6/10)*(E512/1000),Skills!L6/10)+Skills!O6</f>
        <v/>
      </c>
      <c r="G512">
        <f>Skills!G6*IF(Skills!H6&gt;0,Skills!I6/Skills!H6,1)</f>
        <v/>
      </c>
      <c r="H512">
        <f>1-(1-Skills!J6/100)^Skills!K6</f>
        <v/>
      </c>
      <c r="I512" t="inlineStr">
        <is>
          <t>1</t>
        </is>
      </c>
      <c r="J512">
        <f>((Inputs!$B$6*(1+Inputs!$B$7/100))+(((Inputs!$B$12*(1+Inputs!$B$13/100))-(Inputs!$B$12*(1+Inputs!$B$13/100)))+0.25*(Inputs!$B$14-Inputs!$B$14))*(1+Inputs!$B$7/100))*(F512/100)</f>
        <v/>
      </c>
      <c r="K512">
        <f>J512*(1+((Inputs!$B$12*(1+Inputs!$B$13/100))*0.01+Inputs!$B$14*0.0025)/100)*(1+Inputs!$B$15/100)*(1+Inputs!$B$16/100)*(5000/(6000+Inputs!$B$42*(1-(Inputs!$B$19+0)/100)))*(1+(Inputs!$B$24+((C532=TRUE)*(F532-Calc!F26))+B542)/100)*(1+2.0*IF(C521=TRUE,F521,0)/100)*(1+(IF(Skills!A6="EIGHT_LEGS_EASTON",Inputs!$B$17+((C529=TRUE)*(F529-Calc!F23))+((C533=TRUE)*(F533-Calc!F27)),Inputs!$B$18+0))/100)*((1+(((C523=TRUE)*F523)+((C530=TRUE)*(F530-Calc!F24)))/100)*I512)</f>
        <v/>
      </c>
      <c r="L512">
        <f>K512*(MIN(Inputs!$B$22+((C528=TRUE)*(F528-Calc!F22)),Inputs!$B$23+0)/100+(Inputs!$B$23+0)/100)/2</f>
        <v/>
      </c>
      <c r="M512">
        <f>L512*(1+((Inputs!$B$10+1)+((C531=TRUE)*(F531-Calc!F25))+B541)/100)</f>
        <v/>
      </c>
      <c r="N512">
        <f>L512*(1-MIN((Inputs!$B$9+((C525=TRUE)*(F525-Calc!F19))+B536),100)/100)+M512*(MIN((Inputs!$B$9+((C525=TRUE)*(F525-Calc!F19))+B536),100)/100)</f>
        <v/>
      </c>
      <c r="O512">
        <f>(1-Summary!$B$55)*T512+Summary!$B$55*V512</f>
        <v/>
      </c>
      <c r="P512">
        <f>IF(B546=0,0,O512/B546)</f>
        <v/>
      </c>
      <c r="Q512">
        <f>IFERROR(1/IF(Inputs!$B$38="pvp",15,MAX(0.1,Skills!D6-IF(Skills!E6=TRUE,Inputs!$B$32,0))),0)</f>
        <v/>
      </c>
      <c r="R512">
        <f>IF(AND(Inputs!$B$38&lt;&gt;"pvp",Inputs!$B$43&gt;0),IF(MAX(0,Inputs!$B$43-B543)&lt;=0,0,(INT(MAX(0,Inputs!$B$43-B543)/IF(Inputs!$B$38="pvp",15,MAX(0.1,Skills!D6-IF(Skills!E6=TRUE,Inputs!$B$32,0))))+1)),0)</f>
        <v/>
      </c>
      <c r="S512">
        <f>IFERROR(O512/N512,0)</f>
        <v/>
      </c>
      <c r="T512">
        <f>IF(C512,(H512*N512*IF(AND(Inputs!$B$38&lt;&gt;"pvp",Inputs!$B$43&gt;0),((Skills!G6*((R512-1)*IF(Skills!H6&gt;0,Skills!I6/Skills!H6,1)+IF(Skills!H6&gt;0,MIN(Skills!I6,MAX(0,MAX(0,Inputs!$B$43-B543)-((R512-1)*IF(Inputs!$B$38="pvp",15,MAX(0.1,Skills!D6-IF(Skills!E6=TRUE,Inputs!$B$32,0))))))/Skills!H6,1)))/Inputs!$B$43),G512*Q512))*IF(Inputs!$B$38="pvp",1,1+(Inputs!$B$20+0+Skills!P6)/100),0)</f>
        <v/>
      </c>
      <c r="V512">
        <f>IF(C512,(H512*N512*IF(AND(Inputs!$B$38&lt;&gt;"pvp",Inputs!$B$43&gt;0),((Skills!G6*((R512-1)*IF(Skills!H6&gt;0,Skills!I6/Skills!H6,1)+IF(Skills!H6&gt;0,MIN(Skills!I6,MAX(0,MAX(0,Inputs!$B$43-B543)-((R512-1)*IF(Inputs!$B$38="pvp",15,MAX(0.1,Skills!D6-IF(Skills!E6=TRUE,Inputs!$B$32,0))))))/Skills!H6,1)))/Inputs!$B$43),G512*Q512))*IF(Inputs!$B$38="pvp",1,(1+(Inputs!$B$21+Skills!Q6)/100)*(MIN(Skills!R6,Inputs!$B$37))),0)</f>
        <v/>
      </c>
    </row>
    <row r="513">
      <c r="A513">
        <f>Skills!A7</f>
        <v/>
      </c>
      <c r="B513">
        <f>Skills!B7</f>
        <v/>
      </c>
      <c r="C513">
        <f>Inputs!$B$3&gt;=66</f>
        <v/>
      </c>
      <c r="D513">
        <f>IF(Skills!C7=1,60+Inputs!$B$25+Inputs!$B$29,IF(Skills!C7=2,90+Inputs!$B$26+Inputs!$B$29,IF(Skills!C7=3,120+Inputs!$B$27+Inputs!$B$29,MAX(0,(Inputs!$B$3-100)*3)+Inputs!$B$28+Inputs!$B$29)))</f>
        <v/>
      </c>
      <c r="E513">
        <f>INDEX(FactorTable!$B$2:$Y$301, MATCH(ROUND(MIN(300,MAX(1,D513)),0), FactorTable!$A$2:$A$301,0), Skills!M7+1)</f>
        <v/>
      </c>
      <c r="F513">
        <f>IF(Skills!N7=TRUE,(Skills!L7/10)*(E513/1000),Skills!L7/10)+Skills!O7</f>
        <v/>
      </c>
      <c r="G513">
        <f>Skills!G7*IF(Skills!H7&gt;0,Skills!I7/Skills!H7,1)</f>
        <v/>
      </c>
      <c r="H513">
        <f>1-(1-Skills!J7/100)^Skills!K7</f>
        <v/>
      </c>
      <c r="I513" t="inlineStr">
        <is>
          <t>1</t>
        </is>
      </c>
      <c r="J513">
        <f>((Inputs!$B$6*(1+Inputs!$B$7/100))+(((Inputs!$B$12*(1+Inputs!$B$13/100))-(Inputs!$B$12*(1+Inputs!$B$13/100)))+0.25*(Inputs!$B$14-Inputs!$B$14))*(1+Inputs!$B$7/100))*(F513/100)</f>
        <v/>
      </c>
      <c r="K513">
        <f>J513*(1+((Inputs!$B$12*(1+Inputs!$B$13/100))*0.01+Inputs!$B$14*0.0025)/100)*(1+Inputs!$B$15/100)*(1+Inputs!$B$16/100)*(5000/(6000+Inputs!$B$42*(1-(Inputs!$B$19+0)/100)))*(1+(Inputs!$B$24+((C532=TRUE)*(F532-Calc!F26))+B542)/100)*(1+1.0*IF(C521=TRUE,F521,0)/100)*(1+(IF(Skills!A7="EIGHT_LEGS_EASTON",Inputs!$B$17+((C529=TRUE)*(F529-Calc!F23))+((C533=TRUE)*(F533-Calc!F27)),Inputs!$B$18+0))/100)*((1+(((C523=TRUE)*F523)+((C530=TRUE)*(F530-Calc!F24)))/100)*I513)</f>
        <v/>
      </c>
      <c r="L513">
        <f>K513*(MIN(Inputs!$B$22+((C528=TRUE)*(F528-Calc!F22)),Inputs!$B$23+0)/100+(Inputs!$B$23+0)/100)/2</f>
        <v/>
      </c>
      <c r="M513">
        <f>L513*(1+((Inputs!$B$10+1)+((C531=TRUE)*(F531-Calc!F25))+B541)/100)</f>
        <v/>
      </c>
      <c r="N513">
        <f>L513*(1-MIN((Inputs!$B$9+((C525=TRUE)*(F525-Calc!F19))+B536),100)/100)+M513*(MIN((Inputs!$B$9+((C525=TRUE)*(F525-Calc!F19))+B536),100)/100)</f>
        <v/>
      </c>
      <c r="O513">
        <f>(1-Summary!$B$55)*T513+Summary!$B$55*V513</f>
        <v/>
      </c>
      <c r="P513">
        <f>IF(B546=0,0,O513/B546)</f>
        <v/>
      </c>
      <c r="Q513">
        <f>IFERROR(1/IF(Inputs!$B$38="pvp",15,MAX(0.1,Skills!D7-IF(Skills!E7=TRUE,Inputs!$B$32,0))),0)</f>
        <v/>
      </c>
      <c r="R513">
        <f>IF(AND(Inputs!$B$38&lt;&gt;"pvp",Inputs!$B$43&gt;0),IF(MAX(0,Inputs!$B$43-B543)&lt;=0,0,(INT(MAX(0,Inputs!$B$43-B543)/IF(Inputs!$B$38="pvp",15,MAX(0.1,Skills!D7-IF(Skills!E7=TRUE,Inputs!$B$32,0))))+1)),0)</f>
        <v/>
      </c>
      <c r="S513">
        <f>IFERROR(O513/N513,0)</f>
        <v/>
      </c>
      <c r="T513">
        <f>IF(C513,(H513*N513*IF(AND(Inputs!$B$38&lt;&gt;"pvp",Inputs!$B$43&gt;0),((Skills!G7*((R513-1)*IF(Skills!H7&gt;0,Skills!I7/Skills!H7,1)+IF(Skills!H7&gt;0,MIN(Skills!I7,MAX(0,MAX(0,Inputs!$B$43-B543)-((R513-1)*IF(Inputs!$B$38="pvp",15,MAX(0.1,Skills!D7-IF(Skills!E7=TRUE,Inputs!$B$32,0))))))/Skills!H7,1)))/Inputs!$B$43),G513*Q513))*IF(Inputs!$B$38="pvp",1,1+(Inputs!$B$20+0+Skills!P7)/100),0)</f>
        <v/>
      </c>
      <c r="V513">
        <f>IF(C513,(H513*N513*IF(AND(Inputs!$B$38&lt;&gt;"pvp",Inputs!$B$43&gt;0),((Skills!G7*((R513-1)*IF(Skills!H7&gt;0,Skills!I7/Skills!H7,1)+IF(Skills!H7&gt;0,MIN(Skills!I7,MAX(0,MAX(0,Inputs!$B$43-B543)-((R513-1)*IF(Inputs!$B$38="pvp",15,MAX(0.1,Skills!D7-IF(Skills!E7=TRUE,Inputs!$B$32,0))))))/Skills!H7,1)))/Inputs!$B$43),G513*Q513))*IF(Inputs!$B$38="pvp",1,(1+(Inputs!$B$21+Skills!Q7)/100)*(MIN(Skills!R7,Inputs!$B$37))),0)</f>
        <v/>
      </c>
    </row>
    <row r="514">
      <c r="A514">
        <f>Skills!A8</f>
        <v/>
      </c>
      <c r="B514">
        <f>Skills!B8</f>
        <v/>
      </c>
      <c r="C514">
        <f>Inputs!$B$3&gt;=100</f>
        <v/>
      </c>
      <c r="D514">
        <f>IF(Skills!C8=1,60+Inputs!$B$25+Inputs!$B$29,IF(Skills!C8=2,90+Inputs!$B$26+Inputs!$B$29,IF(Skills!C8=3,120+Inputs!$B$27+Inputs!$B$29,MAX(0,(Inputs!$B$3-100)*3)+Inputs!$B$28+Inputs!$B$29)))</f>
        <v/>
      </c>
      <c r="E514">
        <f>INDEX(FactorTable!$B$2:$Y$301, MATCH(ROUND(MIN(300,MAX(1,D514)),0), FactorTable!$A$2:$A$301,0), Skills!M8+1)</f>
        <v/>
      </c>
      <c r="F514">
        <f>IF(Skills!N8=TRUE,(Skills!L8/10)*(E514/1000),Skills!L8/10)+Skills!O8</f>
        <v/>
      </c>
      <c r="G514">
        <f>Skills!G8*IF(Skills!H8&gt;0,Skills!I8/Skills!H8,1)</f>
        <v/>
      </c>
      <c r="H514">
        <f>1-(1-Skills!J8/100)^Skills!K8</f>
        <v/>
      </c>
      <c r="I514" t="inlineStr">
        <is>
          <t>1</t>
        </is>
      </c>
      <c r="J514">
        <f>((Inputs!$B$6*(1+Inputs!$B$7/100))+(((Inputs!$B$12*(1+Inputs!$B$13/100))-(Inputs!$B$12*(1+Inputs!$B$13/100)))+0.25*(Inputs!$B$14-Inputs!$B$14))*(1+Inputs!$B$7/100))*(F514/100)</f>
        <v/>
      </c>
      <c r="K514">
        <f>J514*(1+((Inputs!$B$12*(1+Inputs!$B$13/100))*0.01+Inputs!$B$14*0.0025)/100)*(1+Inputs!$B$15/100)*(1+Inputs!$B$16/100)*(5000/(6000+Inputs!$B$42*(1-(Inputs!$B$19+0)/100)))*(1+(Inputs!$B$24+((C532=TRUE)*(F532-Calc!F26))+B542)/100)*(1+(IF(Skills!A8="EIGHT_LEGS_EASTON",Inputs!$B$17+((C529=TRUE)*(F529-Calc!F23))+((C533=TRUE)*(F533-Calc!F27)),Inputs!$B$18+0))/100)*((1+(((C523=TRUE)*F523)+((C530=TRUE)*(F530-Calc!F24)))/100)*I514)</f>
        <v/>
      </c>
      <c r="L514">
        <f>K514*(MIN(Inputs!$B$22+((C528=TRUE)*(F528-Calc!F22)),Inputs!$B$23+0)/100+(Inputs!$B$23+0)/100)/2</f>
        <v/>
      </c>
      <c r="M514">
        <f>L514*(1+((Inputs!$B$10+1)+((C531=TRUE)*(F531-Calc!F25))+B541)/100)</f>
        <v/>
      </c>
      <c r="N514">
        <f>L514*(1-MIN((Inputs!$B$9+((C525=TRUE)*(F525-Calc!F19))+B536),100)/100)+M514*(MIN((Inputs!$B$9+((C525=TRUE)*(F525-Calc!F19))+B536),100)/100)</f>
        <v/>
      </c>
      <c r="O514">
        <f>(1-Summary!$B$55)*T514+Summary!$B$55*V514</f>
        <v/>
      </c>
      <c r="P514">
        <f>IF(B546=0,0,O514/B546)</f>
        <v/>
      </c>
      <c r="Q514">
        <f>IFERROR(1/IF(Inputs!$B$38="pvp",15,MAX(0.1,Skills!D8-IF(Skills!E8=TRUE,Inputs!$B$32,0))),0)</f>
        <v/>
      </c>
      <c r="R514">
        <f>IF(AND(Inputs!$B$38&lt;&gt;"pvp",Inputs!$B$43&gt;0),IF(MAX(0,Inputs!$B$43-B543)&lt;=0,0,(INT(MAX(0,Inputs!$B$43-B543)/IF(Inputs!$B$38="pvp",15,MAX(0.1,Skills!D8-IF(Skills!E8=TRUE,Inputs!$B$32,0))))+1)),0)</f>
        <v/>
      </c>
      <c r="S514">
        <f>IFERROR(O514/N514,0)</f>
        <v/>
      </c>
      <c r="T514">
        <f>IF(C514,(H514*N514*IF(AND(Inputs!$B$38&lt;&gt;"pvp",Inputs!$B$43&gt;0),((Skills!G8*((R514-1)*IF(Skills!H8&gt;0,Skills!I8/Skills!H8,1)+IF(Skills!H8&gt;0,MIN(Skills!I8,MAX(0,MAX(0,Inputs!$B$43-B543)-((R514-1)*IF(Inputs!$B$38="pvp",15,MAX(0.1,Skills!D8-IF(Skills!E8=TRUE,Inputs!$B$32,0))))))/Skills!H8,1)))/Inputs!$B$43),G514*Q514))*IF(Inputs!$B$38="pvp",1,1+(Inputs!$B$20+0+Skills!P8)/100),0)</f>
        <v/>
      </c>
      <c r="V514">
        <f>IF(C514,(H514*N514*IF(AND(Inputs!$B$38&lt;&gt;"pvp",Inputs!$B$43&gt;0),((Skills!G8*((R514-1)*IF(Skills!H8&gt;0,Skills!I8/Skills!H8,1)+IF(Skills!H8&gt;0,MIN(Skills!I8,MAX(0,MAX(0,Inputs!$B$43-B543)-((R514-1)*IF(Inputs!$B$38="pvp",15,MAX(0.1,Skills!D8-IF(Skills!E8=TRUE,Inputs!$B$32,0))))))/Skills!H8,1)))/Inputs!$B$43),G514*Q514))*IF(Inputs!$B$38="pvp",1,(1+(Inputs!$B$21+Skills!Q8)/100)*(MIN(Skills!R8,Inputs!$B$37))),0)</f>
        <v/>
      </c>
    </row>
    <row r="515">
      <c r="A515">
        <f>Skills!A9</f>
        <v/>
      </c>
      <c r="B515">
        <f>Skills!B9</f>
        <v/>
      </c>
      <c r="C515">
        <f>Inputs!$B$3&gt;=103</f>
        <v/>
      </c>
      <c r="D515">
        <f>IF(Skills!C9=1,60+Inputs!$B$25+Inputs!$B$29,IF(Skills!C9=2,90+Inputs!$B$26+Inputs!$B$29,IF(Skills!C9=3,120+Inputs!$B$27+Inputs!$B$29,MAX(0,(Inputs!$B$3-100)*3)+Inputs!$B$28+Inputs!$B$29)))</f>
        <v/>
      </c>
      <c r="E515">
        <f>INDEX(FactorTable!$B$2:$Y$301, MATCH(ROUND(MIN(300,MAX(1,D515)),0), FactorTable!$A$2:$A$301,0), Skills!M9+1)</f>
        <v/>
      </c>
      <c r="F515">
        <f>IF(Skills!N9=TRUE,(Skills!L9/10)*(E515/1000),Skills!L9/10)+Skills!O9</f>
        <v/>
      </c>
      <c r="G515">
        <f>Skills!G9*IF(Skills!H9&gt;0,Skills!I9/Skills!H9,1)</f>
        <v/>
      </c>
      <c r="H515">
        <f>1-(1-Skills!J9/100)^Skills!K9</f>
        <v/>
      </c>
      <c r="I515" t="inlineStr">
        <is>
          <t>1</t>
        </is>
      </c>
      <c r="J515">
        <f>((Inputs!$B$6*(1+Inputs!$B$7/100))+(((Inputs!$B$12*(1+Inputs!$B$13/100))-(Inputs!$B$12*(1+Inputs!$B$13/100)))+0.25*(Inputs!$B$14-Inputs!$B$14))*(1+Inputs!$B$7/100))*(F515/100)</f>
        <v/>
      </c>
      <c r="K515">
        <f>J515*(1+((Inputs!$B$12*(1+Inputs!$B$13/100))*0.01+Inputs!$B$14*0.0025)/100)*(1+Inputs!$B$15/100)*(1+Inputs!$B$16/100)*(5000/(6000+Inputs!$B$42*(1-(Inputs!$B$19+0)/100)))*(1+(Inputs!$B$24+((C532=TRUE)*(F532-Calc!F26))+B542)/100)*(1+(IF(Skills!A9="EIGHT_LEGS_EASTON",Inputs!$B$17+((C529=TRUE)*(F529-Calc!F23))+((C533=TRUE)*(F533-Calc!F27)),Inputs!$B$18+0))/100)*((1+(((C523=TRUE)*F523)+((C530=TRUE)*(F530-Calc!F24)))/100)*I515)</f>
        <v/>
      </c>
      <c r="L515">
        <f>K515*(MIN(Inputs!$B$22+((C528=TRUE)*(F528-Calc!F22)),Inputs!$B$23+0)/100+(Inputs!$B$23+0)/100)/2</f>
        <v/>
      </c>
      <c r="M515">
        <f>L515*(1+((Inputs!$B$10+1)+((C531=TRUE)*(F531-Calc!F25))+B541)/100)</f>
        <v/>
      </c>
      <c r="N515">
        <f>L515*(1-MIN((Inputs!$B$9+((C525=TRUE)*(F525-Calc!F19))+B536),100)/100)+M515*(MIN((Inputs!$B$9+((C525=TRUE)*(F525-Calc!F19))+B536),100)/100)</f>
        <v/>
      </c>
      <c r="O515">
        <f>(1-Summary!$B$55)*T515+Summary!$B$55*V515</f>
        <v/>
      </c>
      <c r="P515">
        <f>IF(B546=0,0,O515/B546)</f>
        <v/>
      </c>
      <c r="Q515">
        <f>IFERROR(1/IF(Inputs!$B$38="pvp",15,MAX(0.1,Skills!D9-IF(Skills!E9=TRUE,Inputs!$B$32,0))),0)</f>
        <v/>
      </c>
      <c r="R515">
        <f>IF(AND(Inputs!$B$38&lt;&gt;"pvp",Inputs!$B$43&gt;0),IF(MAX(0,Inputs!$B$43-B543)&lt;=0,0,(INT(MAX(0,Inputs!$B$43-B543)/IF(Inputs!$B$38="pvp",15,MAX(0.1,Skills!D9-IF(Skills!E9=TRUE,Inputs!$B$32,0))))+1)),0)</f>
        <v/>
      </c>
      <c r="S515">
        <f>IFERROR(O515/N515,0)</f>
        <v/>
      </c>
      <c r="T515">
        <f>IF(C515,(H515*N515*IF(AND(Inputs!$B$38&lt;&gt;"pvp",Inputs!$B$43&gt;0),((Skills!G9*((R515-1)*IF(Skills!H9&gt;0,Skills!I9/Skills!H9,1)+IF(Skills!H9&gt;0,MIN(Skills!I9,MAX(0,MAX(0,Inputs!$B$43-B543)-((R515-1)*IF(Inputs!$B$38="pvp",15,MAX(0.1,Skills!D9-IF(Skills!E9=TRUE,Inputs!$B$32,0))))))/Skills!H9,1)))/Inputs!$B$43),G515*Q515))*IF(Inputs!$B$38="pvp",1,1+(Inputs!$B$20+0+Skills!P9)/100),0)</f>
        <v/>
      </c>
      <c r="V515">
        <f>IF(C515,(H515*N515*IF(AND(Inputs!$B$38&lt;&gt;"pvp",Inputs!$B$43&gt;0),((Skills!G9*((R515-1)*IF(Skills!H9&gt;0,Skills!I9/Skills!H9,1)+IF(Skills!H9&gt;0,MIN(Skills!I9,MAX(0,MAX(0,Inputs!$B$43-B543)-((R515-1)*IF(Inputs!$B$38="pvp",15,MAX(0.1,Skills!D9-IF(Skills!E9=TRUE,Inputs!$B$32,0))))))/Skills!H9,1)))/Inputs!$B$43),G515*Q515))*IF(Inputs!$B$38="pvp",1,(1+(Inputs!$B$21+Skills!Q9)/100)*(MIN(Skills!R9,Inputs!$B$37))),0)</f>
        <v/>
      </c>
    </row>
    <row r="516">
      <c r="A516">
        <f>Skills!A10</f>
        <v/>
      </c>
      <c r="B516">
        <f>Skills!B10</f>
        <v/>
      </c>
      <c r="C516">
        <f>Inputs!$B$3&gt;=113</f>
        <v/>
      </c>
      <c r="D516">
        <f>IF(Skills!C10=1,60+Inputs!$B$25+Inputs!$B$29,IF(Skills!C10=2,90+Inputs!$B$26+Inputs!$B$29,IF(Skills!C10=3,120+Inputs!$B$27+Inputs!$B$29,MAX(0,(Inputs!$B$3-100)*3)+Inputs!$B$28+Inputs!$B$29)))</f>
        <v/>
      </c>
      <c r="E516">
        <f>INDEX(FactorTable!$B$2:$Y$301, MATCH(ROUND(MIN(300,MAX(1,D516)),0), FactorTable!$A$2:$A$301,0), Skills!M10+1)</f>
        <v/>
      </c>
      <c r="F516">
        <f>IF(Skills!N10=TRUE,(Skills!L10/10)*(E516/1000),Skills!L10/10)+Skills!O10</f>
        <v/>
      </c>
      <c r="G516">
        <f>Skills!G10*IF(Skills!H10&gt;0,Skills!I10/Skills!H10,1)</f>
        <v/>
      </c>
      <c r="H516">
        <f>1-(1-Skills!J10/100)^Skills!K10</f>
        <v/>
      </c>
      <c r="I516" t="inlineStr">
        <is>
          <t>1</t>
        </is>
      </c>
      <c r="J516">
        <f>((Inputs!$B$6*(1+Inputs!$B$7/100))+(((Inputs!$B$12*(1+Inputs!$B$13/100))-(Inputs!$B$12*(1+Inputs!$B$13/100)))+0.25*(Inputs!$B$14-Inputs!$B$14))*(1+Inputs!$B$7/100))*(F516/100)</f>
        <v/>
      </c>
      <c r="K516">
        <f>J516*(1+((Inputs!$B$12*(1+Inputs!$B$13/100))*0.01+Inputs!$B$14*0.0025)/100)*(1+Inputs!$B$15/100)*(1+Inputs!$B$16/100)*(5000/(6000+Inputs!$B$42*(1-(Inputs!$B$19+0)/100)))*(1+(Inputs!$B$24+((C532=TRUE)*(F532-Calc!F26))+B542)/100)*(1+(IF(Skills!A10="EIGHT_LEGS_EASTON",Inputs!$B$17+((C529=TRUE)*(F529-Calc!F23))+((C533=TRUE)*(F533-Calc!F27)),Inputs!$B$18+0))/100)*((1+(((C523=TRUE)*F523)+((C530=TRUE)*(F530-Calc!F24)))/100)*I516)</f>
        <v/>
      </c>
      <c r="L516">
        <f>K516*(MIN(Inputs!$B$22+((C528=TRUE)*(F528-Calc!F22)),Inputs!$B$23+0)/100+(Inputs!$B$23+0)/100)/2</f>
        <v/>
      </c>
      <c r="M516">
        <f>L516*(1+((Inputs!$B$10+1)+((C531=TRUE)*(F531-Calc!F25))+B541)/100)</f>
        <v/>
      </c>
      <c r="N516">
        <f>L516*(1-MIN((Inputs!$B$9+((C525=TRUE)*(F525-Calc!F19))+B536),100)/100)+M516*(MIN((Inputs!$B$9+((C525=TRUE)*(F525-Calc!F19))+B536),100)/100)</f>
        <v/>
      </c>
      <c r="O516">
        <f>(1-Summary!$B$55)*T516+Summary!$B$55*V516</f>
        <v/>
      </c>
      <c r="P516">
        <f>IF(B546=0,0,O516/B546)</f>
        <v/>
      </c>
      <c r="Q516">
        <f>IFERROR(1/IF(Inputs!$B$38="pvp",15,MAX(0.1,Skills!D10-IF(Skills!E10=TRUE,Inputs!$B$32,0))),0)</f>
        <v/>
      </c>
      <c r="R516">
        <f>IF(AND(Inputs!$B$38&lt;&gt;"pvp",Inputs!$B$43&gt;0),IF(MAX(0,Inputs!$B$43-B543)&lt;=0,0,(INT(MAX(0,Inputs!$B$43-B543)/IF(Inputs!$B$38="pvp",15,MAX(0.1,Skills!D10-IF(Skills!E10=TRUE,Inputs!$B$32,0))))+1)),0)</f>
        <v/>
      </c>
      <c r="S516">
        <f>IFERROR(O516/N516,0)</f>
        <v/>
      </c>
      <c r="T516">
        <f>IF(C516,(H516*N516*IF(AND(Inputs!$B$38&lt;&gt;"pvp",Inputs!$B$43&gt;0),((Skills!G10*((R516-1)*IF(Skills!H10&gt;0,Skills!I10/Skills!H10,1)+IF(Skills!H10&gt;0,MIN(Skills!I10,MAX(0,MAX(0,Inputs!$B$43-B543)-((R516-1)*IF(Inputs!$B$38="pvp",15,MAX(0.1,Skills!D10-IF(Skills!E10=TRUE,Inputs!$B$32,0))))))/Skills!H10,1)))/Inputs!$B$43),G516*Q516))*IF(Inputs!$B$38="pvp",1,1+(Inputs!$B$20+0+Skills!P10)/100),0)</f>
        <v/>
      </c>
      <c r="V516">
        <f>IF(C516,(H516*N516*IF(AND(Inputs!$B$38&lt;&gt;"pvp",Inputs!$B$43&gt;0),((Skills!G10*((R516-1)*IF(Skills!H10&gt;0,Skills!I10/Skills!H10,1)+IF(Skills!H10&gt;0,MIN(Skills!I10,MAX(0,MAX(0,Inputs!$B$43-B543)-((R516-1)*IF(Inputs!$B$38="pvp",15,MAX(0.1,Skills!D10-IF(Skills!E10=TRUE,Inputs!$B$32,0))))))/Skills!H10,1)))/Inputs!$B$43),G516*Q516))*IF(Inputs!$B$38="pvp",1,(1+(Inputs!$B$21+Skills!Q10)/100)*(MIN(Skills!R10,Inputs!$B$37))),0)</f>
        <v/>
      </c>
    </row>
    <row r="517">
      <c r="A517">
        <f>Skills!A11</f>
        <v/>
      </c>
      <c r="B517">
        <f>Skills!B11</f>
        <v/>
      </c>
      <c r="C517">
        <f>Inputs!$B$3&gt;=107</f>
        <v/>
      </c>
      <c r="D517">
        <f>IF(Skills!C11=1,60+Inputs!$B$25+Inputs!$B$29,IF(Skills!C11=2,90+Inputs!$B$26+Inputs!$B$29,IF(Skills!C11=3,120+Inputs!$B$27+Inputs!$B$29,MAX(0,(Inputs!$B$3-100)*3)+Inputs!$B$28+Inputs!$B$29)))</f>
        <v/>
      </c>
      <c r="E517">
        <f>INDEX(FactorTable!$B$2:$Y$301, MATCH(ROUND(MIN(300,MAX(1,D517)),0), FactorTable!$A$2:$A$301,0), Skills!M11+1)</f>
        <v/>
      </c>
      <c r="F517">
        <f>IF(Skills!N11=TRUE,(Skills!L11/10)*(E517/1000),Skills!L11/10)+Skills!O11</f>
        <v/>
      </c>
      <c r="G517">
        <f>Skills!G11*IF(Skills!H11&gt;0,Skills!I11/Skills!H11,1)</f>
        <v/>
      </c>
      <c r="H517">
        <f>1-(1-Skills!J11/100)^Skills!K11</f>
        <v/>
      </c>
      <c r="I517" t="inlineStr">
        <is>
          <t>1</t>
        </is>
      </c>
      <c r="J517">
        <f>((Inputs!$B$6*(1+Inputs!$B$7/100))+(((Inputs!$B$12*(1+Inputs!$B$13/100))-(Inputs!$B$12*(1+Inputs!$B$13/100)))+0.25*(Inputs!$B$14-Inputs!$B$14))*(1+Inputs!$B$7/100))*(F517/100)</f>
        <v/>
      </c>
      <c r="K517">
        <f>J517*(1+((Inputs!$B$12*(1+Inputs!$B$13/100))*0.01+Inputs!$B$14*0.0025)/100)*(1+Inputs!$B$15/100)*(1+Inputs!$B$16/100)*(5000/(6000+Inputs!$B$42*(1-(Inputs!$B$19+0)/100)))*(1+(Inputs!$B$24+((C532=TRUE)*(F532-Calc!F26))+B542)/100)*(1+(IF(Skills!A11="EIGHT_LEGS_EASTON",Inputs!$B$17+((C529=TRUE)*(F529-Calc!F23))+((C533=TRUE)*(F533-Calc!F27)),Inputs!$B$18+0))/100)*((1+(((C523=TRUE)*F523)+((C530=TRUE)*(F530-Calc!F24)))/100)*I517)</f>
        <v/>
      </c>
      <c r="L517">
        <f>K517*(MIN(Inputs!$B$22+((C528=TRUE)*(F528-Calc!F22)),Inputs!$B$23+0)/100+(Inputs!$B$23+0)/100)/2</f>
        <v/>
      </c>
      <c r="M517">
        <f>L517*(1+((Inputs!$B$10+1)+((C531=TRUE)*(F531-Calc!F25))+B541)/100)</f>
        <v/>
      </c>
      <c r="N517">
        <f>L517*(1-MIN((Inputs!$B$9+((C525=TRUE)*(F525-Calc!F19))+B536),100)/100)+M517*(MIN((Inputs!$B$9+((C525=TRUE)*(F525-Calc!F19))+B536),100)/100)</f>
        <v/>
      </c>
      <c r="O517">
        <f>(1-Summary!$B$55)*T517+Summary!$B$55*V517</f>
        <v/>
      </c>
      <c r="P517">
        <f>IF(B546=0,0,O517/B546)</f>
        <v/>
      </c>
      <c r="Q517">
        <f>IFERROR(1/IF(Inputs!$B$38="pvp",15,MAX(0.1,Skills!D11-IF(Skills!E11=TRUE,Inputs!$B$32,0))),0)</f>
        <v/>
      </c>
      <c r="R517">
        <f>IF(AND(Inputs!$B$38&lt;&gt;"pvp",Inputs!$B$43&gt;0),IF(MAX(0,Inputs!$B$43-B543)&lt;=0,0,(INT(MAX(0,Inputs!$B$43-B543)/IF(Inputs!$B$38="pvp",15,MAX(0.1,Skills!D11-IF(Skills!E11=TRUE,Inputs!$B$32,0))))+1)),0)</f>
        <v/>
      </c>
      <c r="S517">
        <f>IFERROR(O517/N517,0)</f>
        <v/>
      </c>
      <c r="T517">
        <f>IF(C517,(H517*N517*IF(AND(Inputs!$B$38&lt;&gt;"pvp",Inputs!$B$43&gt;0),((Skills!G11*((R517-1)*IF(Skills!H11&gt;0,Skills!I11/Skills!H11,1)+IF(Skills!H11&gt;0,MIN(Skills!I11,MAX(0,MAX(0,Inputs!$B$43-B543)-((R517-1)*IF(Inputs!$B$38="pvp",15,MAX(0.1,Skills!D11-IF(Skills!E11=TRUE,Inputs!$B$32,0))))))/Skills!H11,1)))/Inputs!$B$43),G517*Q517))*IF(Inputs!$B$38="pvp",1,1+(Inputs!$B$20+0+Skills!P11)/100),0)</f>
        <v/>
      </c>
      <c r="V517">
        <f>IF(C517,(H517*N517*IF(AND(Inputs!$B$38&lt;&gt;"pvp",Inputs!$B$43&gt;0),((Skills!G11*((R517-1)*IF(Skills!H11&gt;0,Skills!I11/Skills!H11,1)+IF(Skills!H11&gt;0,MIN(Skills!I11,MAX(0,MAX(0,Inputs!$B$43-B543)-((R517-1)*IF(Inputs!$B$38="pvp",15,MAX(0.1,Skills!D11-IF(Skills!E11=TRUE,Inputs!$B$32,0))))))/Skills!H11,1)))/Inputs!$B$43),G517*Q517))*IF(Inputs!$B$38="pvp",1,(1+(Inputs!$B$21+Skills!Q11)/100)*(MIN(Skills!R11,Inputs!$B$37))),0)</f>
        <v/>
      </c>
    </row>
    <row r="518">
      <c r="A518">
        <f>Skills!A12</f>
        <v/>
      </c>
      <c r="B518">
        <f>Skills!B12</f>
        <v/>
      </c>
      <c r="C518">
        <f>Inputs!$B$3&gt;=110</f>
        <v/>
      </c>
      <c r="D518">
        <f>IF(Skills!C12=1,60+Inputs!$B$25+Inputs!$B$29,IF(Skills!C12=2,90+Inputs!$B$26+Inputs!$B$29,IF(Skills!C12=3,120+Inputs!$B$27+Inputs!$B$29,MAX(0,(Inputs!$B$3-100)*3)+Inputs!$B$28+Inputs!$B$29)))</f>
        <v/>
      </c>
      <c r="E518">
        <f>INDEX(FactorTable!$B$2:$Y$301, MATCH(ROUND(MIN(300,MAX(1,D518)),0), FactorTable!$A$2:$A$301,0), Skills!M12+1)</f>
        <v/>
      </c>
      <c r="F518">
        <f>IF(Skills!N12=TRUE,(Skills!L12/10)*(E518/1000),Skills!L12/10)+Skills!O12</f>
        <v/>
      </c>
      <c r="G518">
        <f>Skills!G12*IF(Skills!H12&gt;0,Skills!I12/Skills!H12,1)</f>
        <v/>
      </c>
      <c r="H518">
        <f>1-(1-Skills!J12/100)^Skills!K12</f>
        <v/>
      </c>
      <c r="I518" t="inlineStr">
        <is>
          <t>1</t>
        </is>
      </c>
      <c r="J518">
        <f>((Inputs!$B$6*(1+Inputs!$B$7/100))+(((Inputs!$B$12*(1+Inputs!$B$13/100))-(Inputs!$B$12*(1+Inputs!$B$13/100)))+0.25*(Inputs!$B$14-Inputs!$B$14))*(1+Inputs!$B$7/100))*(F518/100)</f>
        <v/>
      </c>
      <c r="K518">
        <f>J518*(1+((Inputs!$B$12*(1+Inputs!$B$13/100))*0.01+Inputs!$B$14*0.0025)/100)*(1+Inputs!$B$15/100)*(1+Inputs!$B$16/100)*(5000/(6000+Inputs!$B$42*(1-(Inputs!$B$19+0)/100)))*(1+(Inputs!$B$24+((C532=TRUE)*(F532-Calc!F26))+B542)/100)*(1+(IF(Skills!A12="EIGHT_LEGS_EASTON",Inputs!$B$17+((C529=TRUE)*(F529-Calc!F23))+((C533=TRUE)*(F533-Calc!F27)),Inputs!$B$18+0))/100)*((1+(((C523=TRUE)*F523)+((C530=TRUE)*(F530-Calc!F24)))/100)*I518)</f>
        <v/>
      </c>
      <c r="L518">
        <f>K518*(MIN(Inputs!$B$22+((C528=TRUE)*(F528-Calc!F22)),Inputs!$B$23+0)/100+(Inputs!$B$23+0)/100)/2</f>
        <v/>
      </c>
      <c r="M518">
        <f>L518*(1+((Inputs!$B$10+1)+((C531=TRUE)*(F531-Calc!F25))+B541)/100)</f>
        <v/>
      </c>
      <c r="N518">
        <f>L518*(1-MIN((Inputs!$B$9+((C525=TRUE)*(F525-Calc!F19))+B536),100)/100)+M518*(MIN((Inputs!$B$9+((C525=TRUE)*(F525-Calc!F19))+B536),100)/100)</f>
        <v/>
      </c>
      <c r="O518">
        <f>(1-Summary!$B$55)*T518+Summary!$B$55*V518</f>
        <v/>
      </c>
      <c r="P518">
        <f>IF(B546=0,0,O518/B546)</f>
        <v/>
      </c>
      <c r="Q518">
        <f>IFERROR(1/IF(Inputs!$B$38="pvp",15,MAX(0.1,Skills!D12-IF(Skills!E12=TRUE,Inputs!$B$32,0))),0)</f>
        <v/>
      </c>
      <c r="R518">
        <f>IF(AND(Inputs!$B$38&lt;&gt;"pvp",Inputs!$B$43&gt;0),IF(MAX(0,Inputs!$B$43-B543)&lt;=0,0,(INT(MAX(0,Inputs!$B$43-B543)/IF(Inputs!$B$38="pvp",15,MAX(0.1,Skills!D12-IF(Skills!E12=TRUE,Inputs!$B$32,0))))+1)),0)</f>
        <v/>
      </c>
      <c r="S518">
        <f>IFERROR(O518/N518,0)</f>
        <v/>
      </c>
      <c r="T518">
        <f>IF(C518,(H518*N518*IF(AND(Inputs!$B$38&lt;&gt;"pvp",Inputs!$B$43&gt;0),((Skills!G12*((R518-1)*IF(Skills!H12&gt;0,Skills!I12/Skills!H12,1)+IF(Skills!H12&gt;0,MIN(Skills!I12,MAX(0,MAX(0,Inputs!$B$43-B543)-((R518-1)*IF(Inputs!$B$38="pvp",15,MAX(0.1,Skills!D12-IF(Skills!E12=TRUE,Inputs!$B$32,0))))))/Skills!H12,1)))/Inputs!$B$43),G518*Q518))*IF(Inputs!$B$38="pvp",1,1+(Inputs!$B$20+0+Skills!P12)/100),0)</f>
        <v/>
      </c>
      <c r="V518">
        <f>IF(C518,(H518*N518*IF(AND(Inputs!$B$38&lt;&gt;"pvp",Inputs!$B$43&gt;0),((Skills!G12*((R518-1)*IF(Skills!H12&gt;0,Skills!I12/Skills!H12,1)+IF(Skills!H12&gt;0,MIN(Skills!I12,MAX(0,MAX(0,Inputs!$B$43-B543)-((R518-1)*IF(Inputs!$B$38="pvp",15,MAX(0.1,Skills!D12-IF(Skills!E12=TRUE,Inputs!$B$32,0))))))/Skills!H12,1)))/Inputs!$B$43),G518*Q518))*IF(Inputs!$B$38="pvp",1,(1+(Inputs!$B$21+Skills!Q12)/100)*(MIN(Skills!R12,Inputs!$B$37))),0)</f>
        <v/>
      </c>
    </row>
    <row r="519">
      <c r="A519">
        <f>Skills!A13</f>
        <v/>
      </c>
      <c r="B519">
        <f>Skills!B13</f>
        <v/>
      </c>
      <c r="C519">
        <f>Inputs!$B$3&gt;=110</f>
        <v/>
      </c>
      <c r="D519">
        <f>IF(Skills!C13=1,60+Inputs!$B$25+Inputs!$B$29,IF(Skills!C13=2,90+Inputs!$B$26+Inputs!$B$29,IF(Skills!C13=3,120+Inputs!$B$27+Inputs!$B$29,MAX(0,(Inputs!$B$3-100)*3)+Inputs!$B$28+Inputs!$B$29)))</f>
        <v/>
      </c>
      <c r="E519">
        <f>INDEX(FactorTable!$B$2:$Y$301, MATCH(ROUND(MIN(300,MAX(1,D519)),0), FactorTable!$A$2:$A$301,0), Skills!M13+1)</f>
        <v/>
      </c>
      <c r="F519">
        <f>IF(Skills!N13=TRUE,(Skills!L13/10)*(E519/1000),Skills!L13/10)+Skills!O13</f>
        <v/>
      </c>
      <c r="G519">
        <f>Skills!G13*IF(Skills!H13&gt;0,Skills!I13/Skills!H13,1)</f>
        <v/>
      </c>
      <c r="H519">
        <f>1-(1-Skills!J13/100)^Skills!K13</f>
        <v/>
      </c>
      <c r="I519" t="inlineStr">
        <is>
          <t>1</t>
        </is>
      </c>
      <c r="J519">
        <f>((Inputs!$B$6*(1+Inputs!$B$7/100))+(((Inputs!$B$12*(1+Inputs!$B$13/100))-(Inputs!$B$12*(1+Inputs!$B$13/100)))+0.25*(Inputs!$B$14-Inputs!$B$14))*(1+Inputs!$B$7/100))*(F519/100)</f>
        <v/>
      </c>
      <c r="K519">
        <f>J519*(1+((Inputs!$B$12*(1+Inputs!$B$13/100))*0.01+Inputs!$B$14*0.0025)/100)*(1+Inputs!$B$15/100)*(1+Inputs!$B$16/100)*(5000/(6000+Inputs!$B$42*(1-(Inputs!$B$19+0)/100)))*(1+(Inputs!$B$24+((C532=TRUE)*(F532-Calc!F26))+B542)/100)*(1+(IF(Skills!A13="EIGHT_LEGS_EASTON",Inputs!$B$17+((C529=TRUE)*(F529-Calc!F23))+((C533=TRUE)*(F533-Calc!F27)),Inputs!$B$18+0))/100)*((1+(((C523=TRUE)*F523)+((C530=TRUE)*(F530-Calc!F24)))/100)*I519)</f>
        <v/>
      </c>
      <c r="L519">
        <f>K519*(MIN(Inputs!$B$22+((C528=TRUE)*(F528-Calc!F22)),Inputs!$B$23+0)/100+(Inputs!$B$23+0)/100)/2</f>
        <v/>
      </c>
      <c r="M519">
        <f>L519*(1+((Inputs!$B$10+1)+((C531=TRUE)*(F531-Calc!F25))+B541)/100)</f>
        <v/>
      </c>
      <c r="N519">
        <f>L519*(1-MIN((Inputs!$B$9+((C525=TRUE)*(F525-Calc!F19))+B536),100)/100)+M519*(MIN((Inputs!$B$9+((C525=TRUE)*(F525-Calc!F19))+B536),100)/100)</f>
        <v/>
      </c>
      <c r="O519">
        <f>(1-Summary!$B$55)*T519+Summary!$B$55*V519</f>
        <v/>
      </c>
      <c r="P519">
        <f>IF(B546=0,0,O519/B546)</f>
        <v/>
      </c>
      <c r="Q519">
        <f>IFERROR(1/IF(Inputs!$B$38="pvp",15,MAX(0.1,Skills!D13-IF(Skills!E13=TRUE,Inputs!$B$32,0))),0)</f>
        <v/>
      </c>
      <c r="R519">
        <f>IF(AND(Inputs!$B$38&lt;&gt;"pvp",Inputs!$B$43&gt;0),IF(MAX(0,Inputs!$B$43-B543)&lt;=0,0,(INT(MAX(0,Inputs!$B$43-B543)/IF(Inputs!$B$38="pvp",15,MAX(0.1,Skills!D13-IF(Skills!E13=TRUE,Inputs!$B$32,0))))+1)),0)</f>
        <v/>
      </c>
      <c r="S519">
        <f>IFERROR(O519/N519,0)</f>
        <v/>
      </c>
      <c r="T519">
        <f>IF(C519,(H519*N519*IF(AND(Inputs!$B$38&lt;&gt;"pvp",Inputs!$B$43&gt;0),((Skills!G13*((R519-1)*IF(Skills!H13&gt;0,Skills!I13/Skills!H13,1)+IF(Skills!H13&gt;0,MIN(Skills!I13,MAX(0,MAX(0,Inputs!$B$43-B543)-((R519-1)*IF(Inputs!$B$38="pvp",15,MAX(0.1,Skills!D13-IF(Skills!E13=TRUE,Inputs!$B$32,0))))))/Skills!H13,1)))/Inputs!$B$43),G519*Q519))*IF(Inputs!$B$38="pvp",1,1+(Inputs!$B$20+0+Skills!P13)/100),0)</f>
        <v/>
      </c>
      <c r="V519">
        <f>IF(C519,(H519*N519*IF(AND(Inputs!$B$38&lt;&gt;"pvp",Inputs!$B$43&gt;0),((Skills!G13*((R519-1)*IF(Skills!H13&gt;0,Skills!I13/Skills!H13,1)+IF(Skills!H13&gt;0,MIN(Skills!I13,MAX(0,MAX(0,Inputs!$B$43-B543)-((R519-1)*IF(Inputs!$B$38="pvp",15,MAX(0.1,Skills!D13-IF(Skills!E13=TRUE,Inputs!$B$32,0))))))/Skills!H13,1)))/Inputs!$B$43),G519*Q519))*IF(Inputs!$B$38="pvp",1,(1+(Inputs!$B$21+Skills!Q13)/100)*(MIN(Skills!R13,Inputs!$B$37))),0)</f>
        <v/>
      </c>
    </row>
    <row r="520">
      <c r="A520">
        <f>Skills!A14</f>
        <v/>
      </c>
      <c r="B520">
        <f>Skills!B14</f>
        <v/>
      </c>
      <c r="C520">
        <f>Inputs!$B$3&gt;=125</f>
        <v/>
      </c>
      <c r="D520">
        <f>IF(Skills!C14=1,60+Inputs!$B$25+Inputs!$B$29,IF(Skills!C14=2,90+Inputs!$B$26+Inputs!$B$29,IF(Skills!C14=3,120+Inputs!$B$27+Inputs!$B$29,MAX(0,(Inputs!$B$3-100)*3)+Inputs!$B$28+Inputs!$B$29)))</f>
        <v/>
      </c>
      <c r="E520">
        <f>INDEX(FactorTable!$B$2:$Y$301, MATCH(ROUND(MIN(300,MAX(1,D520)),0), FactorTable!$A$2:$A$301,0), Skills!M14+1)</f>
        <v/>
      </c>
      <c r="F520">
        <f>IF(Skills!N14=TRUE,(Skills!L14/10)*(E520/1000),Skills!L14/10)+Skills!O14</f>
        <v/>
      </c>
      <c r="G520">
        <f>Skills!G14*IF(Skills!H14&gt;0,Skills!I14/Skills!H14,1)</f>
        <v/>
      </c>
      <c r="H520">
        <f>1-(1-Skills!J14/100)^Skills!K14</f>
        <v/>
      </c>
      <c r="I520" t="inlineStr">
        <is>
          <t>1</t>
        </is>
      </c>
      <c r="J520">
        <f>((Inputs!$B$6*(1+Inputs!$B$7/100))+(((Inputs!$B$12*(1+Inputs!$B$13/100))-(Inputs!$B$12*(1+Inputs!$B$13/100)))+0.25*(Inputs!$B$14-Inputs!$B$14))*(1+Inputs!$B$7/100))*(F520/100)</f>
        <v/>
      </c>
      <c r="K520">
        <f>J520*(1+((Inputs!$B$12*(1+Inputs!$B$13/100))*0.01+Inputs!$B$14*0.0025)/100)*(1+Inputs!$B$15/100)*(1+Inputs!$B$16/100)*(5000/(6000+Inputs!$B$42*(1-(Inputs!$B$19+0)/100)))*(1+(Inputs!$B$24+((C532=TRUE)*(F532-Calc!F26))+B542)/100)*(1+(IF(Skills!A14="EIGHT_LEGS_EASTON",Inputs!$B$17+((C529=TRUE)*(F529-Calc!F23))+((C533=TRUE)*(F533-Calc!F27)),Inputs!$B$18+0))/100)*((1+(((C523=TRUE)*F523)+((C530=TRUE)*(F530-Calc!F24)))/100)*I520)</f>
        <v/>
      </c>
      <c r="L520">
        <f>K520*(MIN(Inputs!$B$22+((C528=TRUE)*(F528-Calc!F22)),Inputs!$B$23+0)/100+(Inputs!$B$23+0)/100)/2</f>
        <v/>
      </c>
      <c r="M520">
        <f>L520*(1+((Inputs!$B$10+1)+((C531=TRUE)*(F531-Calc!F25))+B541)/100)</f>
        <v/>
      </c>
      <c r="N520">
        <f>L520*(1-MIN((Inputs!$B$9+((C525=TRUE)*(F525-Calc!F19))+B536),100)/100)+M520*(MIN((Inputs!$B$9+((C525=TRUE)*(F525-Calc!F19))+B536),100)/100)</f>
        <v/>
      </c>
      <c r="O520">
        <f>(1-Summary!$B$55)*T520+Summary!$B$55*V520</f>
        <v/>
      </c>
      <c r="P520">
        <f>IF(B546=0,0,O520/B546)</f>
        <v/>
      </c>
      <c r="Q520" t="n">
        <v>0</v>
      </c>
      <c r="R520" t="n">
        <v>0</v>
      </c>
      <c r="S520">
        <f>IFERROR(O520/N520,0)</f>
        <v/>
      </c>
      <c r="T520">
        <f>IF(C520,(H520*N520*(B540+IF(AND(Inputs!$B$38&lt;&gt;"pvp",Inputs!$B$43&gt;0),((Skills!G8*((R514-1)*IF(Skills!H8&gt;0,Skills!I8/Skills!H8,1)+IF(Skills!H8&gt;0,MIN(Skills!I8,MAX(0,MAX(0,Inputs!$B$43-B543)-((R514-1)*IF(Inputs!$B$38="pvp",15,MAX(0.1,Skills!D8-IF(Skills!E8=TRUE,Inputs!$B$32,0))))))/Skills!H8,1)))/Inputs!$B$43),G514*Q514)+IF(AND(Inputs!$B$38&lt;&gt;"pvp",Inputs!$B$43&gt;0),((Skills!G11*((R517-1)*IF(Skills!H11&gt;0,Skills!I11/Skills!H11,1)+IF(Skills!H11&gt;0,MIN(Skills!I11,MAX(0,MAX(0,Inputs!$B$43-B543)-((R517-1)*IF(Inputs!$B$38="pvp",15,MAX(0.1,Skills!D11-IF(Skills!E11=TRUE,Inputs!$B$32,0))))))/Skills!H11,1)))/Inputs!$B$43),G517*Q517)))*IF(Inputs!$B$38="pvp",1,1+(Inputs!$B$20+0+Skills!P14)/100),0)</f>
        <v/>
      </c>
      <c r="V520">
        <f>IF(C520,(H520*N520*(B540+IF(AND(Inputs!$B$38&lt;&gt;"pvp",Inputs!$B$43&gt;0),((Skills!G8*((R514-1)*IF(Skills!H8&gt;0,Skills!I8/Skills!H8,1)+IF(Skills!H8&gt;0,MIN(Skills!I8,MAX(0,MAX(0,Inputs!$B$43-B543)-((R514-1)*IF(Inputs!$B$38="pvp",15,MAX(0.1,Skills!D8-IF(Skills!E8=TRUE,Inputs!$B$32,0))))))/Skills!H8,1)))/Inputs!$B$43),G514*Q514)+IF(AND(Inputs!$B$38&lt;&gt;"pvp",Inputs!$B$43&gt;0),((Skills!G11*((R517-1)*IF(Skills!H11&gt;0,Skills!I11/Skills!H11,1)+IF(Skills!H11&gt;0,MIN(Skills!I11,MAX(0,MAX(0,Inputs!$B$43-B543)-((R517-1)*IF(Inputs!$B$38="pvp",15,MAX(0.1,Skills!D11-IF(Skills!E11=TRUE,Inputs!$B$32,0))))))/Skills!H11,1)))/Inputs!$B$43),G517*Q517)))*IF(Inputs!$B$38="pvp",1,(1+(Inputs!$B$21+Skills!Q14)/100)*(MIN(Skills!R14,Inputs!$B$37))),0)</f>
        <v/>
      </c>
    </row>
    <row r="521">
      <c r="A521">
        <f>Skills!A15</f>
        <v/>
      </c>
      <c r="B521">
        <f>Skills!B15</f>
        <v/>
      </c>
      <c r="C521">
        <f>Inputs!$B$3&gt;=100</f>
        <v/>
      </c>
      <c r="D521">
        <f>IF(Skills!C15=1,60+Inputs!$B$25+Inputs!$B$29,IF(Skills!C15=2,90+Inputs!$B$26+Inputs!$B$29,IF(Skills!C15=3,120+Inputs!$B$27+Inputs!$B$29,MAX(0,(Inputs!$B$3-100)*3)+Inputs!$B$28+Inputs!$B$29)))</f>
        <v/>
      </c>
      <c r="E521">
        <f>INDEX(FactorTable!$B$2:$Y$301, MATCH(ROUND(MIN(300,MAX(1,D521)),0), FactorTable!$A$2:$A$301,0), Skills!M15+1)</f>
        <v/>
      </c>
      <c r="F521">
        <f>IF(Skills!N15=TRUE,(Skills!L15/10)*(E521/1000),Skills!L15/10)+Skills!O15</f>
        <v/>
      </c>
      <c r="G521" t="inlineStr"/>
      <c r="H521" t="inlineStr"/>
      <c r="I521" t="inlineStr">
        <is>
          <t>1</t>
        </is>
      </c>
      <c r="J521" t="inlineStr"/>
      <c r="K521" t="inlineStr"/>
      <c r="L521" t="inlineStr"/>
      <c r="M521" t="inlineStr"/>
      <c r="N521" t="inlineStr"/>
      <c r="O521" t="inlineStr"/>
      <c r="P521" t="inlineStr"/>
      <c r="Q521" t="inlineStr"/>
      <c r="R521" t="inlineStr"/>
      <c r="S521" t="inlineStr"/>
    </row>
    <row r="522">
      <c r="A522">
        <f>Skills!A16</f>
        <v/>
      </c>
      <c r="B522">
        <f>Skills!B16</f>
        <v/>
      </c>
      <c r="C522">
        <f>Inputs!$B$3&gt;=120</f>
        <v/>
      </c>
      <c r="D522">
        <f>IF(Skills!C16=1,60+Inputs!$B$25+Inputs!$B$29,IF(Skills!C16=2,90+Inputs!$B$26+Inputs!$B$29,IF(Skills!C16=3,120+Inputs!$B$27+Inputs!$B$29,MAX(0,(Inputs!$B$3-100)*3)+Inputs!$B$28+Inputs!$B$29)))</f>
        <v/>
      </c>
      <c r="E522">
        <f>INDEX(FactorTable!$B$2:$Y$301, MATCH(ROUND(MIN(300,MAX(1,D522)),0), FactorTable!$A$2:$A$301,0), Skills!M16+1)</f>
        <v/>
      </c>
      <c r="F522">
        <f>IF(Skills!N16=TRUE,(Skills!L16/10)*(E522/1000),Skills!L16/10)+Skills!O16</f>
        <v/>
      </c>
      <c r="G522" t="inlineStr"/>
      <c r="H522" t="inlineStr"/>
      <c r="I522" t="inlineStr">
        <is>
          <t>1</t>
        </is>
      </c>
      <c r="J522" t="inlineStr"/>
      <c r="K522" t="inlineStr"/>
      <c r="L522" t="inlineStr"/>
      <c r="M522" t="inlineStr"/>
      <c r="N522" t="inlineStr"/>
      <c r="O522" t="inlineStr"/>
      <c r="P522" t="inlineStr"/>
      <c r="Q522" t="inlineStr"/>
      <c r="R522" t="inlineStr"/>
      <c r="S522" t="inlineStr"/>
    </row>
    <row r="523">
      <c r="A523">
        <f>Skills!A17</f>
        <v/>
      </c>
      <c r="B523">
        <f>Skills!B17</f>
        <v/>
      </c>
      <c r="C523">
        <f>Inputs!$B$3&gt;=66</f>
        <v/>
      </c>
      <c r="D523">
        <f>IF(Skills!C17=1,60+Inputs!$B$25+Inputs!$B$29,IF(Skills!C17=2,90+Inputs!$B$26+Inputs!$B$29,IF(Skills!C17=3,120+Inputs!$B$27+Inputs!$B$29,MAX(0,(Inputs!$B$3-100)*3)+Inputs!$B$28+Inputs!$B$29)))</f>
        <v/>
      </c>
      <c r="E523">
        <f>INDEX(FactorTable!$B$2:$Y$301, MATCH(ROUND(MIN(300,MAX(1,D523)),0), FactorTable!$A$2:$A$301,0), Skills!M17+1)</f>
        <v/>
      </c>
      <c r="F523">
        <f>IF(Skills!N17=TRUE,(Skills!L17/10)*(E523/1000),Skills!L17/10)+Skills!O17</f>
        <v/>
      </c>
      <c r="G523">
        <f>Skills!G17*IF(Skills!H17&gt;0,Skills!I17/Skills!H17,1)</f>
        <v/>
      </c>
      <c r="H523">
        <f>1-(1-Skills!J17/100)^Skills!K17</f>
        <v/>
      </c>
      <c r="I523" t="inlineStr">
        <is>
          <t>1</t>
        </is>
      </c>
      <c r="J523" t="inlineStr"/>
      <c r="K523" t="inlineStr"/>
      <c r="L523" t="inlineStr"/>
      <c r="M523" t="inlineStr"/>
      <c r="N523" t="inlineStr"/>
      <c r="O523">
        <f>(1-Summary!$B$55)*T523+Summary!$B$55*V523</f>
        <v/>
      </c>
      <c r="P523">
        <f>IF(B546=0,0,O523/B546)</f>
        <v/>
      </c>
      <c r="Q523" t="n">
        <v>0</v>
      </c>
      <c r="R523" t="n">
        <v>0</v>
      </c>
      <c r="S523">
        <f>IFERROR(O523/N523,0)</f>
        <v/>
      </c>
      <c r="T523" t="n">
        <v>0</v>
      </c>
      <c r="V523" t="n">
        <v>0</v>
      </c>
    </row>
    <row r="524">
      <c r="A524">
        <f>Skills!A18</f>
        <v/>
      </c>
      <c r="B524">
        <f>Skills!B18</f>
        <v/>
      </c>
      <c r="C524">
        <f>Inputs!$B$3&gt;=115</f>
        <v/>
      </c>
      <c r="D524">
        <f>IF(Skills!C18=1,60+Inputs!$B$25+Inputs!$B$29,IF(Skills!C18=2,90+Inputs!$B$26+Inputs!$B$29,IF(Skills!C18=3,120+Inputs!$B$27+Inputs!$B$29,MAX(0,(Inputs!$B$3-100)*3)+Inputs!$B$28+Inputs!$B$29)))</f>
        <v/>
      </c>
      <c r="E524">
        <f>INDEX(FactorTable!$B$2:$Y$301, MATCH(ROUND(MIN(300,MAX(1,D524)),0), FactorTable!$A$2:$A$301,0), Skills!M18+1)</f>
        <v/>
      </c>
      <c r="F524">
        <f>IF(Skills!N18=TRUE,(Skills!L18/10)*(E524/1000),Skills!L18/10)+Skills!O18</f>
        <v/>
      </c>
      <c r="G524">
        <f>Skills!G18*IF(Skills!H18&gt;0,Skills!I18/Skills!H18,1)</f>
        <v/>
      </c>
      <c r="H524">
        <f>1-(1-Skills!J18/100)^Skills!K18</f>
        <v/>
      </c>
      <c r="I524" t="inlineStr">
        <is>
          <t>1</t>
        </is>
      </c>
      <c r="J524" t="inlineStr"/>
      <c r="K524" t="inlineStr"/>
      <c r="L524" t="inlineStr"/>
      <c r="M524" t="inlineStr"/>
      <c r="N524" t="inlineStr"/>
      <c r="O524">
        <f>(1-Summary!$B$55)*T524+Summary!$B$55*V524</f>
        <v/>
      </c>
      <c r="P524">
        <f>IF(B546=0,0,O524/B546)</f>
        <v/>
      </c>
      <c r="Q524" t="n">
        <v>0</v>
      </c>
      <c r="R524" t="n">
        <v>0</v>
      </c>
      <c r="S524">
        <f>IFERROR(O524/N524,0)</f>
        <v/>
      </c>
      <c r="T524" t="n">
        <v>0</v>
      </c>
      <c r="V524" t="n">
        <v>0</v>
      </c>
    </row>
    <row r="525">
      <c r="A525">
        <f>Skills!A19</f>
        <v/>
      </c>
      <c r="B525">
        <f>Skills!B19</f>
        <v/>
      </c>
      <c r="C525">
        <f>Inputs!$B$3&gt;=15</f>
        <v/>
      </c>
      <c r="D525">
        <f>IF(Skills!C19=1,60+Inputs!$B$25+Inputs!$B$29,IF(Skills!C19=2,90+Inputs!$B$26+Inputs!$B$29,IF(Skills!C19=3,120+Inputs!$B$27+Inputs!$B$29,MAX(0,(Inputs!$B$3-100)*3)+Inputs!$B$28+Inputs!$B$29)))</f>
        <v/>
      </c>
      <c r="E525">
        <f>INDEX(FactorTable!$B$2:$Y$301, MATCH(ROUND(MIN(300,MAX(1,D525)),0), FactorTable!$A$2:$A$301,0), Skills!M19+1)</f>
        <v/>
      </c>
      <c r="F525">
        <f>IF(Skills!N19=TRUE,(Skills!L19/10)*(E525/1000),Skills!L19/10)+Skills!O19</f>
        <v/>
      </c>
      <c r="G525">
        <f>Skills!G19*IF(Skills!H19&gt;0,Skills!I19/Skills!H19,1)</f>
        <v/>
      </c>
      <c r="H525">
        <f>1-(1-Skills!J19/100)^Skills!K19</f>
        <v/>
      </c>
      <c r="I525" t="inlineStr">
        <is>
          <t>1</t>
        </is>
      </c>
      <c r="J525" t="inlineStr"/>
      <c r="K525" t="inlineStr"/>
      <c r="L525" t="inlineStr"/>
      <c r="M525" t="inlineStr"/>
      <c r="N525" t="inlineStr"/>
      <c r="O525">
        <f>(1-Summary!$B$55)*T525+Summary!$B$55*V525</f>
        <v/>
      </c>
      <c r="P525">
        <f>IF(B546=0,0,O525/B546)</f>
        <v/>
      </c>
      <c r="Q525" t="n">
        <v>0</v>
      </c>
      <c r="R525" t="n">
        <v>0</v>
      </c>
      <c r="S525">
        <f>IFERROR(O525/N525,0)</f>
        <v/>
      </c>
      <c r="T525" t="n">
        <v>0</v>
      </c>
      <c r="V525" t="n">
        <v>0</v>
      </c>
    </row>
    <row r="526">
      <c r="A526">
        <f>Skills!A20</f>
        <v/>
      </c>
      <c r="B526">
        <f>Skills!B20</f>
        <v/>
      </c>
      <c r="C526">
        <f>Inputs!$B$3&gt;=10</f>
        <v/>
      </c>
      <c r="D526">
        <f>IF(Skills!C20=1,60+Inputs!$B$25+Inputs!$B$29,IF(Skills!C20=2,90+Inputs!$B$26+Inputs!$B$29,IF(Skills!C20=3,120+Inputs!$B$27+Inputs!$B$29,MAX(0,(Inputs!$B$3-100)*3)+Inputs!$B$28+Inputs!$B$29)))</f>
        <v/>
      </c>
      <c r="E526">
        <f>INDEX(FactorTable!$B$2:$Y$301, MATCH(ROUND(MIN(300,MAX(1,D526)),0), FactorTable!$A$2:$A$301,0), Skills!M20+1)</f>
        <v/>
      </c>
      <c r="F526">
        <f>IF(Skills!N20=TRUE,(Skills!L20/10)*(E526/1000),Skills!L20/10)+Skills!O20</f>
        <v/>
      </c>
      <c r="G526">
        <f>Skills!G20*IF(Skills!H20&gt;0,Skills!I20/Skills!H20,1)</f>
        <v/>
      </c>
      <c r="H526">
        <f>1-(1-Skills!J20/100)^Skills!K20</f>
        <v/>
      </c>
      <c r="I526" t="inlineStr">
        <is>
          <t>1</t>
        </is>
      </c>
      <c r="J526" t="inlineStr"/>
      <c r="K526" t="inlineStr"/>
      <c r="L526" t="inlineStr"/>
      <c r="M526" t="inlineStr"/>
      <c r="N526" t="inlineStr"/>
      <c r="O526">
        <f>(1-Summary!$B$55)*T526+Summary!$B$55*V526</f>
        <v/>
      </c>
      <c r="P526">
        <f>IF(B546=0,0,O526/B546)</f>
        <v/>
      </c>
      <c r="Q526" t="n">
        <v>0</v>
      </c>
      <c r="R526" t="n">
        <v>0</v>
      </c>
      <c r="S526">
        <f>IFERROR(O526/N526,0)</f>
        <v/>
      </c>
      <c r="T526" t="n">
        <v>0</v>
      </c>
      <c r="V526" t="n">
        <v>0</v>
      </c>
    </row>
    <row r="527">
      <c r="A527">
        <f>Skills!A21</f>
        <v/>
      </c>
      <c r="B527">
        <f>Skills!B21</f>
        <v/>
      </c>
      <c r="C527">
        <f>Inputs!$B$3&gt;=33</f>
        <v/>
      </c>
      <c r="D527">
        <f>IF(Skills!C21=1,60+Inputs!$B$25+Inputs!$B$29,IF(Skills!C21=2,90+Inputs!$B$26+Inputs!$B$29,IF(Skills!C21=3,120+Inputs!$B$27+Inputs!$B$29,MAX(0,(Inputs!$B$3-100)*3)+Inputs!$B$28+Inputs!$B$29)))</f>
        <v/>
      </c>
      <c r="E527">
        <f>INDEX(FactorTable!$B$2:$Y$301, MATCH(ROUND(MIN(300,MAX(1,D527)),0), FactorTable!$A$2:$A$301,0), Skills!M21+1)</f>
        <v/>
      </c>
      <c r="F527">
        <f>IF(Skills!N21=TRUE,(Skills!L21/10)*(E527/1000),Skills!L21/10)+Skills!O21</f>
        <v/>
      </c>
      <c r="G527">
        <f>Skills!G21*IF(Skills!H21&gt;0,Skills!I21/Skills!H21,1)</f>
        <v/>
      </c>
      <c r="H527">
        <f>1-(1-Skills!J21/100)^Skills!K21</f>
        <v/>
      </c>
      <c r="I527" t="inlineStr">
        <is>
          <t>1</t>
        </is>
      </c>
      <c r="J527" t="inlineStr"/>
      <c r="K527" t="inlineStr"/>
      <c r="L527" t="inlineStr"/>
      <c r="M527" t="inlineStr"/>
      <c r="N527" t="inlineStr"/>
      <c r="O527">
        <f>(1-Summary!$B$55)*T527+Summary!$B$55*V527</f>
        <v/>
      </c>
      <c r="P527">
        <f>IF(B546=0,0,O527/B546)</f>
        <v/>
      </c>
      <c r="Q527" t="n">
        <v>0</v>
      </c>
      <c r="R527" t="n">
        <v>0</v>
      </c>
      <c r="S527">
        <f>IFERROR(O527/N527,0)</f>
        <v/>
      </c>
      <c r="T527" t="n">
        <v>0</v>
      </c>
      <c r="V527" t="n">
        <v>0</v>
      </c>
    </row>
    <row r="528">
      <c r="A528">
        <f>Skills!A22</f>
        <v/>
      </c>
      <c r="B528">
        <f>Skills!B22</f>
        <v/>
      </c>
      <c r="C528">
        <f>Inputs!$B$3&gt;=43</f>
        <v/>
      </c>
      <c r="D528">
        <f>IF(Skills!C22=1,60+Inputs!$B$25+Inputs!$B$29,IF(Skills!C22=2,90+Inputs!$B$26+Inputs!$B$29,IF(Skills!C22=3,120+Inputs!$B$27+Inputs!$B$29,MAX(0,(Inputs!$B$3-100)*3)+Inputs!$B$28+Inputs!$B$29)))</f>
        <v/>
      </c>
      <c r="E528">
        <f>INDEX(FactorTable!$B$2:$Y$301, MATCH(ROUND(MIN(300,MAX(1,D528)),0), FactorTable!$A$2:$A$301,0), Skills!M22+1)</f>
        <v/>
      </c>
      <c r="F528">
        <f>IF(Skills!N22=TRUE,(Skills!L22/10)*(E528/1000),Skills!L22/10)+Skills!O22</f>
        <v/>
      </c>
      <c r="G528">
        <f>Skills!G22*IF(Skills!H22&gt;0,Skills!I22/Skills!H22,1)</f>
        <v/>
      </c>
      <c r="H528">
        <f>1-(1-Skills!J22/100)^Skills!K22</f>
        <v/>
      </c>
      <c r="I528" t="inlineStr">
        <is>
          <t>1</t>
        </is>
      </c>
      <c r="J528" t="inlineStr"/>
      <c r="K528" t="inlineStr"/>
      <c r="L528" t="inlineStr"/>
      <c r="M528" t="inlineStr"/>
      <c r="N528" t="inlineStr"/>
      <c r="O528">
        <f>(1-Summary!$B$55)*T528+Summary!$B$55*V528</f>
        <v/>
      </c>
      <c r="P528">
        <f>IF(B546=0,0,O528/B546)</f>
        <v/>
      </c>
      <c r="Q528" t="n">
        <v>0</v>
      </c>
      <c r="R528" t="n">
        <v>0</v>
      </c>
      <c r="S528">
        <f>IFERROR(O528/N528,0)</f>
        <v/>
      </c>
      <c r="T528" t="n">
        <v>0</v>
      </c>
      <c r="V528" t="n">
        <v>0</v>
      </c>
    </row>
    <row r="529">
      <c r="A529">
        <f>Skills!A23</f>
        <v/>
      </c>
      <c r="B529">
        <f>Skills!B23</f>
        <v/>
      </c>
      <c r="C529">
        <f>Inputs!$B$3&gt;=38</f>
        <v/>
      </c>
      <c r="D529">
        <f>IF(Skills!C23=1,60+Inputs!$B$25+Inputs!$B$29,IF(Skills!C23=2,90+Inputs!$B$26+Inputs!$B$29,IF(Skills!C23=3,120+Inputs!$B$27+Inputs!$B$29,MAX(0,(Inputs!$B$3-100)*3)+Inputs!$B$28+Inputs!$B$29)))</f>
        <v/>
      </c>
      <c r="E529">
        <f>INDEX(FactorTable!$B$2:$Y$301, MATCH(ROUND(MIN(300,MAX(1,D529)),0), FactorTable!$A$2:$A$301,0), Skills!M23+1)</f>
        <v/>
      </c>
      <c r="F529">
        <f>IF(Skills!N23=TRUE,(Skills!L23/10)*(E529/1000),Skills!L23/10)+Skills!O23</f>
        <v/>
      </c>
      <c r="G529">
        <f>Skills!G23*IF(Skills!H23&gt;0,Skills!I23/Skills!H23,1)</f>
        <v/>
      </c>
      <c r="H529">
        <f>1-(1-Skills!J23/100)^Skills!K23</f>
        <v/>
      </c>
      <c r="I529" t="inlineStr">
        <is>
          <t>1</t>
        </is>
      </c>
      <c r="J529" t="inlineStr"/>
      <c r="K529" t="inlineStr"/>
      <c r="L529" t="inlineStr"/>
      <c r="M529" t="inlineStr"/>
      <c r="N529" t="inlineStr"/>
      <c r="O529">
        <f>(1-Summary!$B$55)*T529+Summary!$B$55*V529</f>
        <v/>
      </c>
      <c r="P529">
        <f>IF(B546=0,0,O529/B546)</f>
        <v/>
      </c>
      <c r="Q529" t="n">
        <v>0</v>
      </c>
      <c r="R529" t="n">
        <v>0</v>
      </c>
      <c r="S529">
        <f>IFERROR(O529/N529,0)</f>
        <v/>
      </c>
      <c r="T529" t="n">
        <v>0</v>
      </c>
      <c r="V529" t="n">
        <v>0</v>
      </c>
    </row>
    <row r="530">
      <c r="A530">
        <f>Skills!A24</f>
        <v/>
      </c>
      <c r="B530">
        <f>Skills!B24</f>
        <v/>
      </c>
      <c r="C530">
        <f>Inputs!$B$3&gt;=40</f>
        <v/>
      </c>
      <c r="D530">
        <f>IF(Skills!C24=1,60+Inputs!$B$25+Inputs!$B$29,IF(Skills!C24=2,90+Inputs!$B$26+Inputs!$B$29,IF(Skills!C24=3,120+Inputs!$B$27+Inputs!$B$29,MAX(0,(Inputs!$B$3-100)*3)+Inputs!$B$28+Inputs!$B$29)))</f>
        <v/>
      </c>
      <c r="E530">
        <f>INDEX(FactorTable!$B$2:$Y$301, MATCH(ROUND(MIN(300,MAX(1,D530)),0), FactorTable!$A$2:$A$301,0), Skills!M24+1)</f>
        <v/>
      </c>
      <c r="F530">
        <f>IF(Skills!N24=TRUE,(Skills!L24/10)*(E530/1000),Skills!L24/10)+Skills!O24</f>
        <v/>
      </c>
      <c r="G530">
        <f>Skills!G24*IF(Skills!H24&gt;0,Skills!I24/Skills!H24,1)</f>
        <v/>
      </c>
      <c r="H530">
        <f>1-(1-Skills!J24/100)^Skills!K24</f>
        <v/>
      </c>
      <c r="I530" t="inlineStr">
        <is>
          <t>1</t>
        </is>
      </c>
      <c r="J530" t="inlineStr"/>
      <c r="K530" t="inlineStr"/>
      <c r="L530" t="inlineStr"/>
      <c r="M530" t="inlineStr"/>
      <c r="N530" t="inlineStr"/>
      <c r="O530">
        <f>(1-Summary!$B$55)*T530+Summary!$B$55*V530</f>
        <v/>
      </c>
      <c r="P530">
        <f>IF(B546=0,0,O530/B546)</f>
        <v/>
      </c>
      <c r="Q530" t="n">
        <v>0</v>
      </c>
      <c r="R530" t="n">
        <v>0</v>
      </c>
      <c r="S530">
        <f>IFERROR(O530/N530,0)</f>
        <v/>
      </c>
      <c r="T530" t="n">
        <v>0</v>
      </c>
      <c r="V530" t="n">
        <v>0</v>
      </c>
    </row>
    <row r="531">
      <c r="A531">
        <f>Skills!A25</f>
        <v/>
      </c>
      <c r="B531">
        <f>Skills!B25</f>
        <v/>
      </c>
      <c r="C531">
        <f>Inputs!$B$3&gt;=72</f>
        <v/>
      </c>
      <c r="D531">
        <f>IF(Skills!C25=1,60+Inputs!$B$25+Inputs!$B$29,IF(Skills!C25=2,90+Inputs!$B$26+Inputs!$B$29,IF(Skills!C25=3,120+Inputs!$B$27+Inputs!$B$29,MAX(0,(Inputs!$B$3-100)*3)+Inputs!$B$28+Inputs!$B$29)))</f>
        <v/>
      </c>
      <c r="E531">
        <f>INDEX(FactorTable!$B$2:$Y$301, MATCH(ROUND(MIN(300,MAX(1,D531)),0), FactorTable!$A$2:$A$301,0), Skills!M25+1)</f>
        <v/>
      </c>
      <c r="F531">
        <f>IF(Skills!N25=TRUE,(Skills!L25/10)*(E531/1000),Skills!L25/10)+Skills!O25</f>
        <v/>
      </c>
      <c r="G531">
        <f>Skills!G25*IF(Skills!H25&gt;0,Skills!I25/Skills!H25,1)</f>
        <v/>
      </c>
      <c r="H531">
        <f>1-(1-Skills!J25/100)^Skills!K25</f>
        <v/>
      </c>
      <c r="I531" t="inlineStr">
        <is>
          <t>1</t>
        </is>
      </c>
      <c r="J531" t="inlineStr"/>
      <c r="K531" t="inlineStr"/>
      <c r="L531" t="inlineStr"/>
      <c r="M531" t="inlineStr"/>
      <c r="N531" t="inlineStr"/>
      <c r="O531">
        <f>(1-Summary!$B$55)*T531+Summary!$B$55*V531</f>
        <v/>
      </c>
      <c r="P531">
        <f>IF(B546=0,0,O531/B546)</f>
        <v/>
      </c>
      <c r="Q531" t="n">
        <v>0</v>
      </c>
      <c r="R531" t="n">
        <v>0</v>
      </c>
      <c r="S531">
        <f>IFERROR(O531/N531,0)</f>
        <v/>
      </c>
      <c r="T531" t="n">
        <v>0</v>
      </c>
      <c r="V531" t="n">
        <v>0</v>
      </c>
    </row>
    <row r="532">
      <c r="A532">
        <f>Skills!A26</f>
        <v/>
      </c>
      <c r="B532">
        <f>Skills!B26</f>
        <v/>
      </c>
      <c r="C532">
        <f>Inputs!$B$3&gt;=75</f>
        <v/>
      </c>
      <c r="D532">
        <f>IF(Skills!C26=1,60+Inputs!$B$25+Inputs!$B$29,IF(Skills!C26=2,90+Inputs!$B$26+Inputs!$B$29,IF(Skills!C26=3,120+Inputs!$B$27+Inputs!$B$29,MAX(0,(Inputs!$B$3-100)*3)+Inputs!$B$28+Inputs!$B$29)))</f>
        <v/>
      </c>
      <c r="E532">
        <f>INDEX(FactorTable!$B$2:$Y$301, MATCH(ROUND(MIN(300,MAX(1,D532)),0), FactorTable!$A$2:$A$301,0), Skills!M26+1)</f>
        <v/>
      </c>
      <c r="F532">
        <f>IF(Skills!N26=TRUE,(Skills!L26/10)*(E532/1000),Skills!L26/10)+Skills!O26</f>
        <v/>
      </c>
      <c r="G532">
        <f>Skills!G26*IF(Skills!H26&gt;0,Skills!I26/Skills!H26,1)</f>
        <v/>
      </c>
      <c r="H532">
        <f>1-(1-Skills!J26/100)^Skills!K26</f>
        <v/>
      </c>
      <c r="I532" t="inlineStr">
        <is>
          <t>1</t>
        </is>
      </c>
      <c r="J532" t="inlineStr"/>
      <c r="K532" t="inlineStr"/>
      <c r="L532" t="inlineStr"/>
      <c r="M532" t="inlineStr"/>
      <c r="N532" t="inlineStr"/>
      <c r="O532">
        <f>(1-Summary!$B$55)*T532+Summary!$B$55*V532</f>
        <v/>
      </c>
      <c r="P532">
        <f>IF(B546=0,0,O532/B546)</f>
        <v/>
      </c>
      <c r="Q532" t="n">
        <v>0</v>
      </c>
      <c r="R532" t="n">
        <v>0</v>
      </c>
      <c r="S532">
        <f>IFERROR(O532/N532,0)</f>
        <v/>
      </c>
      <c r="T532" t="n">
        <v>0</v>
      </c>
      <c r="V532" t="n">
        <v>0</v>
      </c>
    </row>
    <row r="533">
      <c r="A533">
        <f>Skills!A27</f>
        <v/>
      </c>
      <c r="B533">
        <f>Skills!B27</f>
        <v/>
      </c>
      <c r="C533">
        <f>Inputs!$B$3&gt;=117</f>
        <v/>
      </c>
      <c r="D533">
        <f>IF(Skills!C27=1,60+Inputs!$B$25+Inputs!$B$29,IF(Skills!C27=2,90+Inputs!$B$26+Inputs!$B$29,IF(Skills!C27=3,120+Inputs!$B$27+Inputs!$B$29,MAX(0,(Inputs!$B$3-100)*3)+Inputs!$B$28+Inputs!$B$29)))</f>
        <v/>
      </c>
      <c r="E533">
        <f>INDEX(FactorTable!$B$2:$Y$301, MATCH(ROUND(MIN(300,MAX(1,D533)),0), FactorTable!$A$2:$A$301,0), Skills!M27+1)</f>
        <v/>
      </c>
      <c r="F533">
        <f>IF(Skills!N27=TRUE,(Skills!L27/10)*(E533/1000),Skills!L27/10)+Skills!O27</f>
        <v/>
      </c>
      <c r="G533">
        <f>Skills!G27*IF(Skills!H27&gt;0,Skills!I27/Skills!H27,1)</f>
        <v/>
      </c>
      <c r="H533">
        <f>1-(1-Skills!J27/100)^Skills!K27</f>
        <v/>
      </c>
      <c r="I533" t="inlineStr">
        <is>
          <t>1</t>
        </is>
      </c>
      <c r="J533" t="inlineStr"/>
      <c r="K533" t="inlineStr"/>
      <c r="L533" t="inlineStr"/>
      <c r="M533" t="inlineStr"/>
      <c r="N533" t="inlineStr"/>
      <c r="O533">
        <f>(1-Summary!$B$55)*T533+Summary!$B$55*V533</f>
        <v/>
      </c>
      <c r="P533">
        <f>IF(B546=0,0,O533/B546)</f>
        <v/>
      </c>
      <c r="Q533" t="n">
        <v>0</v>
      </c>
      <c r="R533" t="n">
        <v>0</v>
      </c>
      <c r="S533">
        <f>IFERROR(O533/N533,0)</f>
        <v/>
      </c>
      <c r="T533" t="n">
        <v>0</v>
      </c>
      <c r="V533" t="n">
        <v>0</v>
      </c>
    </row>
    <row r="535">
      <c r="A535" t="inlineStr">
        <is>
          <t>Attack% Bucket Multiplier</t>
        </is>
      </c>
      <c r="B535">
        <f>(1+(((C523=TRUE)*F523)+((C530=TRUE)*(F530-Calc!F24)))/100)</f>
        <v/>
      </c>
    </row>
    <row r="536">
      <c r="A536" t="inlineStr">
        <is>
          <t>Global Crit Rate Bonus %</t>
        </is>
      </c>
      <c r="B536" t="n">
        <v>0</v>
      </c>
    </row>
    <row r="537">
      <c r="A537" t="inlineStr">
        <is>
          <t>Attack Speed Buff Bonus % (unused)</t>
        </is>
      </c>
      <c r="B537" t="n">
        <v>0</v>
      </c>
    </row>
    <row r="538">
      <c r="A538" t="inlineStr">
        <is>
          <t>Actions Per Second</t>
        </is>
      </c>
      <c r="B538">
        <f>1+MIN(150,150*(1-(1-(Inputs!$B$11+((C526=TRUE)*(F526-Calc!F20))+((C527=TRUE)*(F527-Calc!F21)))/150)*(1-B537/150)))/100</f>
        <v/>
      </c>
    </row>
    <row r="539">
      <c r="A539" t="inlineStr">
        <is>
          <t>Skill + Buff Cast Rate</t>
        </is>
      </c>
      <c r="B539">
        <f>IF(AND(Inputs!$B$38&lt;&gt;"pvp",Inputs!$B$43&gt;0),SUMPRODUCT((Skills!E2:E27=TRUE)*(C508:C533=TRUE)*R508:R533*Skills!F2:F27)/Inputs!$B$43,SUMPRODUCT((Skills!E2:E27=TRUE)*(C508:C533=TRUE)*Q508:Q533*Skills!F2:F27))</f>
        <v/>
      </c>
    </row>
    <row r="540">
      <c r="A540" t="inlineStr">
        <is>
          <t>Eight-Legs Easton Casts Per Second</t>
        </is>
      </c>
      <c r="B540">
        <f>MAX(0,B538-B539)</f>
        <v/>
      </c>
    </row>
    <row r="541">
      <c r="A541" t="inlineStr">
        <is>
          <t>Global Critical Damage Bonus % (unused)</t>
        </is>
      </c>
      <c r="B541" t="n">
        <v>0</v>
      </c>
    </row>
    <row r="542">
      <c r="A542" t="inlineStr">
        <is>
          <t>Global Final Damage Bonus % (Jolly Roger only)</t>
        </is>
      </c>
      <c r="B542">
        <f>((C524=TRUE)*F524)</f>
        <v/>
      </c>
    </row>
    <row r="543">
      <c r="A543" t="inlineStr">
        <is>
          <t>Buff-Casting Startup Delay (s, fixed-duration only)</t>
        </is>
      </c>
      <c r="B543">
        <f>IF(AND(Inputs!$B$38&lt;&gt;"pvp",Inputs!$B$43&gt;0),SUMPRODUCT((Skills!T2:T27&gt;0)*(Skills!E2:E27=TRUE)*(C508:C533=TRUE))/B538,0)</f>
        <v/>
      </c>
    </row>
    <row r="544">
      <c r="A544" t="inlineStr">
        <is>
          <t>Boss-Only Total DPS (this block's swept value)</t>
        </is>
      </c>
      <c r="B544">
        <f>SUM(T508:T533)</f>
        <v/>
      </c>
    </row>
    <row r="545">
      <c r="A545" t="inlineStr">
        <is>
          <t>Normal-Only Total DPS (this block's swept value)</t>
        </is>
      </c>
      <c r="B545">
        <f>SUM(V508:V533)</f>
        <v/>
      </c>
    </row>
    <row r="546">
      <c r="A546" s="5" t="inlineStr">
        <is>
          <t>TOTAL DPS</t>
        </is>
      </c>
      <c r="B546" s="5">
        <f>SUM(O508:O533)</f>
        <v/>
      </c>
    </row>
    <row r="549">
      <c r="A549" s="5" t="inlineStr">
        <is>
          <t>Stat: ATTACK_SPEED % (diminishing returns, factor 150)</t>
        </is>
      </c>
    </row>
    <row r="550">
      <c r="A550" s="9" t="inlineStr">
        <is>
          <t>Key</t>
        </is>
      </c>
      <c r="B550" s="9" t="inlineStr">
        <is>
          <t>Name</t>
        </is>
      </c>
      <c r="C550" s="9" t="inlineStr">
        <is>
          <t>Unlocked</t>
        </is>
      </c>
      <c r="D550" s="9" t="inlineStr">
        <is>
          <t>InputLevel</t>
        </is>
      </c>
      <c r="E550" s="9" t="inlineStr">
        <is>
          <t>Factor</t>
        </is>
      </c>
      <c r="F550" s="9" t="inlineStr">
        <is>
          <t>CoefficientPercent</t>
        </is>
      </c>
      <c r="G550" s="9" t="inlineStr">
        <is>
          <t>EffectiveHits</t>
        </is>
      </c>
      <c r="H550" s="9" t="inlineStr">
        <is>
          <t>ProcProbability</t>
        </is>
      </c>
      <c r="I550" s="9" t="inlineStr">
        <is>
          <t>MapleHeroMultiplier</t>
        </is>
      </c>
      <c r="J550" s="9" t="inlineStr">
        <is>
          <t>BaseDamage</t>
        </is>
      </c>
      <c r="K550" s="9" t="inlineStr">
        <is>
          <t>BaseHitDamage</t>
        </is>
      </c>
      <c r="L550" s="9" t="inlineStr">
        <is>
          <t>NonCritAvg</t>
        </is>
      </c>
      <c r="M550" s="9" t="inlineStr">
        <is>
          <t>CritAvg</t>
        </is>
      </c>
      <c r="N550" s="9" t="inlineStr">
        <is>
          <t>ExpectedDamage(perHit)</t>
        </is>
      </c>
      <c r="O550" s="9" t="inlineStr">
        <is>
          <t>DPS</t>
        </is>
      </c>
      <c r="P550" s="9" t="inlineStr">
        <is>
          <t>% of Total</t>
        </is>
      </c>
      <c r="Q550" s="9" t="inlineStr">
        <is>
          <t>InvCooldown</t>
        </is>
      </c>
      <c r="R550" s="9" t="inlineStr">
        <is>
          <t>CastsInFight</t>
        </is>
      </c>
      <c r="S550" s="9" t="inlineStr">
        <is>
          <t>HitRate(perSec)</t>
        </is>
      </c>
      <c r="U550" t="inlineStr">
        <is>
          <t>helpers</t>
        </is>
      </c>
    </row>
    <row r="551">
      <c r="A551">
        <f>Skills!A2</f>
        <v/>
      </c>
      <c r="B551">
        <f>Skills!B2</f>
        <v/>
      </c>
      <c r="C551">
        <f>Inputs!$B$3&gt;=100</f>
        <v/>
      </c>
      <c r="D551" t="inlineStr"/>
      <c r="E551" t="inlineStr"/>
      <c r="F551">
        <f>U553+Skills!O2</f>
        <v/>
      </c>
      <c r="G551">
        <f>Skills!G2*IF(Skills!H2&gt;0,Skills!I2/Skills!H2,1)</f>
        <v/>
      </c>
      <c r="H551">
        <f>1-(1-Skills!J2/100)^Skills!K2</f>
        <v/>
      </c>
      <c r="I551" t="inlineStr">
        <is>
          <t>1</t>
        </is>
      </c>
      <c r="J551">
        <f>((Inputs!$B$6*(1+Inputs!$B$7/100))+(((Inputs!$B$12*(1+Inputs!$B$13/100))-(Inputs!$B$12*(1+Inputs!$B$13/100)))+0.25*(Inputs!$B$14-Inputs!$B$14))*(1+Inputs!$B$7/100))*(F551/100)</f>
        <v/>
      </c>
      <c r="K551">
        <f>J551*(1+((Inputs!$B$12*(1+Inputs!$B$13/100))*0.01+Inputs!$B$14*0.0025)/100)*(1+Inputs!$B$15/100)*(1+Inputs!$B$16/100)*(5000/(6000+Inputs!$B$42*(1-(Inputs!$B$19+0)/100)))*(1+(Inputs!$B$24+((C575=TRUE)*(F575-Calc!F26))+B585)/100)*(1+(IF(Skills!A2="EIGHT_LEGS_EASTON",Inputs!$B$17+((C572=TRUE)*(F572-Calc!F23))+((C576=TRUE)*(F576-Calc!F27)),Inputs!$B$18+0))/100)*((1+(((C566=TRUE)*F566)+((C573=TRUE)*(F573-Calc!F24)))/100)*I551)</f>
        <v/>
      </c>
      <c r="L551">
        <f>K551*(MIN(Inputs!$B$22+((C571=TRUE)*(F571-Calc!F22)),Inputs!$B$23+0)/100+(Inputs!$B$23+0)/100)/2</f>
        <v/>
      </c>
      <c r="M551">
        <f>L551*(1+(Inputs!$B$10+((C574=TRUE)*(F574-Calc!F25))+B584)/100)</f>
        <v/>
      </c>
      <c r="N551">
        <f>L551*(1-MIN((Inputs!$B$9+((C568=TRUE)*(F568-Calc!F19))+B579),100)/100)+M551*(MIN((Inputs!$B$9+((C568=TRUE)*(F568-Calc!F19))+B579),100)/100)</f>
        <v/>
      </c>
      <c r="O551">
        <f>(1-Summary!$B$55)*T551+Summary!$B$55*V551</f>
        <v/>
      </c>
      <c r="P551">
        <f>IF(B589=0,0,O551/B589)</f>
        <v/>
      </c>
      <c r="Q551" t="n">
        <v>0</v>
      </c>
      <c r="R551" t="n">
        <v>0</v>
      </c>
      <c r="S551">
        <f>IFERROR(O551/N551,0)</f>
        <v/>
      </c>
      <c r="T551">
        <f>IF(C551,(Skills!G2*N551*B583)*IF(Inputs!$B$38="pvp",1,1+(Inputs!$B$20+0+Skills!P2)/100),0)</f>
        <v/>
      </c>
      <c r="U551">
        <f>MAX(0,(Inputs!$B$3-100)*3)+Inputs!$B$28+Inputs!$B$29</f>
        <v/>
      </c>
      <c r="V551">
        <f>IF(C551,(Skills!G2*N551*B583)*IF(Inputs!$B$38="pvp",1,(1+(Inputs!$B$21+Skills!Q2)/100)*(MIN((6+Inputs!$B$33),Inputs!$B$37))),0)</f>
        <v/>
      </c>
    </row>
    <row r="552">
      <c r="A552">
        <f>Skills!A3</f>
        <v/>
      </c>
      <c r="B552">
        <f>Skills!B3</f>
        <v/>
      </c>
      <c r="C552">
        <f>Inputs!$B$3&gt;=35</f>
        <v/>
      </c>
      <c r="D552">
        <f>IF(Skills!C3=1,60+Inputs!$B$25+Inputs!$B$29,IF(Skills!C3=2,90+Inputs!$B$26+Inputs!$B$29,IF(Skills!C3=3,120+Inputs!$B$27+Inputs!$B$29,MAX(0,(Inputs!$B$3-100)*3)+Inputs!$B$28+Inputs!$B$29)))</f>
        <v/>
      </c>
      <c r="E552">
        <f>INDEX(FactorTable!$B$2:$Y$301, MATCH(ROUND(MIN(300,MAX(1,D552)),0), FactorTable!$A$2:$A$301,0), Skills!M3+1)</f>
        <v/>
      </c>
      <c r="F552">
        <f>IF(Skills!N3=TRUE,(Skills!L3/10)*(E552/1000),Skills!L3/10)+Skills!O3</f>
        <v/>
      </c>
      <c r="G552">
        <f>Skills!G3*IF(Skills!H3&gt;0,Skills!I3/Skills!H3,1)</f>
        <v/>
      </c>
      <c r="H552">
        <f>1-(1-Skills!J3/100)^Skills!K3</f>
        <v/>
      </c>
      <c r="I552" t="inlineStr">
        <is>
          <t>1</t>
        </is>
      </c>
      <c r="J552">
        <f>((Inputs!$B$6*(1+Inputs!$B$7/100))+(((Inputs!$B$12*(1+Inputs!$B$13/100))-(Inputs!$B$12*(1+Inputs!$B$13/100)))+0.25*(Inputs!$B$14-Inputs!$B$14))*(1+Inputs!$B$7/100))*(F552/100)</f>
        <v/>
      </c>
      <c r="K552">
        <f>J552*(1+((Inputs!$B$12*(1+Inputs!$B$13/100))*0.01+Inputs!$B$14*0.0025)/100)*(1+Inputs!$B$15/100)*(1+Inputs!$B$16/100)*(5000/(6000+Inputs!$B$42*(1-(Inputs!$B$19+0)/100)))*(1+(Inputs!$B$24+((C575=TRUE)*(F575-Calc!F26))+B585)/100)*(1+4.0*IF(C564=TRUE,F564,0)/100)*(1+(IF(Skills!A3="EIGHT_LEGS_EASTON",Inputs!$B$17+((C572=TRUE)*(F572-Calc!F23))+((C576=TRUE)*(F576-Calc!F27)),Inputs!$B$18+0))/100)*((1+(((C566=TRUE)*F566)+((C573=TRUE)*(F573-Calc!F24)))/100)*I552)</f>
        <v/>
      </c>
      <c r="L552">
        <f>K552*(MIN(Inputs!$B$22+((C571=TRUE)*(F571-Calc!F22)),Inputs!$B$23+0)/100+(Inputs!$B$23+0)/100)/2</f>
        <v/>
      </c>
      <c r="M552">
        <f>L552*(1+(Inputs!$B$10+((C574=TRUE)*(F574-Calc!F25))+B584)/100)</f>
        <v/>
      </c>
      <c r="N552">
        <f>L552*(1-MIN((Inputs!$B$9+((C568=TRUE)*(F568-Calc!F19))+B579),100)/100)+M552*(MIN((Inputs!$B$9+((C568=TRUE)*(F568-Calc!F19))+B579),100)/100)</f>
        <v/>
      </c>
      <c r="O552">
        <f>(1-Summary!$B$55)*T552+Summary!$B$55*V552</f>
        <v/>
      </c>
      <c r="P552">
        <f>IF(B589=0,0,O552/B589)</f>
        <v/>
      </c>
      <c r="Q552">
        <f>IFERROR(1/IF(Inputs!$B$38="pvp",15,MAX(0.1,Skills!D3-IF(Skills!E3=TRUE,Inputs!$B$32,0))),0)</f>
        <v/>
      </c>
      <c r="R552">
        <f>IF(AND(Inputs!$B$38&lt;&gt;"pvp",Inputs!$B$43&gt;0),IF(MAX(0,Inputs!$B$43-B586)&lt;=0,0,(INT(MAX(0,Inputs!$B$43-B586)/IF(Inputs!$B$38="pvp",15,MAX(0.1,Skills!D3-IF(Skills!E3=TRUE,Inputs!$B$32,0))))+1)),0)</f>
        <v/>
      </c>
      <c r="S552">
        <f>IFERROR(O552/N552,0)</f>
        <v/>
      </c>
      <c r="T552">
        <f>IF(C552,(H552*N552*IF(AND(Inputs!$B$38&lt;&gt;"pvp",Inputs!$B$43&gt;0),((Skills!G3*((R552-1)*IF(Skills!H3&gt;0,Skills!I3/Skills!H3,1)+IF(Skills!H3&gt;0,MIN(Skills!I3,MAX(0,MAX(0,Inputs!$B$43-B586)-((R552-1)*IF(Inputs!$B$38="pvp",15,MAX(0.1,Skills!D3-IF(Skills!E3=TRUE,Inputs!$B$32,0))))))/Skills!H3,1)))/Inputs!$B$43),G552*Q552))*IF(Inputs!$B$38="pvp",1,1+(Inputs!$B$20+0+Skills!P3)/100),0)</f>
        <v/>
      </c>
      <c r="U552">
        <f>INDEX(FactorTable!$B$2:$Y$301, MATCH(ROUND(MIN(300,MAX(1,U551)),0), FactorTable!$A$2:$A$301,0), 22)</f>
        <v/>
      </c>
      <c r="V552">
        <f>IF(C552,(H552*N552*IF(AND(Inputs!$B$38&lt;&gt;"pvp",Inputs!$B$43&gt;0),((Skills!G3*((R552-1)*IF(Skills!H3&gt;0,Skills!I3/Skills!H3,1)+IF(Skills!H3&gt;0,MIN(Skills!I3,MAX(0,MAX(0,Inputs!$B$43-B586)-((R552-1)*IF(Inputs!$B$38="pvp",15,MAX(0.1,Skills!D3-IF(Skills!E3=TRUE,Inputs!$B$32,0))))))/Skills!H3,1)))/Inputs!$B$43),G552*Q552))*IF(Inputs!$B$38="pvp",1,(1+(Inputs!$B$21+Skills!Q3)/100)*(MIN(Skills!R3,Inputs!$B$37))),0)</f>
        <v/>
      </c>
    </row>
    <row r="553">
      <c r="A553">
        <f>Skills!A4</f>
        <v/>
      </c>
      <c r="B553">
        <f>Skills!B4</f>
        <v/>
      </c>
      <c r="C553">
        <f>Inputs!$B$3&gt;=40</f>
        <v/>
      </c>
      <c r="D553">
        <f>IF(Skills!C4=1,60+Inputs!$B$25+Inputs!$B$29,IF(Skills!C4=2,90+Inputs!$B$26+Inputs!$B$29,IF(Skills!C4=3,120+Inputs!$B$27+Inputs!$B$29,MAX(0,(Inputs!$B$3-100)*3)+Inputs!$B$28+Inputs!$B$29)))</f>
        <v/>
      </c>
      <c r="E553">
        <f>INDEX(FactorTable!$B$2:$Y$301, MATCH(ROUND(MIN(300,MAX(1,D553)),0), FactorTable!$A$2:$A$301,0), Skills!M4+1)</f>
        <v/>
      </c>
      <c r="F553">
        <f>IF(Skills!N4=TRUE,(Skills!L4/10)*(E553/1000),Skills!L4/10)+Skills!O4</f>
        <v/>
      </c>
      <c r="G553">
        <f>Skills!G4*IF(Skills!H4&gt;0,Skills!I4/Skills!H4,1)</f>
        <v/>
      </c>
      <c r="H553">
        <f>1-(1-Skills!J4/100)^Skills!K4</f>
        <v/>
      </c>
      <c r="I553" t="inlineStr">
        <is>
          <t>1</t>
        </is>
      </c>
      <c r="J553">
        <f>((Inputs!$B$6*(1+Inputs!$B$7/100))+(((Inputs!$B$12*(1+Inputs!$B$13/100))-(Inputs!$B$12*(1+Inputs!$B$13/100)))+0.25*(Inputs!$B$14-Inputs!$B$14))*(1+Inputs!$B$7/100))*(F553/100)</f>
        <v/>
      </c>
      <c r="K553">
        <f>J553*(1+((Inputs!$B$12*(1+Inputs!$B$13/100))*0.01+Inputs!$B$14*0.0025)/100)*(1+Inputs!$B$15/100)*(1+Inputs!$B$16/100)*(5000/(6000+Inputs!$B$42*(1-(Inputs!$B$19+0)/100)))*(1+(Inputs!$B$24+((C575=TRUE)*(F575-Calc!F26))+B585)/100)*(1+1.0*IF(C565=TRUE,F565,0)/100)*(1+(IF(Skills!A4="EIGHT_LEGS_EASTON",Inputs!$B$17+((C572=TRUE)*(F572-Calc!F23))+((C576=TRUE)*(F576-Calc!F27)),Inputs!$B$18+0))/100)*((1+(((C566=TRUE)*F566)+((C573=TRUE)*(F573-Calc!F24)))/100)*I553)</f>
        <v/>
      </c>
      <c r="L553">
        <f>K553*(MIN(Inputs!$B$22+((C571=TRUE)*(F571-Calc!F22)),Inputs!$B$23+0)/100+(Inputs!$B$23+0)/100)/2</f>
        <v/>
      </c>
      <c r="M553">
        <f>L553*(1+(Inputs!$B$10+((C574=TRUE)*(F574-Calc!F25))+B584)/100)</f>
        <v/>
      </c>
      <c r="N553">
        <f>L553*(1-MIN((Inputs!$B$9+((C568=TRUE)*(F568-Calc!F19))+B579),100)/100)+M553*(MIN((Inputs!$B$9+((C568=TRUE)*(F568-Calc!F19))+B579),100)/100)</f>
        <v/>
      </c>
      <c r="O553">
        <f>(1-Summary!$B$55)*T553+Summary!$B$55*V553</f>
        <v/>
      </c>
      <c r="P553">
        <f>IF(B589=0,0,O553/B589)</f>
        <v/>
      </c>
      <c r="Q553">
        <f>IFERROR(1/IF(Inputs!$B$38="pvp",15,MAX(0.1,Skills!D4-IF(Skills!E4=TRUE,Inputs!$B$32,0))),0)</f>
        <v/>
      </c>
      <c r="R553">
        <f>IF(AND(Inputs!$B$38&lt;&gt;"pvp",Inputs!$B$43&gt;0),IF(MAX(0,Inputs!$B$43-B586)&lt;=0,0,(INT(MAX(0,Inputs!$B$43-B586)/IF(Inputs!$B$38="pvp",15,MAX(0.1,Skills!D4-IF(Skills!E4=TRUE,Inputs!$B$32,0))))+1)),0)</f>
        <v/>
      </c>
      <c r="S553">
        <f>IFERROR(O553/N553,0)</f>
        <v/>
      </c>
      <c r="T553">
        <f>IF(C553,(H553*N553*IF(AND(Inputs!$B$38&lt;&gt;"pvp",Inputs!$B$43&gt;0),((Skills!G4*((R553-1)*IF(Skills!H4&gt;0,Skills!I4/Skills!H4,1)+IF(Skills!H4&gt;0,MIN(Skills!I4,MAX(0,MAX(0,Inputs!$B$43-B586)-((R553-1)*IF(Inputs!$B$38="pvp",15,MAX(0.1,Skills!D4-IF(Skills!E4=TRUE,Inputs!$B$32,0))))))/Skills!H4,1)))/Inputs!$B$43),G553*Q553))*IF(Inputs!$B$38="pvp",1,1+(Inputs!$B$20+0+Skills!P4)/100),0)</f>
        <v/>
      </c>
      <c r="U553">
        <f>290*U552/1000</f>
        <v/>
      </c>
      <c r="V553">
        <f>IF(C553,(H553*N553*IF(AND(Inputs!$B$38&lt;&gt;"pvp",Inputs!$B$43&gt;0),((Skills!G4*((R553-1)*IF(Skills!H4&gt;0,Skills!I4/Skills!H4,1)+IF(Skills!H4&gt;0,MIN(Skills!I4,MAX(0,MAX(0,Inputs!$B$43-B586)-((R553-1)*IF(Inputs!$B$38="pvp",15,MAX(0.1,Skills!D4-IF(Skills!E4=TRUE,Inputs!$B$32,0))))))/Skills!H4,1)))/Inputs!$B$43),G553*Q553))*IF(Inputs!$B$38="pvp",1,(1+(Inputs!$B$21+Skills!Q4)/100)*(MIN(Skills!R4,Inputs!$B$37))),0)</f>
        <v/>
      </c>
    </row>
    <row r="554">
      <c r="A554">
        <f>Skills!A5</f>
        <v/>
      </c>
      <c r="B554">
        <f>Skills!B5</f>
        <v/>
      </c>
      <c r="C554">
        <f>Inputs!$B$3&gt;=45</f>
        <v/>
      </c>
      <c r="D554">
        <f>IF(Skills!C5=1,60+Inputs!$B$25+Inputs!$B$29,IF(Skills!C5=2,90+Inputs!$B$26+Inputs!$B$29,IF(Skills!C5=3,120+Inputs!$B$27+Inputs!$B$29,MAX(0,(Inputs!$B$3-100)*3)+Inputs!$B$28+Inputs!$B$29)))</f>
        <v/>
      </c>
      <c r="E554">
        <f>INDEX(FactorTable!$B$2:$Y$301, MATCH(ROUND(MIN(300,MAX(1,D554)),0), FactorTable!$A$2:$A$301,0), Skills!M5+1)</f>
        <v/>
      </c>
      <c r="F554">
        <f>IF(Skills!N5=TRUE,(Skills!L5/10)*(E554/1000),Skills!L5/10)+Skills!O5</f>
        <v/>
      </c>
      <c r="G554">
        <f>Skills!G5*IF(Skills!H5&gt;0,Skills!I5/Skills!H5,1)</f>
        <v/>
      </c>
      <c r="H554">
        <f>1-(1-Skills!J5/100)^Skills!K5</f>
        <v/>
      </c>
      <c r="I554" t="inlineStr">
        <is>
          <t>1</t>
        </is>
      </c>
      <c r="J554">
        <f>((Inputs!$B$6*(1+Inputs!$B$7/100))+(((Inputs!$B$12*(1+Inputs!$B$13/100))-(Inputs!$B$12*(1+Inputs!$B$13/100)))+0.25*(Inputs!$B$14-Inputs!$B$14))*(1+Inputs!$B$7/100))*(F554/100)</f>
        <v/>
      </c>
      <c r="K554">
        <f>J554*(1+((Inputs!$B$12*(1+Inputs!$B$13/100))*0.01+Inputs!$B$14*0.0025)/100)*(1+Inputs!$B$15/100)*(1+Inputs!$B$16/100)*(5000/(6000+Inputs!$B$42*(1-(Inputs!$B$19+0)/100)))*(1+(Inputs!$B$24+((C575=TRUE)*(F575-Calc!F26))+B585)/100)*(1+0.4*IF(C565=TRUE,F565,0)/100)*(1+(IF(Skills!A5="EIGHT_LEGS_EASTON",Inputs!$B$17+((C572=TRUE)*(F572-Calc!F23))+((C576=TRUE)*(F576-Calc!F27)),Inputs!$B$18+0))/100)*((1+(((C566=TRUE)*F566)+((C573=TRUE)*(F573-Calc!F24)))/100)*I554)</f>
        <v/>
      </c>
      <c r="L554">
        <f>K554*(MIN(Inputs!$B$22+((C571=TRUE)*(F571-Calc!F22)),Inputs!$B$23+0)/100+(Inputs!$B$23+0)/100)/2</f>
        <v/>
      </c>
      <c r="M554">
        <f>L554*(1+(Inputs!$B$10+((C574=TRUE)*(F574-Calc!F25))+B584)/100)</f>
        <v/>
      </c>
      <c r="N554">
        <f>L554*(1-MIN((Inputs!$B$9+((C568=TRUE)*(F568-Calc!F19))+B579),100)/100)+M554*(MIN((Inputs!$B$9+((C568=TRUE)*(F568-Calc!F19))+B579),100)/100)</f>
        <v/>
      </c>
      <c r="O554">
        <f>(1-Summary!$B$55)*T554+Summary!$B$55*V554</f>
        <v/>
      </c>
      <c r="P554">
        <f>IF(B589=0,0,O554/B589)</f>
        <v/>
      </c>
      <c r="Q554">
        <f>IFERROR(1/IF(Inputs!$B$38="pvp",15,MAX(0.1,Skills!D5-IF(Skills!E5=TRUE,Inputs!$B$32,0))),0)</f>
        <v/>
      </c>
      <c r="R554">
        <f>IF(AND(Inputs!$B$38&lt;&gt;"pvp",Inputs!$B$43&gt;0),IF(MAX(0,Inputs!$B$43-B586)&lt;=0,0,(INT(MAX(0,Inputs!$B$43-B586)/IF(Inputs!$B$38="pvp",15,MAX(0.1,Skills!D5-IF(Skills!E5=TRUE,Inputs!$B$32,0))))+1)),0)</f>
        <v/>
      </c>
      <c r="S554">
        <f>IFERROR(O554/N554,0)</f>
        <v/>
      </c>
      <c r="T554">
        <f>IF(C554,(H554*N554*IF(AND(Inputs!$B$38&lt;&gt;"pvp",Inputs!$B$43&gt;0),((Skills!G5*((R554-1)*IF(Skills!H5&gt;0,Skills!I5/Skills!H5,1)+IF(Skills!H5&gt;0,MIN(Skills!I5,MAX(0,MAX(0,Inputs!$B$43-B586)-((R554-1)*IF(Inputs!$B$38="pvp",15,MAX(0.1,Skills!D5-IF(Skills!E5=TRUE,Inputs!$B$32,0))))))/Skills!H5,1)))/Inputs!$B$43),G554*Q554))*IF(Inputs!$B$38="pvp",1,1+(Inputs!$B$20+0+Skills!P5)/100),0)</f>
        <v/>
      </c>
      <c r="V554">
        <f>IF(C554,(H554*N554*IF(AND(Inputs!$B$38&lt;&gt;"pvp",Inputs!$B$43&gt;0),((Skills!G5*((R554-1)*IF(Skills!H5&gt;0,Skills!I5/Skills!H5,1)+IF(Skills!H5&gt;0,MIN(Skills!I5,MAX(0,MAX(0,Inputs!$B$43-B586)-((R554-1)*IF(Inputs!$B$38="pvp",15,MAX(0.1,Skills!D5-IF(Skills!E5=TRUE,Inputs!$B$32,0))))))/Skills!H5,1)))/Inputs!$B$43),G554*Q554))*IF(Inputs!$B$38="pvp",1,(1+(Inputs!$B$21+Skills!Q5)/100)*(MIN(Skills!R5,Inputs!$B$37))),0)</f>
        <v/>
      </c>
    </row>
    <row r="555">
      <c r="A555">
        <f>Skills!A6</f>
        <v/>
      </c>
      <c r="B555">
        <f>Skills!B6</f>
        <v/>
      </c>
      <c r="C555">
        <f>Inputs!$B$3&gt;=63</f>
        <v/>
      </c>
      <c r="D555">
        <f>IF(Skills!C6=1,60+Inputs!$B$25+Inputs!$B$29,IF(Skills!C6=2,90+Inputs!$B$26+Inputs!$B$29,IF(Skills!C6=3,120+Inputs!$B$27+Inputs!$B$29,MAX(0,(Inputs!$B$3-100)*3)+Inputs!$B$28+Inputs!$B$29)))</f>
        <v/>
      </c>
      <c r="E555">
        <f>INDEX(FactorTable!$B$2:$Y$301, MATCH(ROUND(MIN(300,MAX(1,D555)),0), FactorTable!$A$2:$A$301,0), Skills!M6+1)</f>
        <v/>
      </c>
      <c r="F555">
        <f>IF(Skills!N6=TRUE,(Skills!L6/10)*(E555/1000),Skills!L6/10)+Skills!O6</f>
        <v/>
      </c>
      <c r="G555">
        <f>Skills!G6*IF(Skills!H6&gt;0,Skills!I6/Skills!H6,1)</f>
        <v/>
      </c>
      <c r="H555">
        <f>1-(1-Skills!J6/100)^Skills!K6</f>
        <v/>
      </c>
      <c r="I555" t="inlineStr">
        <is>
          <t>1</t>
        </is>
      </c>
      <c r="J555">
        <f>((Inputs!$B$6*(1+Inputs!$B$7/100))+(((Inputs!$B$12*(1+Inputs!$B$13/100))-(Inputs!$B$12*(1+Inputs!$B$13/100)))+0.25*(Inputs!$B$14-Inputs!$B$14))*(1+Inputs!$B$7/100))*(F555/100)</f>
        <v/>
      </c>
      <c r="K555">
        <f>J555*(1+((Inputs!$B$12*(1+Inputs!$B$13/100))*0.01+Inputs!$B$14*0.0025)/100)*(1+Inputs!$B$15/100)*(1+Inputs!$B$16/100)*(5000/(6000+Inputs!$B$42*(1-(Inputs!$B$19+0)/100)))*(1+(Inputs!$B$24+((C575=TRUE)*(F575-Calc!F26))+B585)/100)*(1+2.0*IF(C564=TRUE,F564,0)/100)*(1+(IF(Skills!A6="EIGHT_LEGS_EASTON",Inputs!$B$17+((C572=TRUE)*(F572-Calc!F23))+((C576=TRUE)*(F576-Calc!F27)),Inputs!$B$18+0))/100)*((1+(((C566=TRUE)*F566)+((C573=TRUE)*(F573-Calc!F24)))/100)*I555)</f>
        <v/>
      </c>
      <c r="L555">
        <f>K555*(MIN(Inputs!$B$22+((C571=TRUE)*(F571-Calc!F22)),Inputs!$B$23+0)/100+(Inputs!$B$23+0)/100)/2</f>
        <v/>
      </c>
      <c r="M555">
        <f>L555*(1+(Inputs!$B$10+((C574=TRUE)*(F574-Calc!F25))+B584)/100)</f>
        <v/>
      </c>
      <c r="N555">
        <f>L555*(1-MIN((Inputs!$B$9+((C568=TRUE)*(F568-Calc!F19))+B579),100)/100)+M555*(MIN((Inputs!$B$9+((C568=TRUE)*(F568-Calc!F19))+B579),100)/100)</f>
        <v/>
      </c>
      <c r="O555">
        <f>(1-Summary!$B$55)*T555+Summary!$B$55*V555</f>
        <v/>
      </c>
      <c r="P555">
        <f>IF(B589=0,0,O555/B589)</f>
        <v/>
      </c>
      <c r="Q555">
        <f>IFERROR(1/IF(Inputs!$B$38="pvp",15,MAX(0.1,Skills!D6-IF(Skills!E6=TRUE,Inputs!$B$32,0))),0)</f>
        <v/>
      </c>
      <c r="R555">
        <f>IF(AND(Inputs!$B$38&lt;&gt;"pvp",Inputs!$B$43&gt;0),IF(MAX(0,Inputs!$B$43-B586)&lt;=0,0,(INT(MAX(0,Inputs!$B$43-B586)/IF(Inputs!$B$38="pvp",15,MAX(0.1,Skills!D6-IF(Skills!E6=TRUE,Inputs!$B$32,0))))+1)),0)</f>
        <v/>
      </c>
      <c r="S555">
        <f>IFERROR(O555/N555,0)</f>
        <v/>
      </c>
      <c r="T555">
        <f>IF(C555,(H555*N555*IF(AND(Inputs!$B$38&lt;&gt;"pvp",Inputs!$B$43&gt;0),((Skills!G6*((R555-1)*IF(Skills!H6&gt;0,Skills!I6/Skills!H6,1)+IF(Skills!H6&gt;0,MIN(Skills!I6,MAX(0,MAX(0,Inputs!$B$43-B586)-((R555-1)*IF(Inputs!$B$38="pvp",15,MAX(0.1,Skills!D6-IF(Skills!E6=TRUE,Inputs!$B$32,0))))))/Skills!H6,1)))/Inputs!$B$43),G555*Q555))*IF(Inputs!$B$38="pvp",1,1+(Inputs!$B$20+0+Skills!P6)/100),0)</f>
        <v/>
      </c>
      <c r="V555">
        <f>IF(C555,(H555*N555*IF(AND(Inputs!$B$38&lt;&gt;"pvp",Inputs!$B$43&gt;0),((Skills!G6*((R555-1)*IF(Skills!H6&gt;0,Skills!I6/Skills!H6,1)+IF(Skills!H6&gt;0,MIN(Skills!I6,MAX(0,MAX(0,Inputs!$B$43-B586)-((R555-1)*IF(Inputs!$B$38="pvp",15,MAX(0.1,Skills!D6-IF(Skills!E6=TRUE,Inputs!$B$32,0))))))/Skills!H6,1)))/Inputs!$B$43),G555*Q555))*IF(Inputs!$B$38="pvp",1,(1+(Inputs!$B$21+Skills!Q6)/100)*(MIN(Skills!R6,Inputs!$B$37))),0)</f>
        <v/>
      </c>
    </row>
    <row r="556">
      <c r="A556">
        <f>Skills!A7</f>
        <v/>
      </c>
      <c r="B556">
        <f>Skills!B7</f>
        <v/>
      </c>
      <c r="C556">
        <f>Inputs!$B$3&gt;=66</f>
        <v/>
      </c>
      <c r="D556">
        <f>IF(Skills!C7=1,60+Inputs!$B$25+Inputs!$B$29,IF(Skills!C7=2,90+Inputs!$B$26+Inputs!$B$29,IF(Skills!C7=3,120+Inputs!$B$27+Inputs!$B$29,MAX(0,(Inputs!$B$3-100)*3)+Inputs!$B$28+Inputs!$B$29)))</f>
        <v/>
      </c>
      <c r="E556">
        <f>INDEX(FactorTable!$B$2:$Y$301, MATCH(ROUND(MIN(300,MAX(1,D556)),0), FactorTable!$A$2:$A$301,0), Skills!M7+1)</f>
        <v/>
      </c>
      <c r="F556">
        <f>IF(Skills!N7=TRUE,(Skills!L7/10)*(E556/1000),Skills!L7/10)+Skills!O7</f>
        <v/>
      </c>
      <c r="G556">
        <f>Skills!G7*IF(Skills!H7&gt;0,Skills!I7/Skills!H7,1)</f>
        <v/>
      </c>
      <c r="H556">
        <f>1-(1-Skills!J7/100)^Skills!K7</f>
        <v/>
      </c>
      <c r="I556" t="inlineStr">
        <is>
          <t>1</t>
        </is>
      </c>
      <c r="J556">
        <f>((Inputs!$B$6*(1+Inputs!$B$7/100))+(((Inputs!$B$12*(1+Inputs!$B$13/100))-(Inputs!$B$12*(1+Inputs!$B$13/100)))+0.25*(Inputs!$B$14-Inputs!$B$14))*(1+Inputs!$B$7/100))*(F556/100)</f>
        <v/>
      </c>
      <c r="K556">
        <f>J556*(1+((Inputs!$B$12*(1+Inputs!$B$13/100))*0.01+Inputs!$B$14*0.0025)/100)*(1+Inputs!$B$15/100)*(1+Inputs!$B$16/100)*(5000/(6000+Inputs!$B$42*(1-(Inputs!$B$19+0)/100)))*(1+(Inputs!$B$24+((C575=TRUE)*(F575-Calc!F26))+B585)/100)*(1+1.0*IF(C564=TRUE,F564,0)/100)*(1+(IF(Skills!A7="EIGHT_LEGS_EASTON",Inputs!$B$17+((C572=TRUE)*(F572-Calc!F23))+((C576=TRUE)*(F576-Calc!F27)),Inputs!$B$18+0))/100)*((1+(((C566=TRUE)*F566)+((C573=TRUE)*(F573-Calc!F24)))/100)*I556)</f>
        <v/>
      </c>
      <c r="L556">
        <f>K556*(MIN(Inputs!$B$22+((C571=TRUE)*(F571-Calc!F22)),Inputs!$B$23+0)/100+(Inputs!$B$23+0)/100)/2</f>
        <v/>
      </c>
      <c r="M556">
        <f>L556*(1+(Inputs!$B$10+((C574=TRUE)*(F574-Calc!F25))+B584)/100)</f>
        <v/>
      </c>
      <c r="N556">
        <f>L556*(1-MIN((Inputs!$B$9+((C568=TRUE)*(F568-Calc!F19))+B579),100)/100)+M556*(MIN((Inputs!$B$9+((C568=TRUE)*(F568-Calc!F19))+B579),100)/100)</f>
        <v/>
      </c>
      <c r="O556">
        <f>(1-Summary!$B$55)*T556+Summary!$B$55*V556</f>
        <v/>
      </c>
      <c r="P556">
        <f>IF(B589=0,0,O556/B589)</f>
        <v/>
      </c>
      <c r="Q556">
        <f>IFERROR(1/IF(Inputs!$B$38="pvp",15,MAX(0.1,Skills!D7-IF(Skills!E7=TRUE,Inputs!$B$32,0))),0)</f>
        <v/>
      </c>
      <c r="R556">
        <f>IF(AND(Inputs!$B$38&lt;&gt;"pvp",Inputs!$B$43&gt;0),IF(MAX(0,Inputs!$B$43-B586)&lt;=0,0,(INT(MAX(0,Inputs!$B$43-B586)/IF(Inputs!$B$38="pvp",15,MAX(0.1,Skills!D7-IF(Skills!E7=TRUE,Inputs!$B$32,0))))+1)),0)</f>
        <v/>
      </c>
      <c r="S556">
        <f>IFERROR(O556/N556,0)</f>
        <v/>
      </c>
      <c r="T556">
        <f>IF(C556,(H556*N556*IF(AND(Inputs!$B$38&lt;&gt;"pvp",Inputs!$B$43&gt;0),((Skills!G7*((R556-1)*IF(Skills!H7&gt;0,Skills!I7/Skills!H7,1)+IF(Skills!H7&gt;0,MIN(Skills!I7,MAX(0,MAX(0,Inputs!$B$43-B586)-((R556-1)*IF(Inputs!$B$38="pvp",15,MAX(0.1,Skills!D7-IF(Skills!E7=TRUE,Inputs!$B$32,0))))))/Skills!H7,1)))/Inputs!$B$43),G556*Q556))*IF(Inputs!$B$38="pvp",1,1+(Inputs!$B$20+0+Skills!P7)/100),0)</f>
        <v/>
      </c>
      <c r="V556">
        <f>IF(C556,(H556*N556*IF(AND(Inputs!$B$38&lt;&gt;"pvp",Inputs!$B$43&gt;0),((Skills!G7*((R556-1)*IF(Skills!H7&gt;0,Skills!I7/Skills!H7,1)+IF(Skills!H7&gt;0,MIN(Skills!I7,MAX(0,MAX(0,Inputs!$B$43-B586)-((R556-1)*IF(Inputs!$B$38="pvp",15,MAX(0.1,Skills!D7-IF(Skills!E7=TRUE,Inputs!$B$32,0))))))/Skills!H7,1)))/Inputs!$B$43),G556*Q556))*IF(Inputs!$B$38="pvp",1,(1+(Inputs!$B$21+Skills!Q7)/100)*(MIN(Skills!R7,Inputs!$B$37))),0)</f>
        <v/>
      </c>
    </row>
    <row r="557">
      <c r="A557">
        <f>Skills!A8</f>
        <v/>
      </c>
      <c r="B557">
        <f>Skills!B8</f>
        <v/>
      </c>
      <c r="C557">
        <f>Inputs!$B$3&gt;=100</f>
        <v/>
      </c>
      <c r="D557">
        <f>IF(Skills!C8=1,60+Inputs!$B$25+Inputs!$B$29,IF(Skills!C8=2,90+Inputs!$B$26+Inputs!$B$29,IF(Skills!C8=3,120+Inputs!$B$27+Inputs!$B$29,MAX(0,(Inputs!$B$3-100)*3)+Inputs!$B$28+Inputs!$B$29)))</f>
        <v/>
      </c>
      <c r="E557">
        <f>INDEX(FactorTable!$B$2:$Y$301, MATCH(ROUND(MIN(300,MAX(1,D557)),0), FactorTable!$A$2:$A$301,0), Skills!M8+1)</f>
        <v/>
      </c>
      <c r="F557">
        <f>IF(Skills!N8=TRUE,(Skills!L8/10)*(E557/1000),Skills!L8/10)+Skills!O8</f>
        <v/>
      </c>
      <c r="G557">
        <f>Skills!G8*IF(Skills!H8&gt;0,Skills!I8/Skills!H8,1)</f>
        <v/>
      </c>
      <c r="H557">
        <f>1-(1-Skills!J8/100)^Skills!K8</f>
        <v/>
      </c>
      <c r="I557" t="inlineStr">
        <is>
          <t>1</t>
        </is>
      </c>
      <c r="J557">
        <f>((Inputs!$B$6*(1+Inputs!$B$7/100))+(((Inputs!$B$12*(1+Inputs!$B$13/100))-(Inputs!$B$12*(1+Inputs!$B$13/100)))+0.25*(Inputs!$B$14-Inputs!$B$14))*(1+Inputs!$B$7/100))*(F557/100)</f>
        <v/>
      </c>
      <c r="K557">
        <f>J557*(1+((Inputs!$B$12*(1+Inputs!$B$13/100))*0.01+Inputs!$B$14*0.0025)/100)*(1+Inputs!$B$15/100)*(1+Inputs!$B$16/100)*(5000/(6000+Inputs!$B$42*(1-(Inputs!$B$19+0)/100)))*(1+(Inputs!$B$24+((C575=TRUE)*(F575-Calc!F26))+B585)/100)*(1+(IF(Skills!A8="EIGHT_LEGS_EASTON",Inputs!$B$17+((C572=TRUE)*(F572-Calc!F23))+((C576=TRUE)*(F576-Calc!F27)),Inputs!$B$18+0))/100)*((1+(((C566=TRUE)*F566)+((C573=TRUE)*(F573-Calc!F24)))/100)*I557)</f>
        <v/>
      </c>
      <c r="L557">
        <f>K557*(MIN(Inputs!$B$22+((C571=TRUE)*(F571-Calc!F22)),Inputs!$B$23+0)/100+(Inputs!$B$23+0)/100)/2</f>
        <v/>
      </c>
      <c r="M557">
        <f>L557*(1+(Inputs!$B$10+((C574=TRUE)*(F574-Calc!F25))+B584)/100)</f>
        <v/>
      </c>
      <c r="N557">
        <f>L557*(1-MIN((Inputs!$B$9+((C568=TRUE)*(F568-Calc!F19))+B579),100)/100)+M557*(MIN((Inputs!$B$9+((C568=TRUE)*(F568-Calc!F19))+B579),100)/100)</f>
        <v/>
      </c>
      <c r="O557">
        <f>(1-Summary!$B$55)*T557+Summary!$B$55*V557</f>
        <v/>
      </c>
      <c r="P557">
        <f>IF(B589=0,0,O557/B589)</f>
        <v/>
      </c>
      <c r="Q557">
        <f>IFERROR(1/IF(Inputs!$B$38="pvp",15,MAX(0.1,Skills!D8-IF(Skills!E8=TRUE,Inputs!$B$32,0))),0)</f>
        <v/>
      </c>
      <c r="R557">
        <f>IF(AND(Inputs!$B$38&lt;&gt;"pvp",Inputs!$B$43&gt;0),IF(MAX(0,Inputs!$B$43-B586)&lt;=0,0,(INT(MAX(0,Inputs!$B$43-B586)/IF(Inputs!$B$38="pvp",15,MAX(0.1,Skills!D8-IF(Skills!E8=TRUE,Inputs!$B$32,0))))+1)),0)</f>
        <v/>
      </c>
      <c r="S557">
        <f>IFERROR(O557/N557,0)</f>
        <v/>
      </c>
      <c r="T557">
        <f>IF(C557,(H557*N557*IF(AND(Inputs!$B$38&lt;&gt;"pvp",Inputs!$B$43&gt;0),((Skills!G8*((R557-1)*IF(Skills!H8&gt;0,Skills!I8/Skills!H8,1)+IF(Skills!H8&gt;0,MIN(Skills!I8,MAX(0,MAX(0,Inputs!$B$43-B586)-((R557-1)*IF(Inputs!$B$38="pvp",15,MAX(0.1,Skills!D8-IF(Skills!E8=TRUE,Inputs!$B$32,0))))))/Skills!H8,1)))/Inputs!$B$43),G557*Q557))*IF(Inputs!$B$38="pvp",1,1+(Inputs!$B$20+0+Skills!P8)/100),0)</f>
        <v/>
      </c>
      <c r="V557">
        <f>IF(C557,(H557*N557*IF(AND(Inputs!$B$38&lt;&gt;"pvp",Inputs!$B$43&gt;0),((Skills!G8*((R557-1)*IF(Skills!H8&gt;0,Skills!I8/Skills!H8,1)+IF(Skills!H8&gt;0,MIN(Skills!I8,MAX(0,MAX(0,Inputs!$B$43-B586)-((R557-1)*IF(Inputs!$B$38="pvp",15,MAX(0.1,Skills!D8-IF(Skills!E8=TRUE,Inputs!$B$32,0))))))/Skills!H8,1)))/Inputs!$B$43),G557*Q557))*IF(Inputs!$B$38="pvp",1,(1+(Inputs!$B$21+Skills!Q8)/100)*(MIN(Skills!R8,Inputs!$B$37))),0)</f>
        <v/>
      </c>
    </row>
    <row r="558">
      <c r="A558">
        <f>Skills!A9</f>
        <v/>
      </c>
      <c r="B558">
        <f>Skills!B9</f>
        <v/>
      </c>
      <c r="C558">
        <f>Inputs!$B$3&gt;=103</f>
        <v/>
      </c>
      <c r="D558">
        <f>IF(Skills!C9=1,60+Inputs!$B$25+Inputs!$B$29,IF(Skills!C9=2,90+Inputs!$B$26+Inputs!$B$29,IF(Skills!C9=3,120+Inputs!$B$27+Inputs!$B$29,MAX(0,(Inputs!$B$3-100)*3)+Inputs!$B$28+Inputs!$B$29)))</f>
        <v/>
      </c>
      <c r="E558">
        <f>INDEX(FactorTable!$B$2:$Y$301, MATCH(ROUND(MIN(300,MAX(1,D558)),0), FactorTable!$A$2:$A$301,0), Skills!M9+1)</f>
        <v/>
      </c>
      <c r="F558">
        <f>IF(Skills!N9=TRUE,(Skills!L9/10)*(E558/1000),Skills!L9/10)+Skills!O9</f>
        <v/>
      </c>
      <c r="G558">
        <f>Skills!G9*IF(Skills!H9&gt;0,Skills!I9/Skills!H9,1)</f>
        <v/>
      </c>
      <c r="H558">
        <f>1-(1-Skills!J9/100)^Skills!K9</f>
        <v/>
      </c>
      <c r="I558" t="inlineStr">
        <is>
          <t>1</t>
        </is>
      </c>
      <c r="J558">
        <f>((Inputs!$B$6*(1+Inputs!$B$7/100))+(((Inputs!$B$12*(1+Inputs!$B$13/100))-(Inputs!$B$12*(1+Inputs!$B$13/100)))+0.25*(Inputs!$B$14-Inputs!$B$14))*(1+Inputs!$B$7/100))*(F558/100)</f>
        <v/>
      </c>
      <c r="K558">
        <f>J558*(1+((Inputs!$B$12*(1+Inputs!$B$13/100))*0.01+Inputs!$B$14*0.0025)/100)*(1+Inputs!$B$15/100)*(1+Inputs!$B$16/100)*(5000/(6000+Inputs!$B$42*(1-(Inputs!$B$19+0)/100)))*(1+(Inputs!$B$24+((C575=TRUE)*(F575-Calc!F26))+B585)/100)*(1+(IF(Skills!A9="EIGHT_LEGS_EASTON",Inputs!$B$17+((C572=TRUE)*(F572-Calc!F23))+((C576=TRUE)*(F576-Calc!F27)),Inputs!$B$18+0))/100)*((1+(((C566=TRUE)*F566)+((C573=TRUE)*(F573-Calc!F24)))/100)*I558)</f>
        <v/>
      </c>
      <c r="L558">
        <f>K558*(MIN(Inputs!$B$22+((C571=TRUE)*(F571-Calc!F22)),Inputs!$B$23+0)/100+(Inputs!$B$23+0)/100)/2</f>
        <v/>
      </c>
      <c r="M558">
        <f>L558*(1+(Inputs!$B$10+((C574=TRUE)*(F574-Calc!F25))+B584)/100)</f>
        <v/>
      </c>
      <c r="N558">
        <f>L558*(1-MIN((Inputs!$B$9+((C568=TRUE)*(F568-Calc!F19))+B579),100)/100)+M558*(MIN((Inputs!$B$9+((C568=TRUE)*(F568-Calc!F19))+B579),100)/100)</f>
        <v/>
      </c>
      <c r="O558">
        <f>(1-Summary!$B$55)*T558+Summary!$B$55*V558</f>
        <v/>
      </c>
      <c r="P558">
        <f>IF(B589=0,0,O558/B589)</f>
        <v/>
      </c>
      <c r="Q558">
        <f>IFERROR(1/IF(Inputs!$B$38="pvp",15,MAX(0.1,Skills!D9-IF(Skills!E9=TRUE,Inputs!$B$32,0))),0)</f>
        <v/>
      </c>
      <c r="R558">
        <f>IF(AND(Inputs!$B$38&lt;&gt;"pvp",Inputs!$B$43&gt;0),IF(MAX(0,Inputs!$B$43-B586)&lt;=0,0,(INT(MAX(0,Inputs!$B$43-B586)/IF(Inputs!$B$38="pvp",15,MAX(0.1,Skills!D9-IF(Skills!E9=TRUE,Inputs!$B$32,0))))+1)),0)</f>
        <v/>
      </c>
      <c r="S558">
        <f>IFERROR(O558/N558,0)</f>
        <v/>
      </c>
      <c r="T558">
        <f>IF(C558,(H558*N558*IF(AND(Inputs!$B$38&lt;&gt;"pvp",Inputs!$B$43&gt;0),((Skills!G9*((R558-1)*IF(Skills!H9&gt;0,Skills!I9/Skills!H9,1)+IF(Skills!H9&gt;0,MIN(Skills!I9,MAX(0,MAX(0,Inputs!$B$43-B586)-((R558-1)*IF(Inputs!$B$38="pvp",15,MAX(0.1,Skills!D9-IF(Skills!E9=TRUE,Inputs!$B$32,0))))))/Skills!H9,1)))/Inputs!$B$43),G558*Q558))*IF(Inputs!$B$38="pvp",1,1+(Inputs!$B$20+0+Skills!P9)/100),0)</f>
        <v/>
      </c>
      <c r="V558">
        <f>IF(C558,(H558*N558*IF(AND(Inputs!$B$38&lt;&gt;"pvp",Inputs!$B$43&gt;0),((Skills!G9*((R558-1)*IF(Skills!H9&gt;0,Skills!I9/Skills!H9,1)+IF(Skills!H9&gt;0,MIN(Skills!I9,MAX(0,MAX(0,Inputs!$B$43-B586)-((R558-1)*IF(Inputs!$B$38="pvp",15,MAX(0.1,Skills!D9-IF(Skills!E9=TRUE,Inputs!$B$32,0))))))/Skills!H9,1)))/Inputs!$B$43),G558*Q558))*IF(Inputs!$B$38="pvp",1,(1+(Inputs!$B$21+Skills!Q9)/100)*(MIN(Skills!R9,Inputs!$B$37))),0)</f>
        <v/>
      </c>
    </row>
    <row r="559">
      <c r="A559">
        <f>Skills!A10</f>
        <v/>
      </c>
      <c r="B559">
        <f>Skills!B10</f>
        <v/>
      </c>
      <c r="C559">
        <f>Inputs!$B$3&gt;=113</f>
        <v/>
      </c>
      <c r="D559">
        <f>IF(Skills!C10=1,60+Inputs!$B$25+Inputs!$B$29,IF(Skills!C10=2,90+Inputs!$B$26+Inputs!$B$29,IF(Skills!C10=3,120+Inputs!$B$27+Inputs!$B$29,MAX(0,(Inputs!$B$3-100)*3)+Inputs!$B$28+Inputs!$B$29)))</f>
        <v/>
      </c>
      <c r="E559">
        <f>INDEX(FactorTable!$B$2:$Y$301, MATCH(ROUND(MIN(300,MAX(1,D559)),0), FactorTable!$A$2:$A$301,0), Skills!M10+1)</f>
        <v/>
      </c>
      <c r="F559">
        <f>IF(Skills!N10=TRUE,(Skills!L10/10)*(E559/1000),Skills!L10/10)+Skills!O10</f>
        <v/>
      </c>
      <c r="G559">
        <f>Skills!G10*IF(Skills!H10&gt;0,Skills!I10/Skills!H10,1)</f>
        <v/>
      </c>
      <c r="H559">
        <f>1-(1-Skills!J10/100)^Skills!K10</f>
        <v/>
      </c>
      <c r="I559" t="inlineStr">
        <is>
          <t>1</t>
        </is>
      </c>
      <c r="J559">
        <f>((Inputs!$B$6*(1+Inputs!$B$7/100))+(((Inputs!$B$12*(1+Inputs!$B$13/100))-(Inputs!$B$12*(1+Inputs!$B$13/100)))+0.25*(Inputs!$B$14-Inputs!$B$14))*(1+Inputs!$B$7/100))*(F559/100)</f>
        <v/>
      </c>
      <c r="K559">
        <f>J559*(1+((Inputs!$B$12*(1+Inputs!$B$13/100))*0.01+Inputs!$B$14*0.0025)/100)*(1+Inputs!$B$15/100)*(1+Inputs!$B$16/100)*(5000/(6000+Inputs!$B$42*(1-(Inputs!$B$19+0)/100)))*(1+(Inputs!$B$24+((C575=TRUE)*(F575-Calc!F26))+B585)/100)*(1+(IF(Skills!A10="EIGHT_LEGS_EASTON",Inputs!$B$17+((C572=TRUE)*(F572-Calc!F23))+((C576=TRUE)*(F576-Calc!F27)),Inputs!$B$18+0))/100)*((1+(((C566=TRUE)*F566)+((C573=TRUE)*(F573-Calc!F24)))/100)*I559)</f>
        <v/>
      </c>
      <c r="L559">
        <f>K559*(MIN(Inputs!$B$22+((C571=TRUE)*(F571-Calc!F22)),Inputs!$B$23+0)/100+(Inputs!$B$23+0)/100)/2</f>
        <v/>
      </c>
      <c r="M559">
        <f>L559*(1+(Inputs!$B$10+((C574=TRUE)*(F574-Calc!F25))+B584)/100)</f>
        <v/>
      </c>
      <c r="N559">
        <f>L559*(1-MIN((Inputs!$B$9+((C568=TRUE)*(F568-Calc!F19))+B579),100)/100)+M559*(MIN((Inputs!$B$9+((C568=TRUE)*(F568-Calc!F19))+B579),100)/100)</f>
        <v/>
      </c>
      <c r="O559">
        <f>(1-Summary!$B$55)*T559+Summary!$B$55*V559</f>
        <v/>
      </c>
      <c r="P559">
        <f>IF(B589=0,0,O559/B589)</f>
        <v/>
      </c>
      <c r="Q559">
        <f>IFERROR(1/IF(Inputs!$B$38="pvp",15,MAX(0.1,Skills!D10-IF(Skills!E10=TRUE,Inputs!$B$32,0))),0)</f>
        <v/>
      </c>
      <c r="R559">
        <f>IF(AND(Inputs!$B$38&lt;&gt;"pvp",Inputs!$B$43&gt;0),IF(MAX(0,Inputs!$B$43-B586)&lt;=0,0,(INT(MAX(0,Inputs!$B$43-B586)/IF(Inputs!$B$38="pvp",15,MAX(0.1,Skills!D10-IF(Skills!E10=TRUE,Inputs!$B$32,0))))+1)),0)</f>
        <v/>
      </c>
      <c r="S559">
        <f>IFERROR(O559/N559,0)</f>
        <v/>
      </c>
      <c r="T559">
        <f>IF(C559,(H559*N559*IF(AND(Inputs!$B$38&lt;&gt;"pvp",Inputs!$B$43&gt;0),((Skills!G10*((R559-1)*IF(Skills!H10&gt;0,Skills!I10/Skills!H10,1)+IF(Skills!H10&gt;0,MIN(Skills!I10,MAX(0,MAX(0,Inputs!$B$43-B586)-((R559-1)*IF(Inputs!$B$38="pvp",15,MAX(0.1,Skills!D10-IF(Skills!E10=TRUE,Inputs!$B$32,0))))))/Skills!H10,1)))/Inputs!$B$43),G559*Q559))*IF(Inputs!$B$38="pvp",1,1+(Inputs!$B$20+0+Skills!P10)/100),0)</f>
        <v/>
      </c>
      <c r="V559">
        <f>IF(C559,(H559*N559*IF(AND(Inputs!$B$38&lt;&gt;"pvp",Inputs!$B$43&gt;0),((Skills!G10*((R559-1)*IF(Skills!H10&gt;0,Skills!I10/Skills!H10,1)+IF(Skills!H10&gt;0,MIN(Skills!I10,MAX(0,MAX(0,Inputs!$B$43-B586)-((R559-1)*IF(Inputs!$B$38="pvp",15,MAX(0.1,Skills!D10-IF(Skills!E10=TRUE,Inputs!$B$32,0))))))/Skills!H10,1)))/Inputs!$B$43),G559*Q559))*IF(Inputs!$B$38="pvp",1,(1+(Inputs!$B$21+Skills!Q10)/100)*(MIN(Skills!R10,Inputs!$B$37))),0)</f>
        <v/>
      </c>
    </row>
    <row r="560">
      <c r="A560">
        <f>Skills!A11</f>
        <v/>
      </c>
      <c r="B560">
        <f>Skills!B11</f>
        <v/>
      </c>
      <c r="C560">
        <f>Inputs!$B$3&gt;=107</f>
        <v/>
      </c>
      <c r="D560">
        <f>IF(Skills!C11=1,60+Inputs!$B$25+Inputs!$B$29,IF(Skills!C11=2,90+Inputs!$B$26+Inputs!$B$29,IF(Skills!C11=3,120+Inputs!$B$27+Inputs!$B$29,MAX(0,(Inputs!$B$3-100)*3)+Inputs!$B$28+Inputs!$B$29)))</f>
        <v/>
      </c>
      <c r="E560">
        <f>INDEX(FactorTable!$B$2:$Y$301, MATCH(ROUND(MIN(300,MAX(1,D560)),0), FactorTable!$A$2:$A$301,0), Skills!M11+1)</f>
        <v/>
      </c>
      <c r="F560">
        <f>IF(Skills!N11=TRUE,(Skills!L11/10)*(E560/1000),Skills!L11/10)+Skills!O11</f>
        <v/>
      </c>
      <c r="G560">
        <f>Skills!G11*IF(Skills!H11&gt;0,Skills!I11/Skills!H11,1)</f>
        <v/>
      </c>
      <c r="H560">
        <f>1-(1-Skills!J11/100)^Skills!K11</f>
        <v/>
      </c>
      <c r="I560" t="inlineStr">
        <is>
          <t>1</t>
        </is>
      </c>
      <c r="J560">
        <f>((Inputs!$B$6*(1+Inputs!$B$7/100))+(((Inputs!$B$12*(1+Inputs!$B$13/100))-(Inputs!$B$12*(1+Inputs!$B$13/100)))+0.25*(Inputs!$B$14-Inputs!$B$14))*(1+Inputs!$B$7/100))*(F560/100)</f>
        <v/>
      </c>
      <c r="K560">
        <f>J560*(1+((Inputs!$B$12*(1+Inputs!$B$13/100))*0.01+Inputs!$B$14*0.0025)/100)*(1+Inputs!$B$15/100)*(1+Inputs!$B$16/100)*(5000/(6000+Inputs!$B$42*(1-(Inputs!$B$19+0)/100)))*(1+(Inputs!$B$24+((C575=TRUE)*(F575-Calc!F26))+B585)/100)*(1+(IF(Skills!A11="EIGHT_LEGS_EASTON",Inputs!$B$17+((C572=TRUE)*(F572-Calc!F23))+((C576=TRUE)*(F576-Calc!F27)),Inputs!$B$18+0))/100)*((1+(((C566=TRUE)*F566)+((C573=TRUE)*(F573-Calc!F24)))/100)*I560)</f>
        <v/>
      </c>
      <c r="L560">
        <f>K560*(MIN(Inputs!$B$22+((C571=TRUE)*(F571-Calc!F22)),Inputs!$B$23+0)/100+(Inputs!$B$23+0)/100)/2</f>
        <v/>
      </c>
      <c r="M560">
        <f>L560*(1+(Inputs!$B$10+((C574=TRUE)*(F574-Calc!F25))+B584)/100)</f>
        <v/>
      </c>
      <c r="N560">
        <f>L560*(1-MIN((Inputs!$B$9+((C568=TRUE)*(F568-Calc!F19))+B579),100)/100)+M560*(MIN((Inputs!$B$9+((C568=TRUE)*(F568-Calc!F19))+B579),100)/100)</f>
        <v/>
      </c>
      <c r="O560">
        <f>(1-Summary!$B$55)*T560+Summary!$B$55*V560</f>
        <v/>
      </c>
      <c r="P560">
        <f>IF(B589=0,0,O560/B589)</f>
        <v/>
      </c>
      <c r="Q560">
        <f>IFERROR(1/IF(Inputs!$B$38="pvp",15,MAX(0.1,Skills!D11-IF(Skills!E11=TRUE,Inputs!$B$32,0))),0)</f>
        <v/>
      </c>
      <c r="R560">
        <f>IF(AND(Inputs!$B$38&lt;&gt;"pvp",Inputs!$B$43&gt;0),IF(MAX(0,Inputs!$B$43-B586)&lt;=0,0,(INT(MAX(0,Inputs!$B$43-B586)/IF(Inputs!$B$38="pvp",15,MAX(0.1,Skills!D11-IF(Skills!E11=TRUE,Inputs!$B$32,0))))+1)),0)</f>
        <v/>
      </c>
      <c r="S560">
        <f>IFERROR(O560/N560,0)</f>
        <v/>
      </c>
      <c r="T560">
        <f>IF(C560,(H560*N560*IF(AND(Inputs!$B$38&lt;&gt;"pvp",Inputs!$B$43&gt;0),((Skills!G11*((R560-1)*IF(Skills!H11&gt;0,Skills!I11/Skills!H11,1)+IF(Skills!H11&gt;0,MIN(Skills!I11,MAX(0,MAX(0,Inputs!$B$43-B586)-((R560-1)*IF(Inputs!$B$38="pvp",15,MAX(0.1,Skills!D11-IF(Skills!E11=TRUE,Inputs!$B$32,0))))))/Skills!H11,1)))/Inputs!$B$43),G560*Q560))*IF(Inputs!$B$38="pvp",1,1+(Inputs!$B$20+0+Skills!P11)/100),0)</f>
        <v/>
      </c>
      <c r="V560">
        <f>IF(C560,(H560*N560*IF(AND(Inputs!$B$38&lt;&gt;"pvp",Inputs!$B$43&gt;0),((Skills!G11*((R560-1)*IF(Skills!H11&gt;0,Skills!I11/Skills!H11,1)+IF(Skills!H11&gt;0,MIN(Skills!I11,MAX(0,MAX(0,Inputs!$B$43-B586)-((R560-1)*IF(Inputs!$B$38="pvp",15,MAX(0.1,Skills!D11-IF(Skills!E11=TRUE,Inputs!$B$32,0))))))/Skills!H11,1)))/Inputs!$B$43),G560*Q560))*IF(Inputs!$B$38="pvp",1,(1+(Inputs!$B$21+Skills!Q11)/100)*(MIN(Skills!R11,Inputs!$B$37))),0)</f>
        <v/>
      </c>
    </row>
    <row r="561">
      <c r="A561">
        <f>Skills!A12</f>
        <v/>
      </c>
      <c r="B561">
        <f>Skills!B12</f>
        <v/>
      </c>
      <c r="C561">
        <f>Inputs!$B$3&gt;=110</f>
        <v/>
      </c>
      <c r="D561">
        <f>IF(Skills!C12=1,60+Inputs!$B$25+Inputs!$B$29,IF(Skills!C12=2,90+Inputs!$B$26+Inputs!$B$29,IF(Skills!C12=3,120+Inputs!$B$27+Inputs!$B$29,MAX(0,(Inputs!$B$3-100)*3)+Inputs!$B$28+Inputs!$B$29)))</f>
        <v/>
      </c>
      <c r="E561">
        <f>INDEX(FactorTable!$B$2:$Y$301, MATCH(ROUND(MIN(300,MAX(1,D561)),0), FactorTable!$A$2:$A$301,0), Skills!M12+1)</f>
        <v/>
      </c>
      <c r="F561">
        <f>IF(Skills!N12=TRUE,(Skills!L12/10)*(E561/1000),Skills!L12/10)+Skills!O12</f>
        <v/>
      </c>
      <c r="G561">
        <f>Skills!G12*IF(Skills!H12&gt;0,Skills!I12/Skills!H12,1)</f>
        <v/>
      </c>
      <c r="H561">
        <f>1-(1-Skills!J12/100)^Skills!K12</f>
        <v/>
      </c>
      <c r="I561" t="inlineStr">
        <is>
          <t>1</t>
        </is>
      </c>
      <c r="J561">
        <f>((Inputs!$B$6*(1+Inputs!$B$7/100))+(((Inputs!$B$12*(1+Inputs!$B$13/100))-(Inputs!$B$12*(1+Inputs!$B$13/100)))+0.25*(Inputs!$B$14-Inputs!$B$14))*(1+Inputs!$B$7/100))*(F561/100)</f>
        <v/>
      </c>
      <c r="K561">
        <f>J561*(1+((Inputs!$B$12*(1+Inputs!$B$13/100))*0.01+Inputs!$B$14*0.0025)/100)*(1+Inputs!$B$15/100)*(1+Inputs!$B$16/100)*(5000/(6000+Inputs!$B$42*(1-(Inputs!$B$19+0)/100)))*(1+(Inputs!$B$24+((C575=TRUE)*(F575-Calc!F26))+B585)/100)*(1+(IF(Skills!A12="EIGHT_LEGS_EASTON",Inputs!$B$17+((C572=TRUE)*(F572-Calc!F23))+((C576=TRUE)*(F576-Calc!F27)),Inputs!$B$18+0))/100)*((1+(((C566=TRUE)*F566)+((C573=TRUE)*(F573-Calc!F24)))/100)*I561)</f>
        <v/>
      </c>
      <c r="L561">
        <f>K561*(MIN(Inputs!$B$22+((C571=TRUE)*(F571-Calc!F22)),Inputs!$B$23+0)/100+(Inputs!$B$23+0)/100)/2</f>
        <v/>
      </c>
      <c r="M561">
        <f>L561*(1+(Inputs!$B$10+((C574=TRUE)*(F574-Calc!F25))+B584)/100)</f>
        <v/>
      </c>
      <c r="N561">
        <f>L561*(1-MIN((Inputs!$B$9+((C568=TRUE)*(F568-Calc!F19))+B579),100)/100)+M561*(MIN((Inputs!$B$9+((C568=TRUE)*(F568-Calc!F19))+B579),100)/100)</f>
        <v/>
      </c>
      <c r="O561">
        <f>(1-Summary!$B$55)*T561+Summary!$B$55*V561</f>
        <v/>
      </c>
      <c r="P561">
        <f>IF(B589=0,0,O561/B589)</f>
        <v/>
      </c>
      <c r="Q561">
        <f>IFERROR(1/IF(Inputs!$B$38="pvp",15,MAX(0.1,Skills!D12-IF(Skills!E12=TRUE,Inputs!$B$32,0))),0)</f>
        <v/>
      </c>
      <c r="R561">
        <f>IF(AND(Inputs!$B$38&lt;&gt;"pvp",Inputs!$B$43&gt;0),IF(MAX(0,Inputs!$B$43-B586)&lt;=0,0,(INT(MAX(0,Inputs!$B$43-B586)/IF(Inputs!$B$38="pvp",15,MAX(0.1,Skills!D12-IF(Skills!E12=TRUE,Inputs!$B$32,0))))+1)),0)</f>
        <v/>
      </c>
      <c r="S561">
        <f>IFERROR(O561/N561,0)</f>
        <v/>
      </c>
      <c r="T561">
        <f>IF(C561,(H561*N561*IF(AND(Inputs!$B$38&lt;&gt;"pvp",Inputs!$B$43&gt;0),((Skills!G12*((R561-1)*IF(Skills!H12&gt;0,Skills!I12/Skills!H12,1)+IF(Skills!H12&gt;0,MIN(Skills!I12,MAX(0,MAX(0,Inputs!$B$43-B586)-((R561-1)*IF(Inputs!$B$38="pvp",15,MAX(0.1,Skills!D12-IF(Skills!E12=TRUE,Inputs!$B$32,0))))))/Skills!H12,1)))/Inputs!$B$43),G561*Q561))*IF(Inputs!$B$38="pvp",1,1+(Inputs!$B$20+0+Skills!P12)/100),0)</f>
        <v/>
      </c>
      <c r="V561">
        <f>IF(C561,(H561*N561*IF(AND(Inputs!$B$38&lt;&gt;"pvp",Inputs!$B$43&gt;0),((Skills!G12*((R561-1)*IF(Skills!H12&gt;0,Skills!I12/Skills!H12,1)+IF(Skills!H12&gt;0,MIN(Skills!I12,MAX(0,MAX(0,Inputs!$B$43-B586)-((R561-1)*IF(Inputs!$B$38="pvp",15,MAX(0.1,Skills!D12-IF(Skills!E12=TRUE,Inputs!$B$32,0))))))/Skills!H12,1)))/Inputs!$B$43),G561*Q561))*IF(Inputs!$B$38="pvp",1,(1+(Inputs!$B$21+Skills!Q12)/100)*(MIN(Skills!R12,Inputs!$B$37))),0)</f>
        <v/>
      </c>
    </row>
    <row r="562">
      <c r="A562">
        <f>Skills!A13</f>
        <v/>
      </c>
      <c r="B562">
        <f>Skills!B13</f>
        <v/>
      </c>
      <c r="C562">
        <f>Inputs!$B$3&gt;=110</f>
        <v/>
      </c>
      <c r="D562">
        <f>IF(Skills!C13=1,60+Inputs!$B$25+Inputs!$B$29,IF(Skills!C13=2,90+Inputs!$B$26+Inputs!$B$29,IF(Skills!C13=3,120+Inputs!$B$27+Inputs!$B$29,MAX(0,(Inputs!$B$3-100)*3)+Inputs!$B$28+Inputs!$B$29)))</f>
        <v/>
      </c>
      <c r="E562">
        <f>INDEX(FactorTable!$B$2:$Y$301, MATCH(ROUND(MIN(300,MAX(1,D562)),0), FactorTable!$A$2:$A$301,0), Skills!M13+1)</f>
        <v/>
      </c>
      <c r="F562">
        <f>IF(Skills!N13=TRUE,(Skills!L13/10)*(E562/1000),Skills!L13/10)+Skills!O13</f>
        <v/>
      </c>
      <c r="G562">
        <f>Skills!G13*IF(Skills!H13&gt;0,Skills!I13/Skills!H13,1)</f>
        <v/>
      </c>
      <c r="H562">
        <f>1-(1-Skills!J13/100)^Skills!K13</f>
        <v/>
      </c>
      <c r="I562" t="inlineStr">
        <is>
          <t>1</t>
        </is>
      </c>
      <c r="J562">
        <f>((Inputs!$B$6*(1+Inputs!$B$7/100))+(((Inputs!$B$12*(1+Inputs!$B$13/100))-(Inputs!$B$12*(1+Inputs!$B$13/100)))+0.25*(Inputs!$B$14-Inputs!$B$14))*(1+Inputs!$B$7/100))*(F562/100)</f>
        <v/>
      </c>
      <c r="K562">
        <f>J562*(1+((Inputs!$B$12*(1+Inputs!$B$13/100))*0.01+Inputs!$B$14*0.0025)/100)*(1+Inputs!$B$15/100)*(1+Inputs!$B$16/100)*(5000/(6000+Inputs!$B$42*(1-(Inputs!$B$19+0)/100)))*(1+(Inputs!$B$24+((C575=TRUE)*(F575-Calc!F26))+B585)/100)*(1+(IF(Skills!A13="EIGHT_LEGS_EASTON",Inputs!$B$17+((C572=TRUE)*(F572-Calc!F23))+((C576=TRUE)*(F576-Calc!F27)),Inputs!$B$18+0))/100)*((1+(((C566=TRUE)*F566)+((C573=TRUE)*(F573-Calc!F24)))/100)*I562)</f>
        <v/>
      </c>
      <c r="L562">
        <f>K562*(MIN(Inputs!$B$22+((C571=TRUE)*(F571-Calc!F22)),Inputs!$B$23+0)/100+(Inputs!$B$23+0)/100)/2</f>
        <v/>
      </c>
      <c r="M562">
        <f>L562*(1+(Inputs!$B$10+((C574=TRUE)*(F574-Calc!F25))+B584)/100)</f>
        <v/>
      </c>
      <c r="N562">
        <f>L562*(1-MIN((Inputs!$B$9+((C568=TRUE)*(F568-Calc!F19))+B579),100)/100)+M562*(MIN((Inputs!$B$9+((C568=TRUE)*(F568-Calc!F19))+B579),100)/100)</f>
        <v/>
      </c>
      <c r="O562">
        <f>(1-Summary!$B$55)*T562+Summary!$B$55*V562</f>
        <v/>
      </c>
      <c r="P562">
        <f>IF(B589=0,0,O562/B589)</f>
        <v/>
      </c>
      <c r="Q562">
        <f>IFERROR(1/IF(Inputs!$B$38="pvp",15,MAX(0.1,Skills!D13-IF(Skills!E13=TRUE,Inputs!$B$32,0))),0)</f>
        <v/>
      </c>
      <c r="R562">
        <f>IF(AND(Inputs!$B$38&lt;&gt;"pvp",Inputs!$B$43&gt;0),IF(MAX(0,Inputs!$B$43-B586)&lt;=0,0,(INT(MAX(0,Inputs!$B$43-B586)/IF(Inputs!$B$38="pvp",15,MAX(0.1,Skills!D13-IF(Skills!E13=TRUE,Inputs!$B$32,0))))+1)),0)</f>
        <v/>
      </c>
      <c r="S562">
        <f>IFERROR(O562/N562,0)</f>
        <v/>
      </c>
      <c r="T562">
        <f>IF(C562,(H562*N562*IF(AND(Inputs!$B$38&lt;&gt;"pvp",Inputs!$B$43&gt;0),((Skills!G13*((R562-1)*IF(Skills!H13&gt;0,Skills!I13/Skills!H13,1)+IF(Skills!H13&gt;0,MIN(Skills!I13,MAX(0,MAX(0,Inputs!$B$43-B586)-((R562-1)*IF(Inputs!$B$38="pvp",15,MAX(0.1,Skills!D13-IF(Skills!E13=TRUE,Inputs!$B$32,0))))))/Skills!H13,1)))/Inputs!$B$43),G562*Q562))*IF(Inputs!$B$38="pvp",1,1+(Inputs!$B$20+0+Skills!P13)/100),0)</f>
        <v/>
      </c>
      <c r="V562">
        <f>IF(C562,(H562*N562*IF(AND(Inputs!$B$38&lt;&gt;"pvp",Inputs!$B$43&gt;0),((Skills!G13*((R562-1)*IF(Skills!H13&gt;0,Skills!I13/Skills!H13,1)+IF(Skills!H13&gt;0,MIN(Skills!I13,MAX(0,MAX(0,Inputs!$B$43-B586)-((R562-1)*IF(Inputs!$B$38="pvp",15,MAX(0.1,Skills!D13-IF(Skills!E13=TRUE,Inputs!$B$32,0))))))/Skills!H13,1)))/Inputs!$B$43),G562*Q562))*IF(Inputs!$B$38="pvp",1,(1+(Inputs!$B$21+Skills!Q13)/100)*(MIN(Skills!R13,Inputs!$B$37))),0)</f>
        <v/>
      </c>
    </row>
    <row r="563">
      <c r="A563">
        <f>Skills!A14</f>
        <v/>
      </c>
      <c r="B563">
        <f>Skills!B14</f>
        <v/>
      </c>
      <c r="C563">
        <f>Inputs!$B$3&gt;=125</f>
        <v/>
      </c>
      <c r="D563">
        <f>IF(Skills!C14=1,60+Inputs!$B$25+Inputs!$B$29,IF(Skills!C14=2,90+Inputs!$B$26+Inputs!$B$29,IF(Skills!C14=3,120+Inputs!$B$27+Inputs!$B$29,MAX(0,(Inputs!$B$3-100)*3)+Inputs!$B$28+Inputs!$B$29)))</f>
        <v/>
      </c>
      <c r="E563">
        <f>INDEX(FactorTable!$B$2:$Y$301, MATCH(ROUND(MIN(300,MAX(1,D563)),0), FactorTable!$A$2:$A$301,0), Skills!M14+1)</f>
        <v/>
      </c>
      <c r="F563">
        <f>IF(Skills!N14=TRUE,(Skills!L14/10)*(E563/1000),Skills!L14/10)+Skills!O14</f>
        <v/>
      </c>
      <c r="G563">
        <f>Skills!G14*IF(Skills!H14&gt;0,Skills!I14/Skills!H14,1)</f>
        <v/>
      </c>
      <c r="H563">
        <f>1-(1-Skills!J14/100)^Skills!K14</f>
        <v/>
      </c>
      <c r="I563" t="inlineStr">
        <is>
          <t>1</t>
        </is>
      </c>
      <c r="J563">
        <f>((Inputs!$B$6*(1+Inputs!$B$7/100))+(((Inputs!$B$12*(1+Inputs!$B$13/100))-(Inputs!$B$12*(1+Inputs!$B$13/100)))+0.25*(Inputs!$B$14-Inputs!$B$14))*(1+Inputs!$B$7/100))*(F563/100)</f>
        <v/>
      </c>
      <c r="K563">
        <f>J563*(1+((Inputs!$B$12*(1+Inputs!$B$13/100))*0.01+Inputs!$B$14*0.0025)/100)*(1+Inputs!$B$15/100)*(1+Inputs!$B$16/100)*(5000/(6000+Inputs!$B$42*(1-(Inputs!$B$19+0)/100)))*(1+(Inputs!$B$24+((C575=TRUE)*(F575-Calc!F26))+B585)/100)*(1+(IF(Skills!A14="EIGHT_LEGS_EASTON",Inputs!$B$17+((C572=TRUE)*(F572-Calc!F23))+((C576=TRUE)*(F576-Calc!F27)),Inputs!$B$18+0))/100)*((1+(((C566=TRUE)*F566)+((C573=TRUE)*(F573-Calc!F24)))/100)*I563)</f>
        <v/>
      </c>
      <c r="L563">
        <f>K563*(MIN(Inputs!$B$22+((C571=TRUE)*(F571-Calc!F22)),Inputs!$B$23+0)/100+(Inputs!$B$23+0)/100)/2</f>
        <v/>
      </c>
      <c r="M563">
        <f>L563*(1+(Inputs!$B$10+((C574=TRUE)*(F574-Calc!F25))+B584)/100)</f>
        <v/>
      </c>
      <c r="N563">
        <f>L563*(1-MIN((Inputs!$B$9+((C568=TRUE)*(F568-Calc!F19))+B579),100)/100)+M563*(MIN((Inputs!$B$9+((C568=TRUE)*(F568-Calc!F19))+B579),100)/100)</f>
        <v/>
      </c>
      <c r="O563">
        <f>(1-Summary!$B$55)*T563+Summary!$B$55*V563</f>
        <v/>
      </c>
      <c r="P563">
        <f>IF(B589=0,0,O563/B589)</f>
        <v/>
      </c>
      <c r="Q563" t="n">
        <v>0</v>
      </c>
      <c r="R563" t="n">
        <v>0</v>
      </c>
      <c r="S563">
        <f>IFERROR(O563/N563,0)</f>
        <v/>
      </c>
      <c r="T563">
        <f>IF(C563,(H563*N563*(B583+IF(AND(Inputs!$B$38&lt;&gt;"pvp",Inputs!$B$43&gt;0),((Skills!G8*((R557-1)*IF(Skills!H8&gt;0,Skills!I8/Skills!H8,1)+IF(Skills!H8&gt;0,MIN(Skills!I8,MAX(0,MAX(0,Inputs!$B$43-B586)-((R557-1)*IF(Inputs!$B$38="pvp",15,MAX(0.1,Skills!D8-IF(Skills!E8=TRUE,Inputs!$B$32,0))))))/Skills!H8,1)))/Inputs!$B$43),G557*Q557)+IF(AND(Inputs!$B$38&lt;&gt;"pvp",Inputs!$B$43&gt;0),((Skills!G11*((R560-1)*IF(Skills!H11&gt;0,Skills!I11/Skills!H11,1)+IF(Skills!H11&gt;0,MIN(Skills!I11,MAX(0,MAX(0,Inputs!$B$43-B586)-((R560-1)*IF(Inputs!$B$38="pvp",15,MAX(0.1,Skills!D11-IF(Skills!E11=TRUE,Inputs!$B$32,0))))))/Skills!H11,1)))/Inputs!$B$43),G560*Q560)))*IF(Inputs!$B$38="pvp",1,1+(Inputs!$B$20+0+Skills!P14)/100),0)</f>
        <v/>
      </c>
      <c r="V563">
        <f>IF(C563,(H563*N563*(B583+IF(AND(Inputs!$B$38&lt;&gt;"pvp",Inputs!$B$43&gt;0),((Skills!G8*((R557-1)*IF(Skills!H8&gt;0,Skills!I8/Skills!H8,1)+IF(Skills!H8&gt;0,MIN(Skills!I8,MAX(0,MAX(0,Inputs!$B$43-B586)-((R557-1)*IF(Inputs!$B$38="pvp",15,MAX(0.1,Skills!D8-IF(Skills!E8=TRUE,Inputs!$B$32,0))))))/Skills!H8,1)))/Inputs!$B$43),G557*Q557)+IF(AND(Inputs!$B$38&lt;&gt;"pvp",Inputs!$B$43&gt;0),((Skills!G11*((R560-1)*IF(Skills!H11&gt;0,Skills!I11/Skills!H11,1)+IF(Skills!H11&gt;0,MIN(Skills!I11,MAX(0,MAX(0,Inputs!$B$43-B586)-((R560-1)*IF(Inputs!$B$38="pvp",15,MAX(0.1,Skills!D11-IF(Skills!E11=TRUE,Inputs!$B$32,0))))))/Skills!H11,1)))/Inputs!$B$43),G560*Q560)))*IF(Inputs!$B$38="pvp",1,(1+(Inputs!$B$21+Skills!Q14)/100)*(MIN(Skills!R14,Inputs!$B$37))),0)</f>
        <v/>
      </c>
    </row>
    <row r="564">
      <c r="A564">
        <f>Skills!A15</f>
        <v/>
      </c>
      <c r="B564">
        <f>Skills!B15</f>
        <v/>
      </c>
      <c r="C564">
        <f>Inputs!$B$3&gt;=100</f>
        <v/>
      </c>
      <c r="D564">
        <f>IF(Skills!C15=1,60+Inputs!$B$25+Inputs!$B$29,IF(Skills!C15=2,90+Inputs!$B$26+Inputs!$B$29,IF(Skills!C15=3,120+Inputs!$B$27+Inputs!$B$29,MAX(0,(Inputs!$B$3-100)*3)+Inputs!$B$28+Inputs!$B$29)))</f>
        <v/>
      </c>
      <c r="E564">
        <f>INDEX(FactorTable!$B$2:$Y$301, MATCH(ROUND(MIN(300,MAX(1,D564)),0), FactorTable!$A$2:$A$301,0), Skills!M15+1)</f>
        <v/>
      </c>
      <c r="F564">
        <f>IF(Skills!N15=TRUE,(Skills!L15/10)*(E564/1000),Skills!L15/10)+Skills!O15</f>
        <v/>
      </c>
      <c r="G564" t="inlineStr"/>
      <c r="H564" t="inlineStr"/>
      <c r="I564" t="inlineStr">
        <is>
          <t>1</t>
        </is>
      </c>
      <c r="J564" t="inlineStr"/>
      <c r="K564" t="inlineStr"/>
      <c r="L564" t="inlineStr"/>
      <c r="M564" t="inlineStr"/>
      <c r="N564" t="inlineStr"/>
      <c r="O564" t="inlineStr"/>
      <c r="P564" t="inlineStr"/>
      <c r="Q564" t="inlineStr"/>
      <c r="R564" t="inlineStr"/>
      <c r="S564" t="inlineStr"/>
    </row>
    <row r="565">
      <c r="A565">
        <f>Skills!A16</f>
        <v/>
      </c>
      <c r="B565">
        <f>Skills!B16</f>
        <v/>
      </c>
      <c r="C565">
        <f>Inputs!$B$3&gt;=120</f>
        <v/>
      </c>
      <c r="D565">
        <f>IF(Skills!C16=1,60+Inputs!$B$25+Inputs!$B$29,IF(Skills!C16=2,90+Inputs!$B$26+Inputs!$B$29,IF(Skills!C16=3,120+Inputs!$B$27+Inputs!$B$29,MAX(0,(Inputs!$B$3-100)*3)+Inputs!$B$28+Inputs!$B$29)))</f>
        <v/>
      </c>
      <c r="E565">
        <f>INDEX(FactorTable!$B$2:$Y$301, MATCH(ROUND(MIN(300,MAX(1,D565)),0), FactorTable!$A$2:$A$301,0), Skills!M16+1)</f>
        <v/>
      </c>
      <c r="F565">
        <f>IF(Skills!N16=TRUE,(Skills!L16/10)*(E565/1000),Skills!L16/10)+Skills!O16</f>
        <v/>
      </c>
      <c r="G565" t="inlineStr"/>
      <c r="H565" t="inlineStr"/>
      <c r="I565" t="inlineStr">
        <is>
          <t>1</t>
        </is>
      </c>
      <c r="J565" t="inlineStr"/>
      <c r="K565" t="inlineStr"/>
      <c r="L565" t="inlineStr"/>
      <c r="M565" t="inlineStr"/>
      <c r="N565" t="inlineStr"/>
      <c r="O565" t="inlineStr"/>
      <c r="P565" t="inlineStr"/>
      <c r="Q565" t="inlineStr"/>
      <c r="R565" t="inlineStr"/>
      <c r="S565" t="inlineStr"/>
    </row>
    <row r="566">
      <c r="A566">
        <f>Skills!A17</f>
        <v/>
      </c>
      <c r="B566">
        <f>Skills!B17</f>
        <v/>
      </c>
      <c r="C566">
        <f>Inputs!$B$3&gt;=66</f>
        <v/>
      </c>
      <c r="D566">
        <f>IF(Skills!C17=1,60+Inputs!$B$25+Inputs!$B$29,IF(Skills!C17=2,90+Inputs!$B$26+Inputs!$B$29,IF(Skills!C17=3,120+Inputs!$B$27+Inputs!$B$29,MAX(0,(Inputs!$B$3-100)*3)+Inputs!$B$28+Inputs!$B$29)))</f>
        <v/>
      </c>
      <c r="E566">
        <f>INDEX(FactorTable!$B$2:$Y$301, MATCH(ROUND(MIN(300,MAX(1,D566)),0), FactorTable!$A$2:$A$301,0), Skills!M17+1)</f>
        <v/>
      </c>
      <c r="F566">
        <f>IF(Skills!N17=TRUE,(Skills!L17/10)*(E566/1000),Skills!L17/10)+Skills!O17</f>
        <v/>
      </c>
      <c r="G566">
        <f>Skills!G17*IF(Skills!H17&gt;0,Skills!I17/Skills!H17,1)</f>
        <v/>
      </c>
      <c r="H566">
        <f>1-(1-Skills!J17/100)^Skills!K17</f>
        <v/>
      </c>
      <c r="I566" t="inlineStr">
        <is>
          <t>1</t>
        </is>
      </c>
      <c r="J566" t="inlineStr"/>
      <c r="K566" t="inlineStr"/>
      <c r="L566" t="inlineStr"/>
      <c r="M566" t="inlineStr"/>
      <c r="N566" t="inlineStr"/>
      <c r="O566">
        <f>(1-Summary!$B$55)*T566+Summary!$B$55*V566</f>
        <v/>
      </c>
      <c r="P566">
        <f>IF(B589=0,0,O566/B589)</f>
        <v/>
      </c>
      <c r="Q566" t="n">
        <v>0</v>
      </c>
      <c r="R566" t="n">
        <v>0</v>
      </c>
      <c r="S566">
        <f>IFERROR(O566/N566,0)</f>
        <v/>
      </c>
      <c r="T566" t="n">
        <v>0</v>
      </c>
      <c r="V566" t="n">
        <v>0</v>
      </c>
    </row>
    <row r="567">
      <c r="A567">
        <f>Skills!A18</f>
        <v/>
      </c>
      <c r="B567">
        <f>Skills!B18</f>
        <v/>
      </c>
      <c r="C567">
        <f>Inputs!$B$3&gt;=115</f>
        <v/>
      </c>
      <c r="D567">
        <f>IF(Skills!C18=1,60+Inputs!$B$25+Inputs!$B$29,IF(Skills!C18=2,90+Inputs!$B$26+Inputs!$B$29,IF(Skills!C18=3,120+Inputs!$B$27+Inputs!$B$29,MAX(0,(Inputs!$B$3-100)*3)+Inputs!$B$28+Inputs!$B$29)))</f>
        <v/>
      </c>
      <c r="E567">
        <f>INDEX(FactorTable!$B$2:$Y$301, MATCH(ROUND(MIN(300,MAX(1,D567)),0), FactorTable!$A$2:$A$301,0), Skills!M18+1)</f>
        <v/>
      </c>
      <c r="F567">
        <f>IF(Skills!N18=TRUE,(Skills!L18/10)*(E567/1000),Skills!L18/10)+Skills!O18</f>
        <v/>
      </c>
      <c r="G567">
        <f>Skills!G18*IF(Skills!H18&gt;0,Skills!I18/Skills!H18,1)</f>
        <v/>
      </c>
      <c r="H567">
        <f>1-(1-Skills!J18/100)^Skills!K18</f>
        <v/>
      </c>
      <c r="I567" t="inlineStr">
        <is>
          <t>1</t>
        </is>
      </c>
      <c r="J567" t="inlineStr"/>
      <c r="K567" t="inlineStr"/>
      <c r="L567" t="inlineStr"/>
      <c r="M567" t="inlineStr"/>
      <c r="N567" t="inlineStr"/>
      <c r="O567">
        <f>(1-Summary!$B$55)*T567+Summary!$B$55*V567</f>
        <v/>
      </c>
      <c r="P567">
        <f>IF(B589=0,0,O567/B589)</f>
        <v/>
      </c>
      <c r="Q567" t="n">
        <v>0</v>
      </c>
      <c r="R567" t="n">
        <v>0</v>
      </c>
      <c r="S567">
        <f>IFERROR(O567/N567,0)</f>
        <v/>
      </c>
      <c r="T567" t="n">
        <v>0</v>
      </c>
      <c r="V567" t="n">
        <v>0</v>
      </c>
    </row>
    <row r="568">
      <c r="A568">
        <f>Skills!A19</f>
        <v/>
      </c>
      <c r="B568">
        <f>Skills!B19</f>
        <v/>
      </c>
      <c r="C568">
        <f>Inputs!$B$3&gt;=15</f>
        <v/>
      </c>
      <c r="D568">
        <f>IF(Skills!C19=1,60+Inputs!$B$25+Inputs!$B$29,IF(Skills!C19=2,90+Inputs!$B$26+Inputs!$B$29,IF(Skills!C19=3,120+Inputs!$B$27+Inputs!$B$29,MAX(0,(Inputs!$B$3-100)*3)+Inputs!$B$28+Inputs!$B$29)))</f>
        <v/>
      </c>
      <c r="E568">
        <f>INDEX(FactorTable!$B$2:$Y$301, MATCH(ROUND(MIN(300,MAX(1,D568)),0), FactorTable!$A$2:$A$301,0), Skills!M19+1)</f>
        <v/>
      </c>
      <c r="F568">
        <f>IF(Skills!N19=TRUE,(Skills!L19/10)*(E568/1000),Skills!L19/10)+Skills!O19</f>
        <v/>
      </c>
      <c r="G568">
        <f>Skills!G19*IF(Skills!H19&gt;0,Skills!I19/Skills!H19,1)</f>
        <v/>
      </c>
      <c r="H568">
        <f>1-(1-Skills!J19/100)^Skills!K19</f>
        <v/>
      </c>
      <c r="I568" t="inlineStr">
        <is>
          <t>1</t>
        </is>
      </c>
      <c r="J568" t="inlineStr"/>
      <c r="K568" t="inlineStr"/>
      <c r="L568" t="inlineStr"/>
      <c r="M568" t="inlineStr"/>
      <c r="N568" t="inlineStr"/>
      <c r="O568">
        <f>(1-Summary!$B$55)*T568+Summary!$B$55*V568</f>
        <v/>
      </c>
      <c r="P568">
        <f>IF(B589=0,0,O568/B589)</f>
        <v/>
      </c>
      <c r="Q568" t="n">
        <v>0</v>
      </c>
      <c r="R568" t="n">
        <v>0</v>
      </c>
      <c r="S568">
        <f>IFERROR(O568/N568,0)</f>
        <v/>
      </c>
      <c r="T568" t="n">
        <v>0</v>
      </c>
      <c r="V568" t="n">
        <v>0</v>
      </c>
    </row>
    <row r="569">
      <c r="A569">
        <f>Skills!A20</f>
        <v/>
      </c>
      <c r="B569">
        <f>Skills!B20</f>
        <v/>
      </c>
      <c r="C569">
        <f>Inputs!$B$3&gt;=10</f>
        <v/>
      </c>
      <c r="D569">
        <f>IF(Skills!C20=1,60+Inputs!$B$25+Inputs!$B$29,IF(Skills!C20=2,90+Inputs!$B$26+Inputs!$B$29,IF(Skills!C20=3,120+Inputs!$B$27+Inputs!$B$29,MAX(0,(Inputs!$B$3-100)*3)+Inputs!$B$28+Inputs!$B$29)))</f>
        <v/>
      </c>
      <c r="E569">
        <f>INDEX(FactorTable!$B$2:$Y$301, MATCH(ROUND(MIN(300,MAX(1,D569)),0), FactorTable!$A$2:$A$301,0), Skills!M20+1)</f>
        <v/>
      </c>
      <c r="F569">
        <f>IF(Skills!N20=TRUE,(Skills!L20/10)*(E569/1000),Skills!L20/10)+Skills!O20</f>
        <v/>
      </c>
      <c r="G569">
        <f>Skills!G20*IF(Skills!H20&gt;0,Skills!I20/Skills!H20,1)</f>
        <v/>
      </c>
      <c r="H569">
        <f>1-(1-Skills!J20/100)^Skills!K20</f>
        <v/>
      </c>
      <c r="I569" t="inlineStr">
        <is>
          <t>1</t>
        </is>
      </c>
      <c r="J569" t="inlineStr"/>
      <c r="K569" t="inlineStr"/>
      <c r="L569" t="inlineStr"/>
      <c r="M569" t="inlineStr"/>
      <c r="N569" t="inlineStr"/>
      <c r="O569">
        <f>(1-Summary!$B$55)*T569+Summary!$B$55*V569</f>
        <v/>
      </c>
      <c r="P569">
        <f>IF(B589=0,0,O569/B589)</f>
        <v/>
      </c>
      <c r="Q569" t="n">
        <v>0</v>
      </c>
      <c r="R569" t="n">
        <v>0</v>
      </c>
      <c r="S569">
        <f>IFERROR(O569/N569,0)</f>
        <v/>
      </c>
      <c r="T569" t="n">
        <v>0</v>
      </c>
      <c r="V569" t="n">
        <v>0</v>
      </c>
    </row>
    <row r="570">
      <c r="A570">
        <f>Skills!A21</f>
        <v/>
      </c>
      <c r="B570">
        <f>Skills!B21</f>
        <v/>
      </c>
      <c r="C570">
        <f>Inputs!$B$3&gt;=33</f>
        <v/>
      </c>
      <c r="D570">
        <f>IF(Skills!C21=1,60+Inputs!$B$25+Inputs!$B$29,IF(Skills!C21=2,90+Inputs!$B$26+Inputs!$B$29,IF(Skills!C21=3,120+Inputs!$B$27+Inputs!$B$29,MAX(0,(Inputs!$B$3-100)*3)+Inputs!$B$28+Inputs!$B$29)))</f>
        <v/>
      </c>
      <c r="E570">
        <f>INDEX(FactorTable!$B$2:$Y$301, MATCH(ROUND(MIN(300,MAX(1,D570)),0), FactorTable!$A$2:$A$301,0), Skills!M21+1)</f>
        <v/>
      </c>
      <c r="F570">
        <f>IF(Skills!N21=TRUE,(Skills!L21/10)*(E570/1000),Skills!L21/10)+Skills!O21</f>
        <v/>
      </c>
      <c r="G570">
        <f>Skills!G21*IF(Skills!H21&gt;0,Skills!I21/Skills!H21,1)</f>
        <v/>
      </c>
      <c r="H570">
        <f>1-(1-Skills!J21/100)^Skills!K21</f>
        <v/>
      </c>
      <c r="I570" t="inlineStr">
        <is>
          <t>1</t>
        </is>
      </c>
      <c r="J570" t="inlineStr"/>
      <c r="K570" t="inlineStr"/>
      <c r="L570" t="inlineStr"/>
      <c r="M570" t="inlineStr"/>
      <c r="N570" t="inlineStr"/>
      <c r="O570">
        <f>(1-Summary!$B$55)*T570+Summary!$B$55*V570</f>
        <v/>
      </c>
      <c r="P570">
        <f>IF(B589=0,0,O570/B589)</f>
        <v/>
      </c>
      <c r="Q570" t="n">
        <v>0</v>
      </c>
      <c r="R570" t="n">
        <v>0</v>
      </c>
      <c r="S570">
        <f>IFERROR(O570/N570,0)</f>
        <v/>
      </c>
      <c r="T570" t="n">
        <v>0</v>
      </c>
      <c r="V570" t="n">
        <v>0</v>
      </c>
    </row>
    <row r="571">
      <c r="A571">
        <f>Skills!A22</f>
        <v/>
      </c>
      <c r="B571">
        <f>Skills!B22</f>
        <v/>
      </c>
      <c r="C571">
        <f>Inputs!$B$3&gt;=43</f>
        <v/>
      </c>
      <c r="D571">
        <f>IF(Skills!C22=1,60+Inputs!$B$25+Inputs!$B$29,IF(Skills!C22=2,90+Inputs!$B$26+Inputs!$B$29,IF(Skills!C22=3,120+Inputs!$B$27+Inputs!$B$29,MAX(0,(Inputs!$B$3-100)*3)+Inputs!$B$28+Inputs!$B$29)))</f>
        <v/>
      </c>
      <c r="E571">
        <f>INDEX(FactorTable!$B$2:$Y$301, MATCH(ROUND(MIN(300,MAX(1,D571)),0), FactorTable!$A$2:$A$301,0), Skills!M22+1)</f>
        <v/>
      </c>
      <c r="F571">
        <f>IF(Skills!N22=TRUE,(Skills!L22/10)*(E571/1000),Skills!L22/10)+Skills!O22</f>
        <v/>
      </c>
      <c r="G571">
        <f>Skills!G22*IF(Skills!H22&gt;0,Skills!I22/Skills!H22,1)</f>
        <v/>
      </c>
      <c r="H571">
        <f>1-(1-Skills!J22/100)^Skills!K22</f>
        <v/>
      </c>
      <c r="I571" t="inlineStr">
        <is>
          <t>1</t>
        </is>
      </c>
      <c r="J571" t="inlineStr"/>
      <c r="K571" t="inlineStr"/>
      <c r="L571" t="inlineStr"/>
      <c r="M571" t="inlineStr"/>
      <c r="N571" t="inlineStr"/>
      <c r="O571">
        <f>(1-Summary!$B$55)*T571+Summary!$B$55*V571</f>
        <v/>
      </c>
      <c r="P571">
        <f>IF(B589=0,0,O571/B589)</f>
        <v/>
      </c>
      <c r="Q571" t="n">
        <v>0</v>
      </c>
      <c r="R571" t="n">
        <v>0</v>
      </c>
      <c r="S571">
        <f>IFERROR(O571/N571,0)</f>
        <v/>
      </c>
      <c r="T571" t="n">
        <v>0</v>
      </c>
      <c r="V571" t="n">
        <v>0</v>
      </c>
    </row>
    <row r="572">
      <c r="A572">
        <f>Skills!A23</f>
        <v/>
      </c>
      <c r="B572">
        <f>Skills!B23</f>
        <v/>
      </c>
      <c r="C572">
        <f>Inputs!$B$3&gt;=38</f>
        <v/>
      </c>
      <c r="D572">
        <f>IF(Skills!C23=1,60+Inputs!$B$25+Inputs!$B$29,IF(Skills!C23=2,90+Inputs!$B$26+Inputs!$B$29,IF(Skills!C23=3,120+Inputs!$B$27+Inputs!$B$29,MAX(0,(Inputs!$B$3-100)*3)+Inputs!$B$28+Inputs!$B$29)))</f>
        <v/>
      </c>
      <c r="E572">
        <f>INDEX(FactorTable!$B$2:$Y$301, MATCH(ROUND(MIN(300,MAX(1,D572)),0), FactorTable!$A$2:$A$301,0), Skills!M23+1)</f>
        <v/>
      </c>
      <c r="F572">
        <f>IF(Skills!N23=TRUE,(Skills!L23/10)*(E572/1000),Skills!L23/10)+Skills!O23</f>
        <v/>
      </c>
      <c r="G572">
        <f>Skills!G23*IF(Skills!H23&gt;0,Skills!I23/Skills!H23,1)</f>
        <v/>
      </c>
      <c r="H572">
        <f>1-(1-Skills!J23/100)^Skills!K23</f>
        <v/>
      </c>
      <c r="I572" t="inlineStr">
        <is>
          <t>1</t>
        </is>
      </c>
      <c r="J572" t="inlineStr"/>
      <c r="K572" t="inlineStr"/>
      <c r="L572" t="inlineStr"/>
      <c r="M572" t="inlineStr"/>
      <c r="N572" t="inlineStr"/>
      <c r="O572">
        <f>(1-Summary!$B$55)*T572+Summary!$B$55*V572</f>
        <v/>
      </c>
      <c r="P572">
        <f>IF(B589=0,0,O572/B589)</f>
        <v/>
      </c>
      <c r="Q572" t="n">
        <v>0</v>
      </c>
      <c r="R572" t="n">
        <v>0</v>
      </c>
      <c r="S572">
        <f>IFERROR(O572/N572,0)</f>
        <v/>
      </c>
      <c r="T572" t="n">
        <v>0</v>
      </c>
      <c r="V572" t="n">
        <v>0</v>
      </c>
    </row>
    <row r="573">
      <c r="A573">
        <f>Skills!A24</f>
        <v/>
      </c>
      <c r="B573">
        <f>Skills!B24</f>
        <v/>
      </c>
      <c r="C573">
        <f>Inputs!$B$3&gt;=40</f>
        <v/>
      </c>
      <c r="D573">
        <f>IF(Skills!C24=1,60+Inputs!$B$25+Inputs!$B$29,IF(Skills!C24=2,90+Inputs!$B$26+Inputs!$B$29,IF(Skills!C24=3,120+Inputs!$B$27+Inputs!$B$29,MAX(0,(Inputs!$B$3-100)*3)+Inputs!$B$28+Inputs!$B$29)))</f>
        <v/>
      </c>
      <c r="E573">
        <f>INDEX(FactorTable!$B$2:$Y$301, MATCH(ROUND(MIN(300,MAX(1,D573)),0), FactorTable!$A$2:$A$301,0), Skills!M24+1)</f>
        <v/>
      </c>
      <c r="F573">
        <f>IF(Skills!N24=TRUE,(Skills!L24/10)*(E573/1000),Skills!L24/10)+Skills!O24</f>
        <v/>
      </c>
      <c r="G573">
        <f>Skills!G24*IF(Skills!H24&gt;0,Skills!I24/Skills!H24,1)</f>
        <v/>
      </c>
      <c r="H573">
        <f>1-(1-Skills!J24/100)^Skills!K24</f>
        <v/>
      </c>
      <c r="I573" t="inlineStr">
        <is>
          <t>1</t>
        </is>
      </c>
      <c r="J573" t="inlineStr"/>
      <c r="K573" t="inlineStr"/>
      <c r="L573" t="inlineStr"/>
      <c r="M573" t="inlineStr"/>
      <c r="N573" t="inlineStr"/>
      <c r="O573">
        <f>(1-Summary!$B$55)*T573+Summary!$B$55*V573</f>
        <v/>
      </c>
      <c r="P573">
        <f>IF(B589=0,0,O573/B589)</f>
        <v/>
      </c>
      <c r="Q573" t="n">
        <v>0</v>
      </c>
      <c r="R573" t="n">
        <v>0</v>
      </c>
      <c r="S573">
        <f>IFERROR(O573/N573,0)</f>
        <v/>
      </c>
      <c r="T573" t="n">
        <v>0</v>
      </c>
      <c r="V573" t="n">
        <v>0</v>
      </c>
    </row>
    <row r="574">
      <c r="A574">
        <f>Skills!A25</f>
        <v/>
      </c>
      <c r="B574">
        <f>Skills!B25</f>
        <v/>
      </c>
      <c r="C574">
        <f>Inputs!$B$3&gt;=72</f>
        <v/>
      </c>
      <c r="D574">
        <f>IF(Skills!C25=1,60+Inputs!$B$25+Inputs!$B$29,IF(Skills!C25=2,90+Inputs!$B$26+Inputs!$B$29,IF(Skills!C25=3,120+Inputs!$B$27+Inputs!$B$29,MAX(0,(Inputs!$B$3-100)*3)+Inputs!$B$28+Inputs!$B$29)))</f>
        <v/>
      </c>
      <c r="E574">
        <f>INDEX(FactorTable!$B$2:$Y$301, MATCH(ROUND(MIN(300,MAX(1,D574)),0), FactorTable!$A$2:$A$301,0), Skills!M25+1)</f>
        <v/>
      </c>
      <c r="F574">
        <f>IF(Skills!N25=TRUE,(Skills!L25/10)*(E574/1000),Skills!L25/10)+Skills!O25</f>
        <v/>
      </c>
      <c r="G574">
        <f>Skills!G25*IF(Skills!H25&gt;0,Skills!I25/Skills!H25,1)</f>
        <v/>
      </c>
      <c r="H574">
        <f>1-(1-Skills!J25/100)^Skills!K25</f>
        <v/>
      </c>
      <c r="I574" t="inlineStr">
        <is>
          <t>1</t>
        </is>
      </c>
      <c r="J574" t="inlineStr"/>
      <c r="K574" t="inlineStr"/>
      <c r="L574" t="inlineStr"/>
      <c r="M574" t="inlineStr"/>
      <c r="N574" t="inlineStr"/>
      <c r="O574">
        <f>(1-Summary!$B$55)*T574+Summary!$B$55*V574</f>
        <v/>
      </c>
      <c r="P574">
        <f>IF(B589=0,0,O574/B589)</f>
        <v/>
      </c>
      <c r="Q574" t="n">
        <v>0</v>
      </c>
      <c r="R574" t="n">
        <v>0</v>
      </c>
      <c r="S574">
        <f>IFERROR(O574/N574,0)</f>
        <v/>
      </c>
      <c r="T574" t="n">
        <v>0</v>
      </c>
      <c r="V574" t="n">
        <v>0</v>
      </c>
    </row>
    <row r="575">
      <c r="A575">
        <f>Skills!A26</f>
        <v/>
      </c>
      <c r="B575">
        <f>Skills!B26</f>
        <v/>
      </c>
      <c r="C575">
        <f>Inputs!$B$3&gt;=75</f>
        <v/>
      </c>
      <c r="D575">
        <f>IF(Skills!C26=1,60+Inputs!$B$25+Inputs!$B$29,IF(Skills!C26=2,90+Inputs!$B$26+Inputs!$B$29,IF(Skills!C26=3,120+Inputs!$B$27+Inputs!$B$29,MAX(0,(Inputs!$B$3-100)*3)+Inputs!$B$28+Inputs!$B$29)))</f>
        <v/>
      </c>
      <c r="E575">
        <f>INDEX(FactorTable!$B$2:$Y$301, MATCH(ROUND(MIN(300,MAX(1,D575)),0), FactorTable!$A$2:$A$301,0), Skills!M26+1)</f>
        <v/>
      </c>
      <c r="F575">
        <f>IF(Skills!N26=TRUE,(Skills!L26/10)*(E575/1000),Skills!L26/10)+Skills!O26</f>
        <v/>
      </c>
      <c r="G575">
        <f>Skills!G26*IF(Skills!H26&gt;0,Skills!I26/Skills!H26,1)</f>
        <v/>
      </c>
      <c r="H575">
        <f>1-(1-Skills!J26/100)^Skills!K26</f>
        <v/>
      </c>
      <c r="I575" t="inlineStr">
        <is>
          <t>1</t>
        </is>
      </c>
      <c r="J575" t="inlineStr"/>
      <c r="K575" t="inlineStr"/>
      <c r="L575" t="inlineStr"/>
      <c r="M575" t="inlineStr"/>
      <c r="N575" t="inlineStr"/>
      <c r="O575">
        <f>(1-Summary!$B$55)*T575+Summary!$B$55*V575</f>
        <v/>
      </c>
      <c r="P575">
        <f>IF(B589=0,0,O575/B589)</f>
        <v/>
      </c>
      <c r="Q575" t="n">
        <v>0</v>
      </c>
      <c r="R575" t="n">
        <v>0</v>
      </c>
      <c r="S575">
        <f>IFERROR(O575/N575,0)</f>
        <v/>
      </c>
      <c r="T575" t="n">
        <v>0</v>
      </c>
      <c r="V575" t="n">
        <v>0</v>
      </c>
    </row>
    <row r="576">
      <c r="A576">
        <f>Skills!A27</f>
        <v/>
      </c>
      <c r="B576">
        <f>Skills!B27</f>
        <v/>
      </c>
      <c r="C576">
        <f>Inputs!$B$3&gt;=117</f>
        <v/>
      </c>
      <c r="D576">
        <f>IF(Skills!C27=1,60+Inputs!$B$25+Inputs!$B$29,IF(Skills!C27=2,90+Inputs!$B$26+Inputs!$B$29,IF(Skills!C27=3,120+Inputs!$B$27+Inputs!$B$29,MAX(0,(Inputs!$B$3-100)*3)+Inputs!$B$28+Inputs!$B$29)))</f>
        <v/>
      </c>
      <c r="E576">
        <f>INDEX(FactorTable!$B$2:$Y$301, MATCH(ROUND(MIN(300,MAX(1,D576)),0), FactorTable!$A$2:$A$301,0), Skills!M27+1)</f>
        <v/>
      </c>
      <c r="F576">
        <f>IF(Skills!N27=TRUE,(Skills!L27/10)*(E576/1000),Skills!L27/10)+Skills!O27</f>
        <v/>
      </c>
      <c r="G576">
        <f>Skills!G27*IF(Skills!H27&gt;0,Skills!I27/Skills!H27,1)</f>
        <v/>
      </c>
      <c r="H576">
        <f>1-(1-Skills!J27/100)^Skills!K27</f>
        <v/>
      </c>
      <c r="I576" t="inlineStr">
        <is>
          <t>1</t>
        </is>
      </c>
      <c r="J576" t="inlineStr"/>
      <c r="K576" t="inlineStr"/>
      <c r="L576" t="inlineStr"/>
      <c r="M576" t="inlineStr"/>
      <c r="N576" t="inlineStr"/>
      <c r="O576">
        <f>(1-Summary!$B$55)*T576+Summary!$B$55*V576</f>
        <v/>
      </c>
      <c r="P576">
        <f>IF(B589=0,0,O576/B589)</f>
        <v/>
      </c>
      <c r="Q576" t="n">
        <v>0</v>
      </c>
      <c r="R576" t="n">
        <v>0</v>
      </c>
      <c r="S576">
        <f>IFERROR(O576/N576,0)</f>
        <v/>
      </c>
      <c r="T576" t="n">
        <v>0</v>
      </c>
      <c r="V576" t="n">
        <v>0</v>
      </c>
    </row>
    <row r="578">
      <c r="A578" t="inlineStr">
        <is>
          <t>Attack% Bucket Multiplier</t>
        </is>
      </c>
      <c r="B578">
        <f>(1+(((C566=TRUE)*F566)+((C573=TRUE)*(F573-Calc!F24)))/100)</f>
        <v/>
      </c>
    </row>
    <row r="579">
      <c r="A579" t="inlineStr">
        <is>
          <t>Global Crit Rate Bonus %</t>
        </is>
      </c>
      <c r="B579" t="n">
        <v>0</v>
      </c>
    </row>
    <row r="580">
      <c r="A580" t="inlineStr">
        <is>
          <t>Attack Speed Buff Bonus % (unused)</t>
        </is>
      </c>
      <c r="B580" t="n">
        <v>0</v>
      </c>
    </row>
    <row r="581">
      <c r="A581" t="inlineStr">
        <is>
          <t>Actions Per Second</t>
        </is>
      </c>
      <c r="B581">
        <f>1+MIN(150,150*(1-(1-(((1-(1-Inputs!$B$11/150)*(1-1/150))*150)+((C569=TRUE)*(F569-Calc!F20))+((C570=TRUE)*(F570-Calc!F21)))/150)*(1-B580/150)))/100</f>
        <v/>
      </c>
    </row>
    <row r="582">
      <c r="A582" t="inlineStr">
        <is>
          <t>Skill + Buff Cast Rate</t>
        </is>
      </c>
      <c r="B582">
        <f>IF(AND(Inputs!$B$38&lt;&gt;"pvp",Inputs!$B$43&gt;0),SUMPRODUCT((Skills!E2:E27=TRUE)*(C551:C576=TRUE)*R551:R576*Skills!F2:F27)/Inputs!$B$43,SUMPRODUCT((Skills!E2:E27=TRUE)*(C551:C576=TRUE)*Q551:Q576*Skills!F2:F27))</f>
        <v/>
      </c>
    </row>
    <row r="583">
      <c r="A583" t="inlineStr">
        <is>
          <t>Eight-Legs Easton Casts Per Second</t>
        </is>
      </c>
      <c r="B583">
        <f>MAX(0,B581-B582)</f>
        <v/>
      </c>
    </row>
    <row r="584">
      <c r="A584" t="inlineStr">
        <is>
          <t>Global Critical Damage Bonus % (unused)</t>
        </is>
      </c>
      <c r="B584" t="n">
        <v>0</v>
      </c>
    </row>
    <row r="585">
      <c r="A585" t="inlineStr">
        <is>
          <t>Global Final Damage Bonus % (Jolly Roger only)</t>
        </is>
      </c>
      <c r="B585">
        <f>((C567=TRUE)*F567)</f>
        <v/>
      </c>
    </row>
    <row r="586">
      <c r="A586" t="inlineStr">
        <is>
          <t>Buff-Casting Startup Delay (s, fixed-duration only)</t>
        </is>
      </c>
      <c r="B586">
        <f>IF(AND(Inputs!$B$38&lt;&gt;"pvp",Inputs!$B$43&gt;0),SUMPRODUCT((Skills!T2:T27&gt;0)*(Skills!E2:E27=TRUE)*(C551:C576=TRUE))/B581,0)</f>
        <v/>
      </c>
    </row>
    <row r="587">
      <c r="A587" t="inlineStr">
        <is>
          <t>Boss-Only Total DPS (this block's swept value)</t>
        </is>
      </c>
      <c r="B587">
        <f>SUM(T551:T576)</f>
        <v/>
      </c>
    </row>
    <row r="588">
      <c r="A588" t="inlineStr">
        <is>
          <t>Normal-Only Total DPS (this block's swept value)</t>
        </is>
      </c>
      <c r="B588">
        <f>SUM(V551:V576)</f>
        <v/>
      </c>
    </row>
    <row r="589">
      <c r="A589" s="5" t="inlineStr">
        <is>
          <t>TOTAL DPS</t>
        </is>
      </c>
      <c r="B589" s="5">
        <f>SUM(O551:O576)</f>
        <v/>
      </c>
    </row>
    <row r="592">
      <c r="A592" s="5" t="inlineStr">
        <is>
          <t>Stat: DEF_PEN % (diminishing returns, factor 100)</t>
        </is>
      </c>
    </row>
    <row r="593">
      <c r="A593" s="9" t="inlineStr">
        <is>
          <t>Key</t>
        </is>
      </c>
      <c r="B593" s="9" t="inlineStr">
        <is>
          <t>Name</t>
        </is>
      </c>
      <c r="C593" s="9" t="inlineStr">
        <is>
          <t>Unlocked</t>
        </is>
      </c>
      <c r="D593" s="9" t="inlineStr">
        <is>
          <t>InputLevel</t>
        </is>
      </c>
      <c r="E593" s="9" t="inlineStr">
        <is>
          <t>Factor</t>
        </is>
      </c>
      <c r="F593" s="9" t="inlineStr">
        <is>
          <t>CoefficientPercent</t>
        </is>
      </c>
      <c r="G593" s="9" t="inlineStr">
        <is>
          <t>EffectiveHits</t>
        </is>
      </c>
      <c r="H593" s="9" t="inlineStr">
        <is>
          <t>ProcProbability</t>
        </is>
      </c>
      <c r="I593" s="9" t="inlineStr">
        <is>
          <t>MapleHeroMultiplier</t>
        </is>
      </c>
      <c r="J593" s="9" t="inlineStr">
        <is>
          <t>BaseDamage</t>
        </is>
      </c>
      <c r="K593" s="9" t="inlineStr">
        <is>
          <t>BaseHitDamage</t>
        </is>
      </c>
      <c r="L593" s="9" t="inlineStr">
        <is>
          <t>NonCritAvg</t>
        </is>
      </c>
      <c r="M593" s="9" t="inlineStr">
        <is>
          <t>CritAvg</t>
        </is>
      </c>
      <c r="N593" s="9" t="inlineStr">
        <is>
          <t>ExpectedDamage(perHit)</t>
        </is>
      </c>
      <c r="O593" s="9" t="inlineStr">
        <is>
          <t>DPS</t>
        </is>
      </c>
      <c r="P593" s="9" t="inlineStr">
        <is>
          <t>% of Total</t>
        </is>
      </c>
      <c r="Q593" s="9" t="inlineStr">
        <is>
          <t>InvCooldown</t>
        </is>
      </c>
      <c r="R593" s="9" t="inlineStr">
        <is>
          <t>CastsInFight</t>
        </is>
      </c>
      <c r="S593" s="9" t="inlineStr">
        <is>
          <t>HitRate(perSec)</t>
        </is>
      </c>
      <c r="U593" t="inlineStr">
        <is>
          <t>helpers</t>
        </is>
      </c>
    </row>
    <row r="594">
      <c r="A594">
        <f>Skills!A2</f>
        <v/>
      </c>
      <c r="B594">
        <f>Skills!B2</f>
        <v/>
      </c>
      <c r="C594">
        <f>Inputs!$B$3&gt;=100</f>
        <v/>
      </c>
      <c r="D594" t="inlineStr"/>
      <c r="E594" t="inlineStr"/>
      <c r="F594">
        <f>U596+Skills!O2</f>
        <v/>
      </c>
      <c r="G594">
        <f>Skills!G2*IF(Skills!H2&gt;0,Skills!I2/Skills!H2,1)</f>
        <v/>
      </c>
      <c r="H594">
        <f>1-(1-Skills!J2/100)^Skills!K2</f>
        <v/>
      </c>
      <c r="I594" t="inlineStr">
        <is>
          <t>1</t>
        </is>
      </c>
      <c r="J594">
        <f>((Inputs!$B$6*(1+Inputs!$B$7/100))+(((Inputs!$B$12*(1+Inputs!$B$13/100))-(Inputs!$B$12*(1+Inputs!$B$13/100)))+0.25*(Inputs!$B$14-Inputs!$B$14))*(1+Inputs!$B$7/100))*(F594/100)</f>
        <v/>
      </c>
      <c r="K594">
        <f>J594*(1+((Inputs!$B$12*(1+Inputs!$B$13/100))*0.01+Inputs!$B$14*0.0025)/100)*(1+Inputs!$B$15/100)*(1+Inputs!$B$16/100)*(5000/(6000+Inputs!$B$42*(1-(((1-(1-Inputs!$B$19/100)*(1-1/100))*100)+0)/100)))*(1+(Inputs!$B$24+((C618=TRUE)*(F618-Calc!F26))+B628)/100)*(1+(IF(Skills!A2="EIGHT_LEGS_EASTON",Inputs!$B$17+((C615=TRUE)*(F615-Calc!F23))+((C619=TRUE)*(F619-Calc!F27)),Inputs!$B$18+0))/100)*((1+(((C609=TRUE)*F609)+((C616=TRUE)*(F616-Calc!F24)))/100)*I594)</f>
        <v/>
      </c>
      <c r="L594">
        <f>K594*(MIN(Inputs!$B$22+((C614=TRUE)*(F614-Calc!F22)),Inputs!$B$23+0)/100+(Inputs!$B$23+0)/100)/2</f>
        <v/>
      </c>
      <c r="M594">
        <f>L594*(1+(Inputs!$B$10+((C617=TRUE)*(F617-Calc!F25))+B627)/100)</f>
        <v/>
      </c>
      <c r="N594">
        <f>L594*(1-MIN((Inputs!$B$9+((C611=TRUE)*(F611-Calc!F19))+B622),100)/100)+M594*(MIN((Inputs!$B$9+((C611=TRUE)*(F611-Calc!F19))+B622),100)/100)</f>
        <v/>
      </c>
      <c r="O594">
        <f>(1-Summary!$B$55)*T594+Summary!$B$55*V594</f>
        <v/>
      </c>
      <c r="P594">
        <f>IF(B632=0,0,O594/B632)</f>
        <v/>
      </c>
      <c r="Q594" t="n">
        <v>0</v>
      </c>
      <c r="R594" t="n">
        <v>0</v>
      </c>
      <c r="S594">
        <f>IFERROR(O594/N594,0)</f>
        <v/>
      </c>
      <c r="T594">
        <f>IF(C594,(Skills!G2*N594*B626)*IF(Inputs!$B$38="pvp",1,1+(Inputs!$B$20+0+Skills!P2)/100),0)</f>
        <v/>
      </c>
      <c r="U594">
        <f>MAX(0,(Inputs!$B$3-100)*3)+Inputs!$B$28+Inputs!$B$29</f>
        <v/>
      </c>
      <c r="V594">
        <f>IF(C594,(Skills!G2*N594*B626)*IF(Inputs!$B$38="pvp",1,(1+(Inputs!$B$21+Skills!Q2)/100)*(MIN((6+Inputs!$B$33),Inputs!$B$37))),0)</f>
        <v/>
      </c>
    </row>
    <row r="595">
      <c r="A595">
        <f>Skills!A3</f>
        <v/>
      </c>
      <c r="B595">
        <f>Skills!B3</f>
        <v/>
      </c>
      <c r="C595">
        <f>Inputs!$B$3&gt;=35</f>
        <v/>
      </c>
      <c r="D595">
        <f>IF(Skills!C3=1,60+Inputs!$B$25+Inputs!$B$29,IF(Skills!C3=2,90+Inputs!$B$26+Inputs!$B$29,IF(Skills!C3=3,120+Inputs!$B$27+Inputs!$B$29,MAX(0,(Inputs!$B$3-100)*3)+Inputs!$B$28+Inputs!$B$29)))</f>
        <v/>
      </c>
      <c r="E595">
        <f>INDEX(FactorTable!$B$2:$Y$301, MATCH(ROUND(MIN(300,MAX(1,D595)),0), FactorTable!$A$2:$A$301,0), Skills!M3+1)</f>
        <v/>
      </c>
      <c r="F595">
        <f>IF(Skills!N3=TRUE,(Skills!L3/10)*(E595/1000),Skills!L3/10)+Skills!O3</f>
        <v/>
      </c>
      <c r="G595">
        <f>Skills!G3*IF(Skills!H3&gt;0,Skills!I3/Skills!H3,1)</f>
        <v/>
      </c>
      <c r="H595">
        <f>1-(1-Skills!J3/100)^Skills!K3</f>
        <v/>
      </c>
      <c r="I595" t="inlineStr">
        <is>
          <t>1</t>
        </is>
      </c>
      <c r="J595">
        <f>((Inputs!$B$6*(1+Inputs!$B$7/100))+(((Inputs!$B$12*(1+Inputs!$B$13/100))-(Inputs!$B$12*(1+Inputs!$B$13/100)))+0.25*(Inputs!$B$14-Inputs!$B$14))*(1+Inputs!$B$7/100))*(F595/100)</f>
        <v/>
      </c>
      <c r="K595">
        <f>J595*(1+((Inputs!$B$12*(1+Inputs!$B$13/100))*0.01+Inputs!$B$14*0.0025)/100)*(1+Inputs!$B$15/100)*(1+Inputs!$B$16/100)*(5000/(6000+Inputs!$B$42*(1-(((1-(1-Inputs!$B$19/100)*(1-1/100))*100)+0)/100)))*(1+(Inputs!$B$24+((C618=TRUE)*(F618-Calc!F26))+B628)/100)*(1+4.0*IF(C607=TRUE,F607,0)/100)*(1+(IF(Skills!A3="EIGHT_LEGS_EASTON",Inputs!$B$17+((C615=TRUE)*(F615-Calc!F23))+((C619=TRUE)*(F619-Calc!F27)),Inputs!$B$18+0))/100)*((1+(((C609=TRUE)*F609)+((C616=TRUE)*(F616-Calc!F24)))/100)*I595)</f>
        <v/>
      </c>
      <c r="L595">
        <f>K595*(MIN(Inputs!$B$22+((C614=TRUE)*(F614-Calc!F22)),Inputs!$B$23+0)/100+(Inputs!$B$23+0)/100)/2</f>
        <v/>
      </c>
      <c r="M595">
        <f>L595*(1+(Inputs!$B$10+((C617=TRUE)*(F617-Calc!F25))+B627)/100)</f>
        <v/>
      </c>
      <c r="N595">
        <f>L595*(1-MIN((Inputs!$B$9+((C611=TRUE)*(F611-Calc!F19))+B622),100)/100)+M595*(MIN((Inputs!$B$9+((C611=TRUE)*(F611-Calc!F19))+B622),100)/100)</f>
        <v/>
      </c>
      <c r="O595">
        <f>(1-Summary!$B$55)*T595+Summary!$B$55*V595</f>
        <v/>
      </c>
      <c r="P595">
        <f>IF(B632=0,0,O595/B632)</f>
        <v/>
      </c>
      <c r="Q595">
        <f>IFERROR(1/IF(Inputs!$B$38="pvp",15,MAX(0.1,Skills!D3-IF(Skills!E3=TRUE,Inputs!$B$32,0))),0)</f>
        <v/>
      </c>
      <c r="R595">
        <f>IF(AND(Inputs!$B$38&lt;&gt;"pvp",Inputs!$B$43&gt;0),IF(MAX(0,Inputs!$B$43-B629)&lt;=0,0,(INT(MAX(0,Inputs!$B$43-B629)/IF(Inputs!$B$38="pvp",15,MAX(0.1,Skills!D3-IF(Skills!E3=TRUE,Inputs!$B$32,0))))+1)),0)</f>
        <v/>
      </c>
      <c r="S595">
        <f>IFERROR(O595/N595,0)</f>
        <v/>
      </c>
      <c r="T595">
        <f>IF(C595,(H595*N595*IF(AND(Inputs!$B$38&lt;&gt;"pvp",Inputs!$B$43&gt;0),((Skills!G3*((R595-1)*IF(Skills!H3&gt;0,Skills!I3/Skills!H3,1)+IF(Skills!H3&gt;0,MIN(Skills!I3,MAX(0,MAX(0,Inputs!$B$43-B629)-((R595-1)*IF(Inputs!$B$38="pvp",15,MAX(0.1,Skills!D3-IF(Skills!E3=TRUE,Inputs!$B$32,0))))))/Skills!H3,1)))/Inputs!$B$43),G595*Q595))*IF(Inputs!$B$38="pvp",1,1+(Inputs!$B$20+0+Skills!P3)/100),0)</f>
        <v/>
      </c>
      <c r="U595">
        <f>INDEX(FactorTable!$B$2:$Y$301, MATCH(ROUND(MIN(300,MAX(1,U594)),0), FactorTable!$A$2:$A$301,0), 22)</f>
        <v/>
      </c>
      <c r="V595">
        <f>IF(C595,(H595*N595*IF(AND(Inputs!$B$38&lt;&gt;"pvp",Inputs!$B$43&gt;0),((Skills!G3*((R595-1)*IF(Skills!H3&gt;0,Skills!I3/Skills!H3,1)+IF(Skills!H3&gt;0,MIN(Skills!I3,MAX(0,MAX(0,Inputs!$B$43-B629)-((R595-1)*IF(Inputs!$B$38="pvp",15,MAX(0.1,Skills!D3-IF(Skills!E3=TRUE,Inputs!$B$32,0))))))/Skills!H3,1)))/Inputs!$B$43),G595*Q595))*IF(Inputs!$B$38="pvp",1,(1+(Inputs!$B$21+Skills!Q3)/100)*(MIN(Skills!R3,Inputs!$B$37))),0)</f>
        <v/>
      </c>
    </row>
    <row r="596">
      <c r="A596">
        <f>Skills!A4</f>
        <v/>
      </c>
      <c r="B596">
        <f>Skills!B4</f>
        <v/>
      </c>
      <c r="C596">
        <f>Inputs!$B$3&gt;=40</f>
        <v/>
      </c>
      <c r="D596">
        <f>IF(Skills!C4=1,60+Inputs!$B$25+Inputs!$B$29,IF(Skills!C4=2,90+Inputs!$B$26+Inputs!$B$29,IF(Skills!C4=3,120+Inputs!$B$27+Inputs!$B$29,MAX(0,(Inputs!$B$3-100)*3)+Inputs!$B$28+Inputs!$B$29)))</f>
        <v/>
      </c>
      <c r="E596">
        <f>INDEX(FactorTable!$B$2:$Y$301, MATCH(ROUND(MIN(300,MAX(1,D596)),0), FactorTable!$A$2:$A$301,0), Skills!M4+1)</f>
        <v/>
      </c>
      <c r="F596">
        <f>IF(Skills!N4=TRUE,(Skills!L4/10)*(E596/1000),Skills!L4/10)+Skills!O4</f>
        <v/>
      </c>
      <c r="G596">
        <f>Skills!G4*IF(Skills!H4&gt;0,Skills!I4/Skills!H4,1)</f>
        <v/>
      </c>
      <c r="H596">
        <f>1-(1-Skills!J4/100)^Skills!K4</f>
        <v/>
      </c>
      <c r="I596" t="inlineStr">
        <is>
          <t>1</t>
        </is>
      </c>
      <c r="J596">
        <f>((Inputs!$B$6*(1+Inputs!$B$7/100))+(((Inputs!$B$12*(1+Inputs!$B$13/100))-(Inputs!$B$12*(1+Inputs!$B$13/100)))+0.25*(Inputs!$B$14-Inputs!$B$14))*(1+Inputs!$B$7/100))*(F596/100)</f>
        <v/>
      </c>
      <c r="K596">
        <f>J596*(1+((Inputs!$B$12*(1+Inputs!$B$13/100))*0.01+Inputs!$B$14*0.0025)/100)*(1+Inputs!$B$15/100)*(1+Inputs!$B$16/100)*(5000/(6000+Inputs!$B$42*(1-(((1-(1-Inputs!$B$19/100)*(1-1/100))*100)+0)/100)))*(1+(Inputs!$B$24+((C618=TRUE)*(F618-Calc!F26))+B628)/100)*(1+1.0*IF(C608=TRUE,F608,0)/100)*(1+(IF(Skills!A4="EIGHT_LEGS_EASTON",Inputs!$B$17+((C615=TRUE)*(F615-Calc!F23))+((C619=TRUE)*(F619-Calc!F27)),Inputs!$B$18+0))/100)*((1+(((C609=TRUE)*F609)+((C616=TRUE)*(F616-Calc!F24)))/100)*I596)</f>
        <v/>
      </c>
      <c r="L596">
        <f>K596*(MIN(Inputs!$B$22+((C614=TRUE)*(F614-Calc!F22)),Inputs!$B$23+0)/100+(Inputs!$B$23+0)/100)/2</f>
        <v/>
      </c>
      <c r="M596">
        <f>L596*(1+(Inputs!$B$10+((C617=TRUE)*(F617-Calc!F25))+B627)/100)</f>
        <v/>
      </c>
      <c r="N596">
        <f>L596*(1-MIN((Inputs!$B$9+((C611=TRUE)*(F611-Calc!F19))+B622),100)/100)+M596*(MIN((Inputs!$B$9+((C611=TRUE)*(F611-Calc!F19))+B622),100)/100)</f>
        <v/>
      </c>
      <c r="O596">
        <f>(1-Summary!$B$55)*T596+Summary!$B$55*V596</f>
        <v/>
      </c>
      <c r="P596">
        <f>IF(B632=0,0,O596/B632)</f>
        <v/>
      </c>
      <c r="Q596">
        <f>IFERROR(1/IF(Inputs!$B$38="pvp",15,MAX(0.1,Skills!D4-IF(Skills!E4=TRUE,Inputs!$B$32,0))),0)</f>
        <v/>
      </c>
      <c r="R596">
        <f>IF(AND(Inputs!$B$38&lt;&gt;"pvp",Inputs!$B$43&gt;0),IF(MAX(0,Inputs!$B$43-B629)&lt;=0,0,(INT(MAX(0,Inputs!$B$43-B629)/IF(Inputs!$B$38="pvp",15,MAX(0.1,Skills!D4-IF(Skills!E4=TRUE,Inputs!$B$32,0))))+1)),0)</f>
        <v/>
      </c>
      <c r="S596">
        <f>IFERROR(O596/N596,0)</f>
        <v/>
      </c>
      <c r="T596">
        <f>IF(C596,(H596*N596*IF(AND(Inputs!$B$38&lt;&gt;"pvp",Inputs!$B$43&gt;0),((Skills!G4*((R596-1)*IF(Skills!H4&gt;0,Skills!I4/Skills!H4,1)+IF(Skills!H4&gt;0,MIN(Skills!I4,MAX(0,MAX(0,Inputs!$B$43-B629)-((R596-1)*IF(Inputs!$B$38="pvp",15,MAX(0.1,Skills!D4-IF(Skills!E4=TRUE,Inputs!$B$32,0))))))/Skills!H4,1)))/Inputs!$B$43),G596*Q596))*IF(Inputs!$B$38="pvp",1,1+(Inputs!$B$20+0+Skills!P4)/100),0)</f>
        <v/>
      </c>
      <c r="U596">
        <f>290*U595/1000</f>
        <v/>
      </c>
      <c r="V596">
        <f>IF(C596,(H596*N596*IF(AND(Inputs!$B$38&lt;&gt;"pvp",Inputs!$B$43&gt;0),((Skills!G4*((R596-1)*IF(Skills!H4&gt;0,Skills!I4/Skills!H4,1)+IF(Skills!H4&gt;0,MIN(Skills!I4,MAX(0,MAX(0,Inputs!$B$43-B629)-((R596-1)*IF(Inputs!$B$38="pvp",15,MAX(0.1,Skills!D4-IF(Skills!E4=TRUE,Inputs!$B$32,0))))))/Skills!H4,1)))/Inputs!$B$43),G596*Q596))*IF(Inputs!$B$38="pvp",1,(1+(Inputs!$B$21+Skills!Q4)/100)*(MIN(Skills!R4,Inputs!$B$37))),0)</f>
        <v/>
      </c>
    </row>
    <row r="597">
      <c r="A597">
        <f>Skills!A5</f>
        <v/>
      </c>
      <c r="B597">
        <f>Skills!B5</f>
        <v/>
      </c>
      <c r="C597">
        <f>Inputs!$B$3&gt;=45</f>
        <v/>
      </c>
      <c r="D597">
        <f>IF(Skills!C5=1,60+Inputs!$B$25+Inputs!$B$29,IF(Skills!C5=2,90+Inputs!$B$26+Inputs!$B$29,IF(Skills!C5=3,120+Inputs!$B$27+Inputs!$B$29,MAX(0,(Inputs!$B$3-100)*3)+Inputs!$B$28+Inputs!$B$29)))</f>
        <v/>
      </c>
      <c r="E597">
        <f>INDEX(FactorTable!$B$2:$Y$301, MATCH(ROUND(MIN(300,MAX(1,D597)),0), FactorTable!$A$2:$A$301,0), Skills!M5+1)</f>
        <v/>
      </c>
      <c r="F597">
        <f>IF(Skills!N5=TRUE,(Skills!L5/10)*(E597/1000),Skills!L5/10)+Skills!O5</f>
        <v/>
      </c>
      <c r="G597">
        <f>Skills!G5*IF(Skills!H5&gt;0,Skills!I5/Skills!H5,1)</f>
        <v/>
      </c>
      <c r="H597">
        <f>1-(1-Skills!J5/100)^Skills!K5</f>
        <v/>
      </c>
      <c r="I597" t="inlineStr">
        <is>
          <t>1</t>
        </is>
      </c>
      <c r="J597">
        <f>((Inputs!$B$6*(1+Inputs!$B$7/100))+(((Inputs!$B$12*(1+Inputs!$B$13/100))-(Inputs!$B$12*(1+Inputs!$B$13/100)))+0.25*(Inputs!$B$14-Inputs!$B$14))*(1+Inputs!$B$7/100))*(F597/100)</f>
        <v/>
      </c>
      <c r="K597">
        <f>J597*(1+((Inputs!$B$12*(1+Inputs!$B$13/100))*0.01+Inputs!$B$14*0.0025)/100)*(1+Inputs!$B$15/100)*(1+Inputs!$B$16/100)*(5000/(6000+Inputs!$B$42*(1-(((1-(1-Inputs!$B$19/100)*(1-1/100))*100)+0)/100)))*(1+(Inputs!$B$24+((C618=TRUE)*(F618-Calc!F26))+B628)/100)*(1+0.4*IF(C608=TRUE,F608,0)/100)*(1+(IF(Skills!A5="EIGHT_LEGS_EASTON",Inputs!$B$17+((C615=TRUE)*(F615-Calc!F23))+((C619=TRUE)*(F619-Calc!F27)),Inputs!$B$18+0))/100)*((1+(((C609=TRUE)*F609)+((C616=TRUE)*(F616-Calc!F24)))/100)*I597)</f>
        <v/>
      </c>
      <c r="L597">
        <f>K597*(MIN(Inputs!$B$22+((C614=TRUE)*(F614-Calc!F22)),Inputs!$B$23+0)/100+(Inputs!$B$23+0)/100)/2</f>
        <v/>
      </c>
      <c r="M597">
        <f>L597*(1+(Inputs!$B$10+((C617=TRUE)*(F617-Calc!F25))+B627)/100)</f>
        <v/>
      </c>
      <c r="N597">
        <f>L597*(1-MIN((Inputs!$B$9+((C611=TRUE)*(F611-Calc!F19))+B622),100)/100)+M597*(MIN((Inputs!$B$9+((C611=TRUE)*(F611-Calc!F19))+B622),100)/100)</f>
        <v/>
      </c>
      <c r="O597">
        <f>(1-Summary!$B$55)*T597+Summary!$B$55*V597</f>
        <v/>
      </c>
      <c r="P597">
        <f>IF(B632=0,0,O597/B632)</f>
        <v/>
      </c>
      <c r="Q597">
        <f>IFERROR(1/IF(Inputs!$B$38="pvp",15,MAX(0.1,Skills!D5-IF(Skills!E5=TRUE,Inputs!$B$32,0))),0)</f>
        <v/>
      </c>
      <c r="R597">
        <f>IF(AND(Inputs!$B$38&lt;&gt;"pvp",Inputs!$B$43&gt;0),IF(MAX(0,Inputs!$B$43-B629)&lt;=0,0,(INT(MAX(0,Inputs!$B$43-B629)/IF(Inputs!$B$38="pvp",15,MAX(0.1,Skills!D5-IF(Skills!E5=TRUE,Inputs!$B$32,0))))+1)),0)</f>
        <v/>
      </c>
      <c r="S597">
        <f>IFERROR(O597/N597,0)</f>
        <v/>
      </c>
      <c r="T597">
        <f>IF(C597,(H597*N597*IF(AND(Inputs!$B$38&lt;&gt;"pvp",Inputs!$B$43&gt;0),((Skills!G5*((R597-1)*IF(Skills!H5&gt;0,Skills!I5/Skills!H5,1)+IF(Skills!H5&gt;0,MIN(Skills!I5,MAX(0,MAX(0,Inputs!$B$43-B629)-((R597-1)*IF(Inputs!$B$38="pvp",15,MAX(0.1,Skills!D5-IF(Skills!E5=TRUE,Inputs!$B$32,0))))))/Skills!H5,1)))/Inputs!$B$43),G597*Q597))*IF(Inputs!$B$38="pvp",1,1+(Inputs!$B$20+0+Skills!P5)/100),0)</f>
        <v/>
      </c>
      <c r="V597">
        <f>IF(C597,(H597*N597*IF(AND(Inputs!$B$38&lt;&gt;"pvp",Inputs!$B$43&gt;0),((Skills!G5*((R597-1)*IF(Skills!H5&gt;0,Skills!I5/Skills!H5,1)+IF(Skills!H5&gt;0,MIN(Skills!I5,MAX(0,MAX(0,Inputs!$B$43-B629)-((R597-1)*IF(Inputs!$B$38="pvp",15,MAX(0.1,Skills!D5-IF(Skills!E5=TRUE,Inputs!$B$32,0))))))/Skills!H5,1)))/Inputs!$B$43),G597*Q597))*IF(Inputs!$B$38="pvp",1,(1+(Inputs!$B$21+Skills!Q5)/100)*(MIN(Skills!R5,Inputs!$B$37))),0)</f>
        <v/>
      </c>
    </row>
    <row r="598">
      <c r="A598">
        <f>Skills!A6</f>
        <v/>
      </c>
      <c r="B598">
        <f>Skills!B6</f>
        <v/>
      </c>
      <c r="C598">
        <f>Inputs!$B$3&gt;=63</f>
        <v/>
      </c>
      <c r="D598">
        <f>IF(Skills!C6=1,60+Inputs!$B$25+Inputs!$B$29,IF(Skills!C6=2,90+Inputs!$B$26+Inputs!$B$29,IF(Skills!C6=3,120+Inputs!$B$27+Inputs!$B$29,MAX(0,(Inputs!$B$3-100)*3)+Inputs!$B$28+Inputs!$B$29)))</f>
        <v/>
      </c>
      <c r="E598">
        <f>INDEX(FactorTable!$B$2:$Y$301, MATCH(ROUND(MIN(300,MAX(1,D598)),0), FactorTable!$A$2:$A$301,0), Skills!M6+1)</f>
        <v/>
      </c>
      <c r="F598">
        <f>IF(Skills!N6=TRUE,(Skills!L6/10)*(E598/1000),Skills!L6/10)+Skills!O6</f>
        <v/>
      </c>
      <c r="G598">
        <f>Skills!G6*IF(Skills!H6&gt;0,Skills!I6/Skills!H6,1)</f>
        <v/>
      </c>
      <c r="H598">
        <f>1-(1-Skills!J6/100)^Skills!K6</f>
        <v/>
      </c>
      <c r="I598" t="inlineStr">
        <is>
          <t>1</t>
        </is>
      </c>
      <c r="J598">
        <f>((Inputs!$B$6*(1+Inputs!$B$7/100))+(((Inputs!$B$12*(1+Inputs!$B$13/100))-(Inputs!$B$12*(1+Inputs!$B$13/100)))+0.25*(Inputs!$B$14-Inputs!$B$14))*(1+Inputs!$B$7/100))*(F598/100)</f>
        <v/>
      </c>
      <c r="K598">
        <f>J598*(1+((Inputs!$B$12*(1+Inputs!$B$13/100))*0.01+Inputs!$B$14*0.0025)/100)*(1+Inputs!$B$15/100)*(1+Inputs!$B$16/100)*(5000/(6000+Inputs!$B$42*(1-(((1-(1-Inputs!$B$19/100)*(1-1/100))*100)+0)/100)))*(1+(Inputs!$B$24+((C618=TRUE)*(F618-Calc!F26))+B628)/100)*(1+2.0*IF(C607=TRUE,F607,0)/100)*(1+(IF(Skills!A6="EIGHT_LEGS_EASTON",Inputs!$B$17+((C615=TRUE)*(F615-Calc!F23))+((C619=TRUE)*(F619-Calc!F27)),Inputs!$B$18+0))/100)*((1+(((C609=TRUE)*F609)+((C616=TRUE)*(F616-Calc!F24)))/100)*I598)</f>
        <v/>
      </c>
      <c r="L598">
        <f>K598*(MIN(Inputs!$B$22+((C614=TRUE)*(F614-Calc!F22)),Inputs!$B$23+0)/100+(Inputs!$B$23+0)/100)/2</f>
        <v/>
      </c>
      <c r="M598">
        <f>L598*(1+(Inputs!$B$10+((C617=TRUE)*(F617-Calc!F25))+B627)/100)</f>
        <v/>
      </c>
      <c r="N598">
        <f>L598*(1-MIN((Inputs!$B$9+((C611=TRUE)*(F611-Calc!F19))+B622),100)/100)+M598*(MIN((Inputs!$B$9+((C611=TRUE)*(F611-Calc!F19))+B622),100)/100)</f>
        <v/>
      </c>
      <c r="O598">
        <f>(1-Summary!$B$55)*T598+Summary!$B$55*V598</f>
        <v/>
      </c>
      <c r="P598">
        <f>IF(B632=0,0,O598/B632)</f>
        <v/>
      </c>
      <c r="Q598">
        <f>IFERROR(1/IF(Inputs!$B$38="pvp",15,MAX(0.1,Skills!D6-IF(Skills!E6=TRUE,Inputs!$B$32,0))),0)</f>
        <v/>
      </c>
      <c r="R598">
        <f>IF(AND(Inputs!$B$38&lt;&gt;"pvp",Inputs!$B$43&gt;0),IF(MAX(0,Inputs!$B$43-B629)&lt;=0,0,(INT(MAX(0,Inputs!$B$43-B629)/IF(Inputs!$B$38="pvp",15,MAX(0.1,Skills!D6-IF(Skills!E6=TRUE,Inputs!$B$32,0))))+1)),0)</f>
        <v/>
      </c>
      <c r="S598">
        <f>IFERROR(O598/N598,0)</f>
        <v/>
      </c>
      <c r="T598">
        <f>IF(C598,(H598*N598*IF(AND(Inputs!$B$38&lt;&gt;"pvp",Inputs!$B$43&gt;0),((Skills!G6*((R598-1)*IF(Skills!H6&gt;0,Skills!I6/Skills!H6,1)+IF(Skills!H6&gt;0,MIN(Skills!I6,MAX(0,MAX(0,Inputs!$B$43-B629)-((R598-1)*IF(Inputs!$B$38="pvp",15,MAX(0.1,Skills!D6-IF(Skills!E6=TRUE,Inputs!$B$32,0))))))/Skills!H6,1)))/Inputs!$B$43),G598*Q598))*IF(Inputs!$B$38="pvp",1,1+(Inputs!$B$20+0+Skills!P6)/100),0)</f>
        <v/>
      </c>
      <c r="V598">
        <f>IF(C598,(H598*N598*IF(AND(Inputs!$B$38&lt;&gt;"pvp",Inputs!$B$43&gt;0),((Skills!G6*((R598-1)*IF(Skills!H6&gt;0,Skills!I6/Skills!H6,1)+IF(Skills!H6&gt;0,MIN(Skills!I6,MAX(0,MAX(0,Inputs!$B$43-B629)-((R598-1)*IF(Inputs!$B$38="pvp",15,MAX(0.1,Skills!D6-IF(Skills!E6=TRUE,Inputs!$B$32,0))))))/Skills!H6,1)))/Inputs!$B$43),G598*Q598))*IF(Inputs!$B$38="pvp",1,(1+(Inputs!$B$21+Skills!Q6)/100)*(MIN(Skills!R6,Inputs!$B$37))),0)</f>
        <v/>
      </c>
    </row>
    <row r="599">
      <c r="A599">
        <f>Skills!A7</f>
        <v/>
      </c>
      <c r="B599">
        <f>Skills!B7</f>
        <v/>
      </c>
      <c r="C599">
        <f>Inputs!$B$3&gt;=66</f>
        <v/>
      </c>
      <c r="D599">
        <f>IF(Skills!C7=1,60+Inputs!$B$25+Inputs!$B$29,IF(Skills!C7=2,90+Inputs!$B$26+Inputs!$B$29,IF(Skills!C7=3,120+Inputs!$B$27+Inputs!$B$29,MAX(0,(Inputs!$B$3-100)*3)+Inputs!$B$28+Inputs!$B$29)))</f>
        <v/>
      </c>
      <c r="E599">
        <f>INDEX(FactorTable!$B$2:$Y$301, MATCH(ROUND(MIN(300,MAX(1,D599)),0), FactorTable!$A$2:$A$301,0), Skills!M7+1)</f>
        <v/>
      </c>
      <c r="F599">
        <f>IF(Skills!N7=TRUE,(Skills!L7/10)*(E599/1000),Skills!L7/10)+Skills!O7</f>
        <v/>
      </c>
      <c r="G599">
        <f>Skills!G7*IF(Skills!H7&gt;0,Skills!I7/Skills!H7,1)</f>
        <v/>
      </c>
      <c r="H599">
        <f>1-(1-Skills!J7/100)^Skills!K7</f>
        <v/>
      </c>
      <c r="I599" t="inlineStr">
        <is>
          <t>1</t>
        </is>
      </c>
      <c r="J599">
        <f>((Inputs!$B$6*(1+Inputs!$B$7/100))+(((Inputs!$B$12*(1+Inputs!$B$13/100))-(Inputs!$B$12*(1+Inputs!$B$13/100)))+0.25*(Inputs!$B$14-Inputs!$B$14))*(1+Inputs!$B$7/100))*(F599/100)</f>
        <v/>
      </c>
      <c r="K599">
        <f>J599*(1+((Inputs!$B$12*(1+Inputs!$B$13/100))*0.01+Inputs!$B$14*0.0025)/100)*(1+Inputs!$B$15/100)*(1+Inputs!$B$16/100)*(5000/(6000+Inputs!$B$42*(1-(((1-(1-Inputs!$B$19/100)*(1-1/100))*100)+0)/100)))*(1+(Inputs!$B$24+((C618=TRUE)*(F618-Calc!F26))+B628)/100)*(1+1.0*IF(C607=TRUE,F607,0)/100)*(1+(IF(Skills!A7="EIGHT_LEGS_EASTON",Inputs!$B$17+((C615=TRUE)*(F615-Calc!F23))+((C619=TRUE)*(F619-Calc!F27)),Inputs!$B$18+0))/100)*((1+(((C609=TRUE)*F609)+((C616=TRUE)*(F616-Calc!F24)))/100)*I599)</f>
        <v/>
      </c>
      <c r="L599">
        <f>K599*(MIN(Inputs!$B$22+((C614=TRUE)*(F614-Calc!F22)),Inputs!$B$23+0)/100+(Inputs!$B$23+0)/100)/2</f>
        <v/>
      </c>
      <c r="M599">
        <f>L599*(1+(Inputs!$B$10+((C617=TRUE)*(F617-Calc!F25))+B627)/100)</f>
        <v/>
      </c>
      <c r="N599">
        <f>L599*(1-MIN((Inputs!$B$9+((C611=TRUE)*(F611-Calc!F19))+B622),100)/100)+M599*(MIN((Inputs!$B$9+((C611=TRUE)*(F611-Calc!F19))+B622),100)/100)</f>
        <v/>
      </c>
      <c r="O599">
        <f>(1-Summary!$B$55)*T599+Summary!$B$55*V599</f>
        <v/>
      </c>
      <c r="P599">
        <f>IF(B632=0,0,O599/B632)</f>
        <v/>
      </c>
      <c r="Q599">
        <f>IFERROR(1/IF(Inputs!$B$38="pvp",15,MAX(0.1,Skills!D7-IF(Skills!E7=TRUE,Inputs!$B$32,0))),0)</f>
        <v/>
      </c>
      <c r="R599">
        <f>IF(AND(Inputs!$B$38&lt;&gt;"pvp",Inputs!$B$43&gt;0),IF(MAX(0,Inputs!$B$43-B629)&lt;=0,0,(INT(MAX(0,Inputs!$B$43-B629)/IF(Inputs!$B$38="pvp",15,MAX(0.1,Skills!D7-IF(Skills!E7=TRUE,Inputs!$B$32,0))))+1)),0)</f>
        <v/>
      </c>
      <c r="S599">
        <f>IFERROR(O599/N599,0)</f>
        <v/>
      </c>
      <c r="T599">
        <f>IF(C599,(H599*N599*IF(AND(Inputs!$B$38&lt;&gt;"pvp",Inputs!$B$43&gt;0),((Skills!G7*((R599-1)*IF(Skills!H7&gt;0,Skills!I7/Skills!H7,1)+IF(Skills!H7&gt;0,MIN(Skills!I7,MAX(0,MAX(0,Inputs!$B$43-B629)-((R599-1)*IF(Inputs!$B$38="pvp",15,MAX(0.1,Skills!D7-IF(Skills!E7=TRUE,Inputs!$B$32,0))))))/Skills!H7,1)))/Inputs!$B$43),G599*Q599))*IF(Inputs!$B$38="pvp",1,1+(Inputs!$B$20+0+Skills!P7)/100),0)</f>
        <v/>
      </c>
      <c r="V599">
        <f>IF(C599,(H599*N599*IF(AND(Inputs!$B$38&lt;&gt;"pvp",Inputs!$B$43&gt;0),((Skills!G7*((R599-1)*IF(Skills!H7&gt;0,Skills!I7/Skills!H7,1)+IF(Skills!H7&gt;0,MIN(Skills!I7,MAX(0,MAX(0,Inputs!$B$43-B629)-((R599-1)*IF(Inputs!$B$38="pvp",15,MAX(0.1,Skills!D7-IF(Skills!E7=TRUE,Inputs!$B$32,0))))))/Skills!H7,1)))/Inputs!$B$43),G599*Q599))*IF(Inputs!$B$38="pvp",1,(1+(Inputs!$B$21+Skills!Q7)/100)*(MIN(Skills!R7,Inputs!$B$37))),0)</f>
        <v/>
      </c>
    </row>
    <row r="600">
      <c r="A600">
        <f>Skills!A8</f>
        <v/>
      </c>
      <c r="B600">
        <f>Skills!B8</f>
        <v/>
      </c>
      <c r="C600">
        <f>Inputs!$B$3&gt;=100</f>
        <v/>
      </c>
      <c r="D600">
        <f>IF(Skills!C8=1,60+Inputs!$B$25+Inputs!$B$29,IF(Skills!C8=2,90+Inputs!$B$26+Inputs!$B$29,IF(Skills!C8=3,120+Inputs!$B$27+Inputs!$B$29,MAX(0,(Inputs!$B$3-100)*3)+Inputs!$B$28+Inputs!$B$29)))</f>
        <v/>
      </c>
      <c r="E600">
        <f>INDEX(FactorTable!$B$2:$Y$301, MATCH(ROUND(MIN(300,MAX(1,D600)),0), FactorTable!$A$2:$A$301,0), Skills!M8+1)</f>
        <v/>
      </c>
      <c r="F600">
        <f>IF(Skills!N8=TRUE,(Skills!L8/10)*(E600/1000),Skills!L8/10)+Skills!O8</f>
        <v/>
      </c>
      <c r="G600">
        <f>Skills!G8*IF(Skills!H8&gt;0,Skills!I8/Skills!H8,1)</f>
        <v/>
      </c>
      <c r="H600">
        <f>1-(1-Skills!J8/100)^Skills!K8</f>
        <v/>
      </c>
      <c r="I600" t="inlineStr">
        <is>
          <t>1</t>
        </is>
      </c>
      <c r="J600">
        <f>((Inputs!$B$6*(1+Inputs!$B$7/100))+(((Inputs!$B$12*(1+Inputs!$B$13/100))-(Inputs!$B$12*(1+Inputs!$B$13/100)))+0.25*(Inputs!$B$14-Inputs!$B$14))*(1+Inputs!$B$7/100))*(F600/100)</f>
        <v/>
      </c>
      <c r="K600">
        <f>J600*(1+((Inputs!$B$12*(1+Inputs!$B$13/100))*0.01+Inputs!$B$14*0.0025)/100)*(1+Inputs!$B$15/100)*(1+Inputs!$B$16/100)*(5000/(6000+Inputs!$B$42*(1-(((1-(1-Inputs!$B$19/100)*(1-1/100))*100)+0)/100)))*(1+(Inputs!$B$24+((C618=TRUE)*(F618-Calc!F26))+B628)/100)*(1+(IF(Skills!A8="EIGHT_LEGS_EASTON",Inputs!$B$17+((C615=TRUE)*(F615-Calc!F23))+((C619=TRUE)*(F619-Calc!F27)),Inputs!$B$18+0))/100)*((1+(((C609=TRUE)*F609)+((C616=TRUE)*(F616-Calc!F24)))/100)*I600)</f>
        <v/>
      </c>
      <c r="L600">
        <f>K600*(MIN(Inputs!$B$22+((C614=TRUE)*(F614-Calc!F22)),Inputs!$B$23+0)/100+(Inputs!$B$23+0)/100)/2</f>
        <v/>
      </c>
      <c r="M600">
        <f>L600*(1+(Inputs!$B$10+((C617=TRUE)*(F617-Calc!F25))+B627)/100)</f>
        <v/>
      </c>
      <c r="N600">
        <f>L600*(1-MIN((Inputs!$B$9+((C611=TRUE)*(F611-Calc!F19))+B622),100)/100)+M600*(MIN((Inputs!$B$9+((C611=TRUE)*(F611-Calc!F19))+B622),100)/100)</f>
        <v/>
      </c>
      <c r="O600">
        <f>(1-Summary!$B$55)*T600+Summary!$B$55*V600</f>
        <v/>
      </c>
      <c r="P600">
        <f>IF(B632=0,0,O600/B632)</f>
        <v/>
      </c>
      <c r="Q600">
        <f>IFERROR(1/IF(Inputs!$B$38="pvp",15,MAX(0.1,Skills!D8-IF(Skills!E8=TRUE,Inputs!$B$32,0))),0)</f>
        <v/>
      </c>
      <c r="R600">
        <f>IF(AND(Inputs!$B$38&lt;&gt;"pvp",Inputs!$B$43&gt;0),IF(MAX(0,Inputs!$B$43-B629)&lt;=0,0,(INT(MAX(0,Inputs!$B$43-B629)/IF(Inputs!$B$38="pvp",15,MAX(0.1,Skills!D8-IF(Skills!E8=TRUE,Inputs!$B$32,0))))+1)),0)</f>
        <v/>
      </c>
      <c r="S600">
        <f>IFERROR(O600/N600,0)</f>
        <v/>
      </c>
      <c r="T600">
        <f>IF(C600,(H600*N600*IF(AND(Inputs!$B$38&lt;&gt;"pvp",Inputs!$B$43&gt;0),((Skills!G8*((R600-1)*IF(Skills!H8&gt;0,Skills!I8/Skills!H8,1)+IF(Skills!H8&gt;0,MIN(Skills!I8,MAX(0,MAX(0,Inputs!$B$43-B629)-((R600-1)*IF(Inputs!$B$38="pvp",15,MAX(0.1,Skills!D8-IF(Skills!E8=TRUE,Inputs!$B$32,0))))))/Skills!H8,1)))/Inputs!$B$43),G600*Q600))*IF(Inputs!$B$38="pvp",1,1+(Inputs!$B$20+0+Skills!P8)/100),0)</f>
        <v/>
      </c>
      <c r="V600">
        <f>IF(C600,(H600*N600*IF(AND(Inputs!$B$38&lt;&gt;"pvp",Inputs!$B$43&gt;0),((Skills!G8*((R600-1)*IF(Skills!H8&gt;0,Skills!I8/Skills!H8,1)+IF(Skills!H8&gt;0,MIN(Skills!I8,MAX(0,MAX(0,Inputs!$B$43-B629)-((R600-1)*IF(Inputs!$B$38="pvp",15,MAX(0.1,Skills!D8-IF(Skills!E8=TRUE,Inputs!$B$32,0))))))/Skills!H8,1)))/Inputs!$B$43),G600*Q600))*IF(Inputs!$B$38="pvp",1,(1+(Inputs!$B$21+Skills!Q8)/100)*(MIN(Skills!R8,Inputs!$B$37))),0)</f>
        <v/>
      </c>
    </row>
    <row r="601">
      <c r="A601">
        <f>Skills!A9</f>
        <v/>
      </c>
      <c r="B601">
        <f>Skills!B9</f>
        <v/>
      </c>
      <c r="C601">
        <f>Inputs!$B$3&gt;=103</f>
        <v/>
      </c>
      <c r="D601">
        <f>IF(Skills!C9=1,60+Inputs!$B$25+Inputs!$B$29,IF(Skills!C9=2,90+Inputs!$B$26+Inputs!$B$29,IF(Skills!C9=3,120+Inputs!$B$27+Inputs!$B$29,MAX(0,(Inputs!$B$3-100)*3)+Inputs!$B$28+Inputs!$B$29)))</f>
        <v/>
      </c>
      <c r="E601">
        <f>INDEX(FactorTable!$B$2:$Y$301, MATCH(ROUND(MIN(300,MAX(1,D601)),0), FactorTable!$A$2:$A$301,0), Skills!M9+1)</f>
        <v/>
      </c>
      <c r="F601">
        <f>IF(Skills!N9=TRUE,(Skills!L9/10)*(E601/1000),Skills!L9/10)+Skills!O9</f>
        <v/>
      </c>
      <c r="G601">
        <f>Skills!G9*IF(Skills!H9&gt;0,Skills!I9/Skills!H9,1)</f>
        <v/>
      </c>
      <c r="H601">
        <f>1-(1-Skills!J9/100)^Skills!K9</f>
        <v/>
      </c>
      <c r="I601" t="inlineStr">
        <is>
          <t>1</t>
        </is>
      </c>
      <c r="J601">
        <f>((Inputs!$B$6*(1+Inputs!$B$7/100))+(((Inputs!$B$12*(1+Inputs!$B$13/100))-(Inputs!$B$12*(1+Inputs!$B$13/100)))+0.25*(Inputs!$B$14-Inputs!$B$14))*(1+Inputs!$B$7/100))*(F601/100)</f>
        <v/>
      </c>
      <c r="K601">
        <f>J601*(1+((Inputs!$B$12*(1+Inputs!$B$13/100))*0.01+Inputs!$B$14*0.0025)/100)*(1+Inputs!$B$15/100)*(1+Inputs!$B$16/100)*(5000/(6000+Inputs!$B$42*(1-(((1-(1-Inputs!$B$19/100)*(1-1/100))*100)+0)/100)))*(1+(Inputs!$B$24+((C618=TRUE)*(F618-Calc!F26))+B628)/100)*(1+(IF(Skills!A9="EIGHT_LEGS_EASTON",Inputs!$B$17+((C615=TRUE)*(F615-Calc!F23))+((C619=TRUE)*(F619-Calc!F27)),Inputs!$B$18+0))/100)*((1+(((C609=TRUE)*F609)+((C616=TRUE)*(F616-Calc!F24)))/100)*I601)</f>
        <v/>
      </c>
      <c r="L601">
        <f>K601*(MIN(Inputs!$B$22+((C614=TRUE)*(F614-Calc!F22)),Inputs!$B$23+0)/100+(Inputs!$B$23+0)/100)/2</f>
        <v/>
      </c>
      <c r="M601">
        <f>L601*(1+(Inputs!$B$10+((C617=TRUE)*(F617-Calc!F25))+B627)/100)</f>
        <v/>
      </c>
      <c r="N601">
        <f>L601*(1-MIN((Inputs!$B$9+((C611=TRUE)*(F611-Calc!F19))+B622),100)/100)+M601*(MIN((Inputs!$B$9+((C611=TRUE)*(F611-Calc!F19))+B622),100)/100)</f>
        <v/>
      </c>
      <c r="O601">
        <f>(1-Summary!$B$55)*T601+Summary!$B$55*V601</f>
        <v/>
      </c>
      <c r="P601">
        <f>IF(B632=0,0,O601/B632)</f>
        <v/>
      </c>
      <c r="Q601">
        <f>IFERROR(1/IF(Inputs!$B$38="pvp",15,MAX(0.1,Skills!D9-IF(Skills!E9=TRUE,Inputs!$B$32,0))),0)</f>
        <v/>
      </c>
      <c r="R601">
        <f>IF(AND(Inputs!$B$38&lt;&gt;"pvp",Inputs!$B$43&gt;0),IF(MAX(0,Inputs!$B$43-B629)&lt;=0,0,(INT(MAX(0,Inputs!$B$43-B629)/IF(Inputs!$B$38="pvp",15,MAX(0.1,Skills!D9-IF(Skills!E9=TRUE,Inputs!$B$32,0))))+1)),0)</f>
        <v/>
      </c>
      <c r="S601">
        <f>IFERROR(O601/N601,0)</f>
        <v/>
      </c>
      <c r="T601">
        <f>IF(C601,(H601*N601*IF(AND(Inputs!$B$38&lt;&gt;"pvp",Inputs!$B$43&gt;0),((Skills!G9*((R601-1)*IF(Skills!H9&gt;0,Skills!I9/Skills!H9,1)+IF(Skills!H9&gt;0,MIN(Skills!I9,MAX(0,MAX(0,Inputs!$B$43-B629)-((R601-1)*IF(Inputs!$B$38="pvp",15,MAX(0.1,Skills!D9-IF(Skills!E9=TRUE,Inputs!$B$32,0))))))/Skills!H9,1)))/Inputs!$B$43),G601*Q601))*IF(Inputs!$B$38="pvp",1,1+(Inputs!$B$20+0+Skills!P9)/100),0)</f>
        <v/>
      </c>
      <c r="V601">
        <f>IF(C601,(H601*N601*IF(AND(Inputs!$B$38&lt;&gt;"pvp",Inputs!$B$43&gt;0),((Skills!G9*((R601-1)*IF(Skills!H9&gt;0,Skills!I9/Skills!H9,1)+IF(Skills!H9&gt;0,MIN(Skills!I9,MAX(0,MAX(0,Inputs!$B$43-B629)-((R601-1)*IF(Inputs!$B$38="pvp",15,MAX(0.1,Skills!D9-IF(Skills!E9=TRUE,Inputs!$B$32,0))))))/Skills!H9,1)))/Inputs!$B$43),G601*Q601))*IF(Inputs!$B$38="pvp",1,(1+(Inputs!$B$21+Skills!Q9)/100)*(MIN(Skills!R9,Inputs!$B$37))),0)</f>
        <v/>
      </c>
    </row>
    <row r="602">
      <c r="A602">
        <f>Skills!A10</f>
        <v/>
      </c>
      <c r="B602">
        <f>Skills!B10</f>
        <v/>
      </c>
      <c r="C602">
        <f>Inputs!$B$3&gt;=113</f>
        <v/>
      </c>
      <c r="D602">
        <f>IF(Skills!C10=1,60+Inputs!$B$25+Inputs!$B$29,IF(Skills!C10=2,90+Inputs!$B$26+Inputs!$B$29,IF(Skills!C10=3,120+Inputs!$B$27+Inputs!$B$29,MAX(0,(Inputs!$B$3-100)*3)+Inputs!$B$28+Inputs!$B$29)))</f>
        <v/>
      </c>
      <c r="E602">
        <f>INDEX(FactorTable!$B$2:$Y$301, MATCH(ROUND(MIN(300,MAX(1,D602)),0), FactorTable!$A$2:$A$301,0), Skills!M10+1)</f>
        <v/>
      </c>
      <c r="F602">
        <f>IF(Skills!N10=TRUE,(Skills!L10/10)*(E602/1000),Skills!L10/10)+Skills!O10</f>
        <v/>
      </c>
      <c r="G602">
        <f>Skills!G10*IF(Skills!H10&gt;0,Skills!I10/Skills!H10,1)</f>
        <v/>
      </c>
      <c r="H602">
        <f>1-(1-Skills!J10/100)^Skills!K10</f>
        <v/>
      </c>
      <c r="I602" t="inlineStr">
        <is>
          <t>1</t>
        </is>
      </c>
      <c r="J602">
        <f>((Inputs!$B$6*(1+Inputs!$B$7/100))+(((Inputs!$B$12*(1+Inputs!$B$13/100))-(Inputs!$B$12*(1+Inputs!$B$13/100)))+0.25*(Inputs!$B$14-Inputs!$B$14))*(1+Inputs!$B$7/100))*(F602/100)</f>
        <v/>
      </c>
      <c r="K602">
        <f>J602*(1+((Inputs!$B$12*(1+Inputs!$B$13/100))*0.01+Inputs!$B$14*0.0025)/100)*(1+Inputs!$B$15/100)*(1+Inputs!$B$16/100)*(5000/(6000+Inputs!$B$42*(1-(((1-(1-Inputs!$B$19/100)*(1-1/100))*100)+0)/100)))*(1+(Inputs!$B$24+((C618=TRUE)*(F618-Calc!F26))+B628)/100)*(1+(IF(Skills!A10="EIGHT_LEGS_EASTON",Inputs!$B$17+((C615=TRUE)*(F615-Calc!F23))+((C619=TRUE)*(F619-Calc!F27)),Inputs!$B$18+0))/100)*((1+(((C609=TRUE)*F609)+((C616=TRUE)*(F616-Calc!F24)))/100)*I602)</f>
        <v/>
      </c>
      <c r="L602">
        <f>K602*(MIN(Inputs!$B$22+((C614=TRUE)*(F614-Calc!F22)),Inputs!$B$23+0)/100+(Inputs!$B$23+0)/100)/2</f>
        <v/>
      </c>
      <c r="M602">
        <f>L602*(1+(Inputs!$B$10+((C617=TRUE)*(F617-Calc!F25))+B627)/100)</f>
        <v/>
      </c>
      <c r="N602">
        <f>L602*(1-MIN((Inputs!$B$9+((C611=TRUE)*(F611-Calc!F19))+B622),100)/100)+M602*(MIN((Inputs!$B$9+((C611=TRUE)*(F611-Calc!F19))+B622),100)/100)</f>
        <v/>
      </c>
      <c r="O602">
        <f>(1-Summary!$B$55)*T602+Summary!$B$55*V602</f>
        <v/>
      </c>
      <c r="P602">
        <f>IF(B632=0,0,O602/B632)</f>
        <v/>
      </c>
      <c r="Q602">
        <f>IFERROR(1/IF(Inputs!$B$38="pvp",15,MAX(0.1,Skills!D10-IF(Skills!E10=TRUE,Inputs!$B$32,0))),0)</f>
        <v/>
      </c>
      <c r="R602">
        <f>IF(AND(Inputs!$B$38&lt;&gt;"pvp",Inputs!$B$43&gt;0),IF(MAX(0,Inputs!$B$43-B629)&lt;=0,0,(INT(MAX(0,Inputs!$B$43-B629)/IF(Inputs!$B$38="pvp",15,MAX(0.1,Skills!D10-IF(Skills!E10=TRUE,Inputs!$B$32,0))))+1)),0)</f>
        <v/>
      </c>
      <c r="S602">
        <f>IFERROR(O602/N602,0)</f>
        <v/>
      </c>
      <c r="T602">
        <f>IF(C602,(H602*N602*IF(AND(Inputs!$B$38&lt;&gt;"pvp",Inputs!$B$43&gt;0),((Skills!G10*((R602-1)*IF(Skills!H10&gt;0,Skills!I10/Skills!H10,1)+IF(Skills!H10&gt;0,MIN(Skills!I10,MAX(0,MAX(0,Inputs!$B$43-B629)-((R602-1)*IF(Inputs!$B$38="pvp",15,MAX(0.1,Skills!D10-IF(Skills!E10=TRUE,Inputs!$B$32,0))))))/Skills!H10,1)))/Inputs!$B$43),G602*Q602))*IF(Inputs!$B$38="pvp",1,1+(Inputs!$B$20+0+Skills!P10)/100),0)</f>
        <v/>
      </c>
      <c r="V602">
        <f>IF(C602,(H602*N602*IF(AND(Inputs!$B$38&lt;&gt;"pvp",Inputs!$B$43&gt;0),((Skills!G10*((R602-1)*IF(Skills!H10&gt;0,Skills!I10/Skills!H10,1)+IF(Skills!H10&gt;0,MIN(Skills!I10,MAX(0,MAX(0,Inputs!$B$43-B629)-((R602-1)*IF(Inputs!$B$38="pvp",15,MAX(0.1,Skills!D10-IF(Skills!E10=TRUE,Inputs!$B$32,0))))))/Skills!H10,1)))/Inputs!$B$43),G602*Q602))*IF(Inputs!$B$38="pvp",1,(1+(Inputs!$B$21+Skills!Q10)/100)*(MIN(Skills!R10,Inputs!$B$37))),0)</f>
        <v/>
      </c>
    </row>
    <row r="603">
      <c r="A603">
        <f>Skills!A11</f>
        <v/>
      </c>
      <c r="B603">
        <f>Skills!B11</f>
        <v/>
      </c>
      <c r="C603">
        <f>Inputs!$B$3&gt;=107</f>
        <v/>
      </c>
      <c r="D603">
        <f>IF(Skills!C11=1,60+Inputs!$B$25+Inputs!$B$29,IF(Skills!C11=2,90+Inputs!$B$26+Inputs!$B$29,IF(Skills!C11=3,120+Inputs!$B$27+Inputs!$B$29,MAX(0,(Inputs!$B$3-100)*3)+Inputs!$B$28+Inputs!$B$29)))</f>
        <v/>
      </c>
      <c r="E603">
        <f>INDEX(FactorTable!$B$2:$Y$301, MATCH(ROUND(MIN(300,MAX(1,D603)),0), FactorTable!$A$2:$A$301,0), Skills!M11+1)</f>
        <v/>
      </c>
      <c r="F603">
        <f>IF(Skills!N11=TRUE,(Skills!L11/10)*(E603/1000),Skills!L11/10)+Skills!O11</f>
        <v/>
      </c>
      <c r="G603">
        <f>Skills!G11*IF(Skills!H11&gt;0,Skills!I11/Skills!H11,1)</f>
        <v/>
      </c>
      <c r="H603">
        <f>1-(1-Skills!J11/100)^Skills!K11</f>
        <v/>
      </c>
      <c r="I603" t="inlineStr">
        <is>
          <t>1</t>
        </is>
      </c>
      <c r="J603">
        <f>((Inputs!$B$6*(1+Inputs!$B$7/100))+(((Inputs!$B$12*(1+Inputs!$B$13/100))-(Inputs!$B$12*(1+Inputs!$B$13/100)))+0.25*(Inputs!$B$14-Inputs!$B$14))*(1+Inputs!$B$7/100))*(F603/100)</f>
        <v/>
      </c>
      <c r="K603">
        <f>J603*(1+((Inputs!$B$12*(1+Inputs!$B$13/100))*0.01+Inputs!$B$14*0.0025)/100)*(1+Inputs!$B$15/100)*(1+Inputs!$B$16/100)*(5000/(6000+Inputs!$B$42*(1-(((1-(1-Inputs!$B$19/100)*(1-1/100))*100)+0)/100)))*(1+(Inputs!$B$24+((C618=TRUE)*(F618-Calc!F26))+B628)/100)*(1+(IF(Skills!A11="EIGHT_LEGS_EASTON",Inputs!$B$17+((C615=TRUE)*(F615-Calc!F23))+((C619=TRUE)*(F619-Calc!F27)),Inputs!$B$18+0))/100)*((1+(((C609=TRUE)*F609)+((C616=TRUE)*(F616-Calc!F24)))/100)*I603)</f>
        <v/>
      </c>
      <c r="L603">
        <f>K603*(MIN(Inputs!$B$22+((C614=TRUE)*(F614-Calc!F22)),Inputs!$B$23+0)/100+(Inputs!$B$23+0)/100)/2</f>
        <v/>
      </c>
      <c r="M603">
        <f>L603*(1+(Inputs!$B$10+((C617=TRUE)*(F617-Calc!F25))+B627)/100)</f>
        <v/>
      </c>
      <c r="N603">
        <f>L603*(1-MIN((Inputs!$B$9+((C611=TRUE)*(F611-Calc!F19))+B622),100)/100)+M603*(MIN((Inputs!$B$9+((C611=TRUE)*(F611-Calc!F19))+B622),100)/100)</f>
        <v/>
      </c>
      <c r="O603">
        <f>(1-Summary!$B$55)*T603+Summary!$B$55*V603</f>
        <v/>
      </c>
      <c r="P603">
        <f>IF(B632=0,0,O603/B632)</f>
        <v/>
      </c>
      <c r="Q603">
        <f>IFERROR(1/IF(Inputs!$B$38="pvp",15,MAX(0.1,Skills!D11-IF(Skills!E11=TRUE,Inputs!$B$32,0))),0)</f>
        <v/>
      </c>
      <c r="R603">
        <f>IF(AND(Inputs!$B$38&lt;&gt;"pvp",Inputs!$B$43&gt;0),IF(MAX(0,Inputs!$B$43-B629)&lt;=0,0,(INT(MAX(0,Inputs!$B$43-B629)/IF(Inputs!$B$38="pvp",15,MAX(0.1,Skills!D11-IF(Skills!E11=TRUE,Inputs!$B$32,0))))+1)),0)</f>
        <v/>
      </c>
      <c r="S603">
        <f>IFERROR(O603/N603,0)</f>
        <v/>
      </c>
      <c r="T603">
        <f>IF(C603,(H603*N603*IF(AND(Inputs!$B$38&lt;&gt;"pvp",Inputs!$B$43&gt;0),((Skills!G11*((R603-1)*IF(Skills!H11&gt;0,Skills!I11/Skills!H11,1)+IF(Skills!H11&gt;0,MIN(Skills!I11,MAX(0,MAX(0,Inputs!$B$43-B629)-((R603-1)*IF(Inputs!$B$38="pvp",15,MAX(0.1,Skills!D11-IF(Skills!E11=TRUE,Inputs!$B$32,0))))))/Skills!H11,1)))/Inputs!$B$43),G603*Q603))*IF(Inputs!$B$38="pvp",1,1+(Inputs!$B$20+0+Skills!P11)/100),0)</f>
        <v/>
      </c>
      <c r="V603">
        <f>IF(C603,(H603*N603*IF(AND(Inputs!$B$38&lt;&gt;"pvp",Inputs!$B$43&gt;0),((Skills!G11*((R603-1)*IF(Skills!H11&gt;0,Skills!I11/Skills!H11,1)+IF(Skills!H11&gt;0,MIN(Skills!I11,MAX(0,MAX(0,Inputs!$B$43-B629)-((R603-1)*IF(Inputs!$B$38="pvp",15,MAX(0.1,Skills!D11-IF(Skills!E11=TRUE,Inputs!$B$32,0))))))/Skills!H11,1)))/Inputs!$B$43),G603*Q603))*IF(Inputs!$B$38="pvp",1,(1+(Inputs!$B$21+Skills!Q11)/100)*(MIN(Skills!R11,Inputs!$B$37))),0)</f>
        <v/>
      </c>
    </row>
    <row r="604">
      <c r="A604">
        <f>Skills!A12</f>
        <v/>
      </c>
      <c r="B604">
        <f>Skills!B12</f>
        <v/>
      </c>
      <c r="C604">
        <f>Inputs!$B$3&gt;=110</f>
        <v/>
      </c>
      <c r="D604">
        <f>IF(Skills!C12=1,60+Inputs!$B$25+Inputs!$B$29,IF(Skills!C12=2,90+Inputs!$B$26+Inputs!$B$29,IF(Skills!C12=3,120+Inputs!$B$27+Inputs!$B$29,MAX(0,(Inputs!$B$3-100)*3)+Inputs!$B$28+Inputs!$B$29)))</f>
        <v/>
      </c>
      <c r="E604">
        <f>INDEX(FactorTable!$B$2:$Y$301, MATCH(ROUND(MIN(300,MAX(1,D604)),0), FactorTable!$A$2:$A$301,0), Skills!M12+1)</f>
        <v/>
      </c>
      <c r="F604">
        <f>IF(Skills!N12=TRUE,(Skills!L12/10)*(E604/1000),Skills!L12/10)+Skills!O12</f>
        <v/>
      </c>
      <c r="G604">
        <f>Skills!G12*IF(Skills!H12&gt;0,Skills!I12/Skills!H12,1)</f>
        <v/>
      </c>
      <c r="H604">
        <f>1-(1-Skills!J12/100)^Skills!K12</f>
        <v/>
      </c>
      <c r="I604" t="inlineStr">
        <is>
          <t>1</t>
        </is>
      </c>
      <c r="J604">
        <f>((Inputs!$B$6*(1+Inputs!$B$7/100))+(((Inputs!$B$12*(1+Inputs!$B$13/100))-(Inputs!$B$12*(1+Inputs!$B$13/100)))+0.25*(Inputs!$B$14-Inputs!$B$14))*(1+Inputs!$B$7/100))*(F604/100)</f>
        <v/>
      </c>
      <c r="K604">
        <f>J604*(1+((Inputs!$B$12*(1+Inputs!$B$13/100))*0.01+Inputs!$B$14*0.0025)/100)*(1+Inputs!$B$15/100)*(1+Inputs!$B$16/100)*(5000/(6000+Inputs!$B$42*(1-(((1-(1-Inputs!$B$19/100)*(1-1/100))*100)+0)/100)))*(1+(Inputs!$B$24+((C618=TRUE)*(F618-Calc!F26))+B628)/100)*(1+(IF(Skills!A12="EIGHT_LEGS_EASTON",Inputs!$B$17+((C615=TRUE)*(F615-Calc!F23))+((C619=TRUE)*(F619-Calc!F27)),Inputs!$B$18+0))/100)*((1+(((C609=TRUE)*F609)+((C616=TRUE)*(F616-Calc!F24)))/100)*I604)</f>
        <v/>
      </c>
      <c r="L604">
        <f>K604*(MIN(Inputs!$B$22+((C614=TRUE)*(F614-Calc!F22)),Inputs!$B$23+0)/100+(Inputs!$B$23+0)/100)/2</f>
        <v/>
      </c>
      <c r="M604">
        <f>L604*(1+(Inputs!$B$10+((C617=TRUE)*(F617-Calc!F25))+B627)/100)</f>
        <v/>
      </c>
      <c r="N604">
        <f>L604*(1-MIN((Inputs!$B$9+((C611=TRUE)*(F611-Calc!F19))+B622),100)/100)+M604*(MIN((Inputs!$B$9+((C611=TRUE)*(F611-Calc!F19))+B622),100)/100)</f>
        <v/>
      </c>
      <c r="O604">
        <f>(1-Summary!$B$55)*T604+Summary!$B$55*V604</f>
        <v/>
      </c>
      <c r="P604">
        <f>IF(B632=0,0,O604/B632)</f>
        <v/>
      </c>
      <c r="Q604">
        <f>IFERROR(1/IF(Inputs!$B$38="pvp",15,MAX(0.1,Skills!D12-IF(Skills!E12=TRUE,Inputs!$B$32,0))),0)</f>
        <v/>
      </c>
      <c r="R604">
        <f>IF(AND(Inputs!$B$38&lt;&gt;"pvp",Inputs!$B$43&gt;0),IF(MAX(0,Inputs!$B$43-B629)&lt;=0,0,(INT(MAX(0,Inputs!$B$43-B629)/IF(Inputs!$B$38="pvp",15,MAX(0.1,Skills!D12-IF(Skills!E12=TRUE,Inputs!$B$32,0))))+1)),0)</f>
        <v/>
      </c>
      <c r="S604">
        <f>IFERROR(O604/N604,0)</f>
        <v/>
      </c>
      <c r="T604">
        <f>IF(C604,(H604*N604*IF(AND(Inputs!$B$38&lt;&gt;"pvp",Inputs!$B$43&gt;0),((Skills!G12*((R604-1)*IF(Skills!H12&gt;0,Skills!I12/Skills!H12,1)+IF(Skills!H12&gt;0,MIN(Skills!I12,MAX(0,MAX(0,Inputs!$B$43-B629)-((R604-1)*IF(Inputs!$B$38="pvp",15,MAX(0.1,Skills!D12-IF(Skills!E12=TRUE,Inputs!$B$32,0))))))/Skills!H12,1)))/Inputs!$B$43),G604*Q604))*IF(Inputs!$B$38="pvp",1,1+(Inputs!$B$20+0+Skills!P12)/100),0)</f>
        <v/>
      </c>
      <c r="V604">
        <f>IF(C604,(H604*N604*IF(AND(Inputs!$B$38&lt;&gt;"pvp",Inputs!$B$43&gt;0),((Skills!G12*((R604-1)*IF(Skills!H12&gt;0,Skills!I12/Skills!H12,1)+IF(Skills!H12&gt;0,MIN(Skills!I12,MAX(0,MAX(0,Inputs!$B$43-B629)-((R604-1)*IF(Inputs!$B$38="pvp",15,MAX(0.1,Skills!D12-IF(Skills!E12=TRUE,Inputs!$B$32,0))))))/Skills!H12,1)))/Inputs!$B$43),G604*Q604))*IF(Inputs!$B$38="pvp",1,(1+(Inputs!$B$21+Skills!Q12)/100)*(MIN(Skills!R12,Inputs!$B$37))),0)</f>
        <v/>
      </c>
    </row>
    <row r="605">
      <c r="A605">
        <f>Skills!A13</f>
        <v/>
      </c>
      <c r="B605">
        <f>Skills!B13</f>
        <v/>
      </c>
      <c r="C605">
        <f>Inputs!$B$3&gt;=110</f>
        <v/>
      </c>
      <c r="D605">
        <f>IF(Skills!C13=1,60+Inputs!$B$25+Inputs!$B$29,IF(Skills!C13=2,90+Inputs!$B$26+Inputs!$B$29,IF(Skills!C13=3,120+Inputs!$B$27+Inputs!$B$29,MAX(0,(Inputs!$B$3-100)*3)+Inputs!$B$28+Inputs!$B$29)))</f>
        <v/>
      </c>
      <c r="E605">
        <f>INDEX(FactorTable!$B$2:$Y$301, MATCH(ROUND(MIN(300,MAX(1,D605)),0), FactorTable!$A$2:$A$301,0), Skills!M13+1)</f>
        <v/>
      </c>
      <c r="F605">
        <f>IF(Skills!N13=TRUE,(Skills!L13/10)*(E605/1000),Skills!L13/10)+Skills!O13</f>
        <v/>
      </c>
      <c r="G605">
        <f>Skills!G13*IF(Skills!H13&gt;0,Skills!I13/Skills!H13,1)</f>
        <v/>
      </c>
      <c r="H605">
        <f>1-(1-Skills!J13/100)^Skills!K13</f>
        <v/>
      </c>
      <c r="I605" t="inlineStr">
        <is>
          <t>1</t>
        </is>
      </c>
      <c r="J605">
        <f>((Inputs!$B$6*(1+Inputs!$B$7/100))+(((Inputs!$B$12*(1+Inputs!$B$13/100))-(Inputs!$B$12*(1+Inputs!$B$13/100)))+0.25*(Inputs!$B$14-Inputs!$B$14))*(1+Inputs!$B$7/100))*(F605/100)</f>
        <v/>
      </c>
      <c r="K605">
        <f>J605*(1+((Inputs!$B$12*(1+Inputs!$B$13/100))*0.01+Inputs!$B$14*0.0025)/100)*(1+Inputs!$B$15/100)*(1+Inputs!$B$16/100)*(5000/(6000+Inputs!$B$42*(1-(((1-(1-Inputs!$B$19/100)*(1-1/100))*100)+0)/100)))*(1+(Inputs!$B$24+((C618=TRUE)*(F618-Calc!F26))+B628)/100)*(1+(IF(Skills!A13="EIGHT_LEGS_EASTON",Inputs!$B$17+((C615=TRUE)*(F615-Calc!F23))+((C619=TRUE)*(F619-Calc!F27)),Inputs!$B$18+0))/100)*((1+(((C609=TRUE)*F609)+((C616=TRUE)*(F616-Calc!F24)))/100)*I605)</f>
        <v/>
      </c>
      <c r="L605">
        <f>K605*(MIN(Inputs!$B$22+((C614=TRUE)*(F614-Calc!F22)),Inputs!$B$23+0)/100+(Inputs!$B$23+0)/100)/2</f>
        <v/>
      </c>
      <c r="M605">
        <f>L605*(1+(Inputs!$B$10+((C617=TRUE)*(F617-Calc!F25))+B627)/100)</f>
        <v/>
      </c>
      <c r="N605">
        <f>L605*(1-MIN((Inputs!$B$9+((C611=TRUE)*(F611-Calc!F19))+B622),100)/100)+M605*(MIN((Inputs!$B$9+((C611=TRUE)*(F611-Calc!F19))+B622),100)/100)</f>
        <v/>
      </c>
      <c r="O605">
        <f>(1-Summary!$B$55)*T605+Summary!$B$55*V605</f>
        <v/>
      </c>
      <c r="P605">
        <f>IF(B632=0,0,O605/B632)</f>
        <v/>
      </c>
      <c r="Q605">
        <f>IFERROR(1/IF(Inputs!$B$38="pvp",15,MAX(0.1,Skills!D13-IF(Skills!E13=TRUE,Inputs!$B$32,0))),0)</f>
        <v/>
      </c>
      <c r="R605">
        <f>IF(AND(Inputs!$B$38&lt;&gt;"pvp",Inputs!$B$43&gt;0),IF(MAX(0,Inputs!$B$43-B629)&lt;=0,0,(INT(MAX(0,Inputs!$B$43-B629)/IF(Inputs!$B$38="pvp",15,MAX(0.1,Skills!D13-IF(Skills!E13=TRUE,Inputs!$B$32,0))))+1)),0)</f>
        <v/>
      </c>
      <c r="S605">
        <f>IFERROR(O605/N605,0)</f>
        <v/>
      </c>
      <c r="T605">
        <f>IF(C605,(H605*N605*IF(AND(Inputs!$B$38&lt;&gt;"pvp",Inputs!$B$43&gt;0),((Skills!G13*((R605-1)*IF(Skills!H13&gt;0,Skills!I13/Skills!H13,1)+IF(Skills!H13&gt;0,MIN(Skills!I13,MAX(0,MAX(0,Inputs!$B$43-B629)-((R605-1)*IF(Inputs!$B$38="pvp",15,MAX(0.1,Skills!D13-IF(Skills!E13=TRUE,Inputs!$B$32,0))))))/Skills!H13,1)))/Inputs!$B$43),G605*Q605))*IF(Inputs!$B$38="pvp",1,1+(Inputs!$B$20+0+Skills!P13)/100),0)</f>
        <v/>
      </c>
      <c r="V605">
        <f>IF(C605,(H605*N605*IF(AND(Inputs!$B$38&lt;&gt;"pvp",Inputs!$B$43&gt;0),((Skills!G13*((R605-1)*IF(Skills!H13&gt;0,Skills!I13/Skills!H13,1)+IF(Skills!H13&gt;0,MIN(Skills!I13,MAX(0,MAX(0,Inputs!$B$43-B629)-((R605-1)*IF(Inputs!$B$38="pvp",15,MAX(0.1,Skills!D13-IF(Skills!E13=TRUE,Inputs!$B$32,0))))))/Skills!H13,1)))/Inputs!$B$43),G605*Q605))*IF(Inputs!$B$38="pvp",1,(1+(Inputs!$B$21+Skills!Q13)/100)*(MIN(Skills!R13,Inputs!$B$37))),0)</f>
        <v/>
      </c>
    </row>
    <row r="606">
      <c r="A606">
        <f>Skills!A14</f>
        <v/>
      </c>
      <c r="B606">
        <f>Skills!B14</f>
        <v/>
      </c>
      <c r="C606">
        <f>Inputs!$B$3&gt;=125</f>
        <v/>
      </c>
      <c r="D606">
        <f>IF(Skills!C14=1,60+Inputs!$B$25+Inputs!$B$29,IF(Skills!C14=2,90+Inputs!$B$26+Inputs!$B$29,IF(Skills!C14=3,120+Inputs!$B$27+Inputs!$B$29,MAX(0,(Inputs!$B$3-100)*3)+Inputs!$B$28+Inputs!$B$29)))</f>
        <v/>
      </c>
      <c r="E606">
        <f>INDEX(FactorTable!$B$2:$Y$301, MATCH(ROUND(MIN(300,MAX(1,D606)),0), FactorTable!$A$2:$A$301,0), Skills!M14+1)</f>
        <v/>
      </c>
      <c r="F606">
        <f>IF(Skills!N14=TRUE,(Skills!L14/10)*(E606/1000),Skills!L14/10)+Skills!O14</f>
        <v/>
      </c>
      <c r="G606">
        <f>Skills!G14*IF(Skills!H14&gt;0,Skills!I14/Skills!H14,1)</f>
        <v/>
      </c>
      <c r="H606">
        <f>1-(1-Skills!J14/100)^Skills!K14</f>
        <v/>
      </c>
      <c r="I606" t="inlineStr">
        <is>
          <t>1</t>
        </is>
      </c>
      <c r="J606">
        <f>((Inputs!$B$6*(1+Inputs!$B$7/100))+(((Inputs!$B$12*(1+Inputs!$B$13/100))-(Inputs!$B$12*(1+Inputs!$B$13/100)))+0.25*(Inputs!$B$14-Inputs!$B$14))*(1+Inputs!$B$7/100))*(F606/100)</f>
        <v/>
      </c>
      <c r="K606">
        <f>J606*(1+((Inputs!$B$12*(1+Inputs!$B$13/100))*0.01+Inputs!$B$14*0.0025)/100)*(1+Inputs!$B$15/100)*(1+Inputs!$B$16/100)*(5000/(6000+Inputs!$B$42*(1-(((1-(1-Inputs!$B$19/100)*(1-1/100))*100)+0)/100)))*(1+(Inputs!$B$24+((C618=TRUE)*(F618-Calc!F26))+B628)/100)*(1+(IF(Skills!A14="EIGHT_LEGS_EASTON",Inputs!$B$17+((C615=TRUE)*(F615-Calc!F23))+((C619=TRUE)*(F619-Calc!F27)),Inputs!$B$18+0))/100)*((1+(((C609=TRUE)*F609)+((C616=TRUE)*(F616-Calc!F24)))/100)*I606)</f>
        <v/>
      </c>
      <c r="L606">
        <f>K606*(MIN(Inputs!$B$22+((C614=TRUE)*(F614-Calc!F22)),Inputs!$B$23+0)/100+(Inputs!$B$23+0)/100)/2</f>
        <v/>
      </c>
      <c r="M606">
        <f>L606*(1+(Inputs!$B$10+((C617=TRUE)*(F617-Calc!F25))+B627)/100)</f>
        <v/>
      </c>
      <c r="N606">
        <f>L606*(1-MIN((Inputs!$B$9+((C611=TRUE)*(F611-Calc!F19))+B622),100)/100)+M606*(MIN((Inputs!$B$9+((C611=TRUE)*(F611-Calc!F19))+B622),100)/100)</f>
        <v/>
      </c>
      <c r="O606">
        <f>(1-Summary!$B$55)*T606+Summary!$B$55*V606</f>
        <v/>
      </c>
      <c r="P606">
        <f>IF(B632=0,0,O606/B632)</f>
        <v/>
      </c>
      <c r="Q606" t="n">
        <v>0</v>
      </c>
      <c r="R606" t="n">
        <v>0</v>
      </c>
      <c r="S606">
        <f>IFERROR(O606/N606,0)</f>
        <v/>
      </c>
      <c r="T606">
        <f>IF(C606,(H606*N606*(B626+IF(AND(Inputs!$B$38&lt;&gt;"pvp",Inputs!$B$43&gt;0),((Skills!G8*((R600-1)*IF(Skills!H8&gt;0,Skills!I8/Skills!H8,1)+IF(Skills!H8&gt;0,MIN(Skills!I8,MAX(0,MAX(0,Inputs!$B$43-B629)-((R600-1)*IF(Inputs!$B$38="pvp",15,MAX(0.1,Skills!D8-IF(Skills!E8=TRUE,Inputs!$B$32,0))))))/Skills!H8,1)))/Inputs!$B$43),G600*Q600)+IF(AND(Inputs!$B$38&lt;&gt;"pvp",Inputs!$B$43&gt;0),((Skills!G11*((R603-1)*IF(Skills!H11&gt;0,Skills!I11/Skills!H11,1)+IF(Skills!H11&gt;0,MIN(Skills!I11,MAX(0,MAX(0,Inputs!$B$43-B629)-((R603-1)*IF(Inputs!$B$38="pvp",15,MAX(0.1,Skills!D11-IF(Skills!E11=TRUE,Inputs!$B$32,0))))))/Skills!H11,1)))/Inputs!$B$43),G603*Q603)))*IF(Inputs!$B$38="pvp",1,1+(Inputs!$B$20+0+Skills!P14)/100),0)</f>
        <v/>
      </c>
      <c r="V606">
        <f>IF(C606,(H606*N606*(B626+IF(AND(Inputs!$B$38&lt;&gt;"pvp",Inputs!$B$43&gt;0),((Skills!G8*((R600-1)*IF(Skills!H8&gt;0,Skills!I8/Skills!H8,1)+IF(Skills!H8&gt;0,MIN(Skills!I8,MAX(0,MAX(0,Inputs!$B$43-B629)-((R600-1)*IF(Inputs!$B$38="pvp",15,MAX(0.1,Skills!D8-IF(Skills!E8=TRUE,Inputs!$B$32,0))))))/Skills!H8,1)))/Inputs!$B$43),G600*Q600)+IF(AND(Inputs!$B$38&lt;&gt;"pvp",Inputs!$B$43&gt;0),((Skills!G11*((R603-1)*IF(Skills!H11&gt;0,Skills!I11/Skills!H11,1)+IF(Skills!H11&gt;0,MIN(Skills!I11,MAX(0,MAX(0,Inputs!$B$43-B629)-((R603-1)*IF(Inputs!$B$38="pvp",15,MAX(0.1,Skills!D11-IF(Skills!E11=TRUE,Inputs!$B$32,0))))))/Skills!H11,1)))/Inputs!$B$43),G603*Q603)))*IF(Inputs!$B$38="pvp",1,(1+(Inputs!$B$21+Skills!Q14)/100)*(MIN(Skills!R14,Inputs!$B$37))),0)</f>
        <v/>
      </c>
    </row>
    <row r="607">
      <c r="A607">
        <f>Skills!A15</f>
        <v/>
      </c>
      <c r="B607">
        <f>Skills!B15</f>
        <v/>
      </c>
      <c r="C607">
        <f>Inputs!$B$3&gt;=100</f>
        <v/>
      </c>
      <c r="D607">
        <f>IF(Skills!C15=1,60+Inputs!$B$25+Inputs!$B$29,IF(Skills!C15=2,90+Inputs!$B$26+Inputs!$B$29,IF(Skills!C15=3,120+Inputs!$B$27+Inputs!$B$29,MAX(0,(Inputs!$B$3-100)*3)+Inputs!$B$28+Inputs!$B$29)))</f>
        <v/>
      </c>
      <c r="E607">
        <f>INDEX(FactorTable!$B$2:$Y$301, MATCH(ROUND(MIN(300,MAX(1,D607)),0), FactorTable!$A$2:$A$301,0), Skills!M15+1)</f>
        <v/>
      </c>
      <c r="F607">
        <f>IF(Skills!N15=TRUE,(Skills!L15/10)*(E607/1000),Skills!L15/10)+Skills!O15</f>
        <v/>
      </c>
      <c r="G607" t="inlineStr"/>
      <c r="H607" t="inlineStr"/>
      <c r="I607" t="inlineStr">
        <is>
          <t>1</t>
        </is>
      </c>
      <c r="J607" t="inlineStr"/>
      <c r="K607" t="inlineStr"/>
      <c r="L607" t="inlineStr"/>
      <c r="M607" t="inlineStr"/>
      <c r="N607" t="inlineStr"/>
      <c r="O607" t="inlineStr"/>
      <c r="P607" t="inlineStr"/>
      <c r="Q607" t="inlineStr"/>
      <c r="R607" t="inlineStr"/>
      <c r="S607" t="inlineStr"/>
    </row>
    <row r="608">
      <c r="A608">
        <f>Skills!A16</f>
        <v/>
      </c>
      <c r="B608">
        <f>Skills!B16</f>
        <v/>
      </c>
      <c r="C608">
        <f>Inputs!$B$3&gt;=120</f>
        <v/>
      </c>
      <c r="D608">
        <f>IF(Skills!C16=1,60+Inputs!$B$25+Inputs!$B$29,IF(Skills!C16=2,90+Inputs!$B$26+Inputs!$B$29,IF(Skills!C16=3,120+Inputs!$B$27+Inputs!$B$29,MAX(0,(Inputs!$B$3-100)*3)+Inputs!$B$28+Inputs!$B$29)))</f>
        <v/>
      </c>
      <c r="E608">
        <f>INDEX(FactorTable!$B$2:$Y$301, MATCH(ROUND(MIN(300,MAX(1,D608)),0), FactorTable!$A$2:$A$301,0), Skills!M16+1)</f>
        <v/>
      </c>
      <c r="F608">
        <f>IF(Skills!N16=TRUE,(Skills!L16/10)*(E608/1000),Skills!L16/10)+Skills!O16</f>
        <v/>
      </c>
      <c r="G608" t="inlineStr"/>
      <c r="H608" t="inlineStr"/>
      <c r="I608" t="inlineStr">
        <is>
          <t>1</t>
        </is>
      </c>
      <c r="J608" t="inlineStr"/>
      <c r="K608" t="inlineStr"/>
      <c r="L608" t="inlineStr"/>
      <c r="M608" t="inlineStr"/>
      <c r="N608" t="inlineStr"/>
      <c r="O608" t="inlineStr"/>
      <c r="P608" t="inlineStr"/>
      <c r="Q608" t="inlineStr"/>
      <c r="R608" t="inlineStr"/>
      <c r="S608" t="inlineStr"/>
    </row>
    <row r="609">
      <c r="A609">
        <f>Skills!A17</f>
        <v/>
      </c>
      <c r="B609">
        <f>Skills!B17</f>
        <v/>
      </c>
      <c r="C609">
        <f>Inputs!$B$3&gt;=66</f>
        <v/>
      </c>
      <c r="D609">
        <f>IF(Skills!C17=1,60+Inputs!$B$25+Inputs!$B$29,IF(Skills!C17=2,90+Inputs!$B$26+Inputs!$B$29,IF(Skills!C17=3,120+Inputs!$B$27+Inputs!$B$29,MAX(0,(Inputs!$B$3-100)*3)+Inputs!$B$28+Inputs!$B$29)))</f>
        <v/>
      </c>
      <c r="E609">
        <f>INDEX(FactorTable!$B$2:$Y$301, MATCH(ROUND(MIN(300,MAX(1,D609)),0), FactorTable!$A$2:$A$301,0), Skills!M17+1)</f>
        <v/>
      </c>
      <c r="F609">
        <f>IF(Skills!N17=TRUE,(Skills!L17/10)*(E609/1000),Skills!L17/10)+Skills!O17</f>
        <v/>
      </c>
      <c r="G609">
        <f>Skills!G17*IF(Skills!H17&gt;0,Skills!I17/Skills!H17,1)</f>
        <v/>
      </c>
      <c r="H609">
        <f>1-(1-Skills!J17/100)^Skills!K17</f>
        <v/>
      </c>
      <c r="I609" t="inlineStr">
        <is>
          <t>1</t>
        </is>
      </c>
      <c r="J609" t="inlineStr"/>
      <c r="K609" t="inlineStr"/>
      <c r="L609" t="inlineStr"/>
      <c r="M609" t="inlineStr"/>
      <c r="N609" t="inlineStr"/>
      <c r="O609">
        <f>(1-Summary!$B$55)*T609+Summary!$B$55*V609</f>
        <v/>
      </c>
      <c r="P609">
        <f>IF(B632=0,0,O609/B632)</f>
        <v/>
      </c>
      <c r="Q609" t="n">
        <v>0</v>
      </c>
      <c r="R609" t="n">
        <v>0</v>
      </c>
      <c r="S609">
        <f>IFERROR(O609/N609,0)</f>
        <v/>
      </c>
      <c r="T609" t="n">
        <v>0</v>
      </c>
      <c r="V609" t="n">
        <v>0</v>
      </c>
    </row>
    <row r="610">
      <c r="A610">
        <f>Skills!A18</f>
        <v/>
      </c>
      <c r="B610">
        <f>Skills!B18</f>
        <v/>
      </c>
      <c r="C610">
        <f>Inputs!$B$3&gt;=115</f>
        <v/>
      </c>
      <c r="D610">
        <f>IF(Skills!C18=1,60+Inputs!$B$25+Inputs!$B$29,IF(Skills!C18=2,90+Inputs!$B$26+Inputs!$B$29,IF(Skills!C18=3,120+Inputs!$B$27+Inputs!$B$29,MAX(0,(Inputs!$B$3-100)*3)+Inputs!$B$28+Inputs!$B$29)))</f>
        <v/>
      </c>
      <c r="E610">
        <f>INDEX(FactorTable!$B$2:$Y$301, MATCH(ROUND(MIN(300,MAX(1,D610)),0), FactorTable!$A$2:$A$301,0), Skills!M18+1)</f>
        <v/>
      </c>
      <c r="F610">
        <f>IF(Skills!N18=TRUE,(Skills!L18/10)*(E610/1000),Skills!L18/10)+Skills!O18</f>
        <v/>
      </c>
      <c r="G610">
        <f>Skills!G18*IF(Skills!H18&gt;0,Skills!I18/Skills!H18,1)</f>
        <v/>
      </c>
      <c r="H610">
        <f>1-(1-Skills!J18/100)^Skills!K18</f>
        <v/>
      </c>
      <c r="I610" t="inlineStr">
        <is>
          <t>1</t>
        </is>
      </c>
      <c r="J610" t="inlineStr"/>
      <c r="K610" t="inlineStr"/>
      <c r="L610" t="inlineStr"/>
      <c r="M610" t="inlineStr"/>
      <c r="N610" t="inlineStr"/>
      <c r="O610">
        <f>(1-Summary!$B$55)*T610+Summary!$B$55*V610</f>
        <v/>
      </c>
      <c r="P610">
        <f>IF(B632=0,0,O610/B632)</f>
        <v/>
      </c>
      <c r="Q610" t="n">
        <v>0</v>
      </c>
      <c r="R610" t="n">
        <v>0</v>
      </c>
      <c r="S610">
        <f>IFERROR(O610/N610,0)</f>
        <v/>
      </c>
      <c r="T610" t="n">
        <v>0</v>
      </c>
      <c r="V610" t="n">
        <v>0</v>
      </c>
    </row>
    <row r="611">
      <c r="A611">
        <f>Skills!A19</f>
        <v/>
      </c>
      <c r="B611">
        <f>Skills!B19</f>
        <v/>
      </c>
      <c r="C611">
        <f>Inputs!$B$3&gt;=15</f>
        <v/>
      </c>
      <c r="D611">
        <f>IF(Skills!C19=1,60+Inputs!$B$25+Inputs!$B$29,IF(Skills!C19=2,90+Inputs!$B$26+Inputs!$B$29,IF(Skills!C19=3,120+Inputs!$B$27+Inputs!$B$29,MAX(0,(Inputs!$B$3-100)*3)+Inputs!$B$28+Inputs!$B$29)))</f>
        <v/>
      </c>
      <c r="E611">
        <f>INDEX(FactorTable!$B$2:$Y$301, MATCH(ROUND(MIN(300,MAX(1,D611)),0), FactorTable!$A$2:$A$301,0), Skills!M19+1)</f>
        <v/>
      </c>
      <c r="F611">
        <f>IF(Skills!N19=TRUE,(Skills!L19/10)*(E611/1000),Skills!L19/10)+Skills!O19</f>
        <v/>
      </c>
      <c r="G611">
        <f>Skills!G19*IF(Skills!H19&gt;0,Skills!I19/Skills!H19,1)</f>
        <v/>
      </c>
      <c r="H611">
        <f>1-(1-Skills!J19/100)^Skills!K19</f>
        <v/>
      </c>
      <c r="I611" t="inlineStr">
        <is>
          <t>1</t>
        </is>
      </c>
      <c r="J611" t="inlineStr"/>
      <c r="K611" t="inlineStr"/>
      <c r="L611" t="inlineStr"/>
      <c r="M611" t="inlineStr"/>
      <c r="N611" t="inlineStr"/>
      <c r="O611">
        <f>(1-Summary!$B$55)*T611+Summary!$B$55*V611</f>
        <v/>
      </c>
      <c r="P611">
        <f>IF(B632=0,0,O611/B632)</f>
        <v/>
      </c>
      <c r="Q611" t="n">
        <v>0</v>
      </c>
      <c r="R611" t="n">
        <v>0</v>
      </c>
      <c r="S611">
        <f>IFERROR(O611/N611,0)</f>
        <v/>
      </c>
      <c r="T611" t="n">
        <v>0</v>
      </c>
      <c r="V611" t="n">
        <v>0</v>
      </c>
    </row>
    <row r="612">
      <c r="A612">
        <f>Skills!A20</f>
        <v/>
      </c>
      <c r="B612">
        <f>Skills!B20</f>
        <v/>
      </c>
      <c r="C612">
        <f>Inputs!$B$3&gt;=10</f>
        <v/>
      </c>
      <c r="D612">
        <f>IF(Skills!C20=1,60+Inputs!$B$25+Inputs!$B$29,IF(Skills!C20=2,90+Inputs!$B$26+Inputs!$B$29,IF(Skills!C20=3,120+Inputs!$B$27+Inputs!$B$29,MAX(0,(Inputs!$B$3-100)*3)+Inputs!$B$28+Inputs!$B$29)))</f>
        <v/>
      </c>
      <c r="E612">
        <f>INDEX(FactorTable!$B$2:$Y$301, MATCH(ROUND(MIN(300,MAX(1,D612)),0), FactorTable!$A$2:$A$301,0), Skills!M20+1)</f>
        <v/>
      </c>
      <c r="F612">
        <f>IF(Skills!N20=TRUE,(Skills!L20/10)*(E612/1000),Skills!L20/10)+Skills!O20</f>
        <v/>
      </c>
      <c r="G612">
        <f>Skills!G20*IF(Skills!H20&gt;0,Skills!I20/Skills!H20,1)</f>
        <v/>
      </c>
      <c r="H612">
        <f>1-(1-Skills!J20/100)^Skills!K20</f>
        <v/>
      </c>
      <c r="I612" t="inlineStr">
        <is>
          <t>1</t>
        </is>
      </c>
      <c r="J612" t="inlineStr"/>
      <c r="K612" t="inlineStr"/>
      <c r="L612" t="inlineStr"/>
      <c r="M612" t="inlineStr"/>
      <c r="N612" t="inlineStr"/>
      <c r="O612">
        <f>(1-Summary!$B$55)*T612+Summary!$B$55*V612</f>
        <v/>
      </c>
      <c r="P612">
        <f>IF(B632=0,0,O612/B632)</f>
        <v/>
      </c>
      <c r="Q612" t="n">
        <v>0</v>
      </c>
      <c r="R612" t="n">
        <v>0</v>
      </c>
      <c r="S612">
        <f>IFERROR(O612/N612,0)</f>
        <v/>
      </c>
      <c r="T612" t="n">
        <v>0</v>
      </c>
      <c r="V612" t="n">
        <v>0</v>
      </c>
    </row>
    <row r="613">
      <c r="A613">
        <f>Skills!A21</f>
        <v/>
      </c>
      <c r="B613">
        <f>Skills!B21</f>
        <v/>
      </c>
      <c r="C613">
        <f>Inputs!$B$3&gt;=33</f>
        <v/>
      </c>
      <c r="D613">
        <f>IF(Skills!C21=1,60+Inputs!$B$25+Inputs!$B$29,IF(Skills!C21=2,90+Inputs!$B$26+Inputs!$B$29,IF(Skills!C21=3,120+Inputs!$B$27+Inputs!$B$29,MAX(0,(Inputs!$B$3-100)*3)+Inputs!$B$28+Inputs!$B$29)))</f>
        <v/>
      </c>
      <c r="E613">
        <f>INDEX(FactorTable!$B$2:$Y$301, MATCH(ROUND(MIN(300,MAX(1,D613)),0), FactorTable!$A$2:$A$301,0), Skills!M21+1)</f>
        <v/>
      </c>
      <c r="F613">
        <f>IF(Skills!N21=TRUE,(Skills!L21/10)*(E613/1000),Skills!L21/10)+Skills!O21</f>
        <v/>
      </c>
      <c r="G613">
        <f>Skills!G21*IF(Skills!H21&gt;0,Skills!I21/Skills!H21,1)</f>
        <v/>
      </c>
      <c r="H613">
        <f>1-(1-Skills!J21/100)^Skills!K21</f>
        <v/>
      </c>
      <c r="I613" t="inlineStr">
        <is>
          <t>1</t>
        </is>
      </c>
      <c r="J613" t="inlineStr"/>
      <c r="K613" t="inlineStr"/>
      <c r="L613" t="inlineStr"/>
      <c r="M613" t="inlineStr"/>
      <c r="N613" t="inlineStr"/>
      <c r="O613">
        <f>(1-Summary!$B$55)*T613+Summary!$B$55*V613</f>
        <v/>
      </c>
      <c r="P613">
        <f>IF(B632=0,0,O613/B632)</f>
        <v/>
      </c>
      <c r="Q613" t="n">
        <v>0</v>
      </c>
      <c r="R613" t="n">
        <v>0</v>
      </c>
      <c r="S613">
        <f>IFERROR(O613/N613,0)</f>
        <v/>
      </c>
      <c r="T613" t="n">
        <v>0</v>
      </c>
      <c r="V613" t="n">
        <v>0</v>
      </c>
    </row>
    <row r="614">
      <c r="A614">
        <f>Skills!A22</f>
        <v/>
      </c>
      <c r="B614">
        <f>Skills!B22</f>
        <v/>
      </c>
      <c r="C614">
        <f>Inputs!$B$3&gt;=43</f>
        <v/>
      </c>
      <c r="D614">
        <f>IF(Skills!C22=1,60+Inputs!$B$25+Inputs!$B$29,IF(Skills!C22=2,90+Inputs!$B$26+Inputs!$B$29,IF(Skills!C22=3,120+Inputs!$B$27+Inputs!$B$29,MAX(0,(Inputs!$B$3-100)*3)+Inputs!$B$28+Inputs!$B$29)))</f>
        <v/>
      </c>
      <c r="E614">
        <f>INDEX(FactorTable!$B$2:$Y$301, MATCH(ROUND(MIN(300,MAX(1,D614)),0), FactorTable!$A$2:$A$301,0), Skills!M22+1)</f>
        <v/>
      </c>
      <c r="F614">
        <f>IF(Skills!N22=TRUE,(Skills!L22/10)*(E614/1000),Skills!L22/10)+Skills!O22</f>
        <v/>
      </c>
      <c r="G614">
        <f>Skills!G22*IF(Skills!H22&gt;0,Skills!I22/Skills!H22,1)</f>
        <v/>
      </c>
      <c r="H614">
        <f>1-(1-Skills!J22/100)^Skills!K22</f>
        <v/>
      </c>
      <c r="I614" t="inlineStr">
        <is>
          <t>1</t>
        </is>
      </c>
      <c r="J614" t="inlineStr"/>
      <c r="K614" t="inlineStr"/>
      <c r="L614" t="inlineStr"/>
      <c r="M614" t="inlineStr"/>
      <c r="N614" t="inlineStr"/>
      <c r="O614">
        <f>(1-Summary!$B$55)*T614+Summary!$B$55*V614</f>
        <v/>
      </c>
      <c r="P614">
        <f>IF(B632=0,0,O614/B632)</f>
        <v/>
      </c>
      <c r="Q614" t="n">
        <v>0</v>
      </c>
      <c r="R614" t="n">
        <v>0</v>
      </c>
      <c r="S614">
        <f>IFERROR(O614/N614,0)</f>
        <v/>
      </c>
      <c r="T614" t="n">
        <v>0</v>
      </c>
      <c r="V614" t="n">
        <v>0</v>
      </c>
    </row>
    <row r="615">
      <c r="A615">
        <f>Skills!A23</f>
        <v/>
      </c>
      <c r="B615">
        <f>Skills!B23</f>
        <v/>
      </c>
      <c r="C615">
        <f>Inputs!$B$3&gt;=38</f>
        <v/>
      </c>
      <c r="D615">
        <f>IF(Skills!C23=1,60+Inputs!$B$25+Inputs!$B$29,IF(Skills!C23=2,90+Inputs!$B$26+Inputs!$B$29,IF(Skills!C23=3,120+Inputs!$B$27+Inputs!$B$29,MAX(0,(Inputs!$B$3-100)*3)+Inputs!$B$28+Inputs!$B$29)))</f>
        <v/>
      </c>
      <c r="E615">
        <f>INDEX(FactorTable!$B$2:$Y$301, MATCH(ROUND(MIN(300,MAX(1,D615)),0), FactorTable!$A$2:$A$301,0), Skills!M23+1)</f>
        <v/>
      </c>
      <c r="F615">
        <f>IF(Skills!N23=TRUE,(Skills!L23/10)*(E615/1000),Skills!L23/10)+Skills!O23</f>
        <v/>
      </c>
      <c r="G615">
        <f>Skills!G23*IF(Skills!H23&gt;0,Skills!I23/Skills!H23,1)</f>
        <v/>
      </c>
      <c r="H615">
        <f>1-(1-Skills!J23/100)^Skills!K23</f>
        <v/>
      </c>
      <c r="I615" t="inlineStr">
        <is>
          <t>1</t>
        </is>
      </c>
      <c r="J615" t="inlineStr"/>
      <c r="K615" t="inlineStr"/>
      <c r="L615" t="inlineStr"/>
      <c r="M615" t="inlineStr"/>
      <c r="N615" t="inlineStr"/>
      <c r="O615">
        <f>(1-Summary!$B$55)*T615+Summary!$B$55*V615</f>
        <v/>
      </c>
      <c r="P615">
        <f>IF(B632=0,0,O615/B632)</f>
        <v/>
      </c>
      <c r="Q615" t="n">
        <v>0</v>
      </c>
      <c r="R615" t="n">
        <v>0</v>
      </c>
      <c r="S615">
        <f>IFERROR(O615/N615,0)</f>
        <v/>
      </c>
      <c r="T615" t="n">
        <v>0</v>
      </c>
      <c r="V615" t="n">
        <v>0</v>
      </c>
    </row>
    <row r="616">
      <c r="A616">
        <f>Skills!A24</f>
        <v/>
      </c>
      <c r="B616">
        <f>Skills!B24</f>
        <v/>
      </c>
      <c r="C616">
        <f>Inputs!$B$3&gt;=40</f>
        <v/>
      </c>
      <c r="D616">
        <f>IF(Skills!C24=1,60+Inputs!$B$25+Inputs!$B$29,IF(Skills!C24=2,90+Inputs!$B$26+Inputs!$B$29,IF(Skills!C24=3,120+Inputs!$B$27+Inputs!$B$29,MAX(0,(Inputs!$B$3-100)*3)+Inputs!$B$28+Inputs!$B$29)))</f>
        <v/>
      </c>
      <c r="E616">
        <f>INDEX(FactorTable!$B$2:$Y$301, MATCH(ROUND(MIN(300,MAX(1,D616)),0), FactorTable!$A$2:$A$301,0), Skills!M24+1)</f>
        <v/>
      </c>
      <c r="F616">
        <f>IF(Skills!N24=TRUE,(Skills!L24/10)*(E616/1000),Skills!L24/10)+Skills!O24</f>
        <v/>
      </c>
      <c r="G616">
        <f>Skills!G24*IF(Skills!H24&gt;0,Skills!I24/Skills!H24,1)</f>
        <v/>
      </c>
      <c r="H616">
        <f>1-(1-Skills!J24/100)^Skills!K24</f>
        <v/>
      </c>
      <c r="I616" t="inlineStr">
        <is>
          <t>1</t>
        </is>
      </c>
      <c r="J616" t="inlineStr"/>
      <c r="K616" t="inlineStr"/>
      <c r="L616" t="inlineStr"/>
      <c r="M616" t="inlineStr"/>
      <c r="N616" t="inlineStr"/>
      <c r="O616">
        <f>(1-Summary!$B$55)*T616+Summary!$B$55*V616</f>
        <v/>
      </c>
      <c r="P616">
        <f>IF(B632=0,0,O616/B632)</f>
        <v/>
      </c>
      <c r="Q616" t="n">
        <v>0</v>
      </c>
      <c r="R616" t="n">
        <v>0</v>
      </c>
      <c r="S616">
        <f>IFERROR(O616/N616,0)</f>
        <v/>
      </c>
      <c r="T616" t="n">
        <v>0</v>
      </c>
      <c r="V616" t="n">
        <v>0</v>
      </c>
    </row>
    <row r="617">
      <c r="A617">
        <f>Skills!A25</f>
        <v/>
      </c>
      <c r="B617">
        <f>Skills!B25</f>
        <v/>
      </c>
      <c r="C617">
        <f>Inputs!$B$3&gt;=72</f>
        <v/>
      </c>
      <c r="D617">
        <f>IF(Skills!C25=1,60+Inputs!$B$25+Inputs!$B$29,IF(Skills!C25=2,90+Inputs!$B$26+Inputs!$B$29,IF(Skills!C25=3,120+Inputs!$B$27+Inputs!$B$29,MAX(0,(Inputs!$B$3-100)*3)+Inputs!$B$28+Inputs!$B$29)))</f>
        <v/>
      </c>
      <c r="E617">
        <f>INDEX(FactorTable!$B$2:$Y$301, MATCH(ROUND(MIN(300,MAX(1,D617)),0), FactorTable!$A$2:$A$301,0), Skills!M25+1)</f>
        <v/>
      </c>
      <c r="F617">
        <f>IF(Skills!N25=TRUE,(Skills!L25/10)*(E617/1000),Skills!L25/10)+Skills!O25</f>
        <v/>
      </c>
      <c r="G617">
        <f>Skills!G25*IF(Skills!H25&gt;0,Skills!I25/Skills!H25,1)</f>
        <v/>
      </c>
      <c r="H617">
        <f>1-(1-Skills!J25/100)^Skills!K25</f>
        <v/>
      </c>
      <c r="I617" t="inlineStr">
        <is>
          <t>1</t>
        </is>
      </c>
      <c r="J617" t="inlineStr"/>
      <c r="K617" t="inlineStr"/>
      <c r="L617" t="inlineStr"/>
      <c r="M617" t="inlineStr"/>
      <c r="N617" t="inlineStr"/>
      <c r="O617">
        <f>(1-Summary!$B$55)*T617+Summary!$B$55*V617</f>
        <v/>
      </c>
      <c r="P617">
        <f>IF(B632=0,0,O617/B632)</f>
        <v/>
      </c>
      <c r="Q617" t="n">
        <v>0</v>
      </c>
      <c r="R617" t="n">
        <v>0</v>
      </c>
      <c r="S617">
        <f>IFERROR(O617/N617,0)</f>
        <v/>
      </c>
      <c r="T617" t="n">
        <v>0</v>
      </c>
      <c r="V617" t="n">
        <v>0</v>
      </c>
    </row>
    <row r="618">
      <c r="A618">
        <f>Skills!A26</f>
        <v/>
      </c>
      <c r="B618">
        <f>Skills!B26</f>
        <v/>
      </c>
      <c r="C618">
        <f>Inputs!$B$3&gt;=75</f>
        <v/>
      </c>
      <c r="D618">
        <f>IF(Skills!C26=1,60+Inputs!$B$25+Inputs!$B$29,IF(Skills!C26=2,90+Inputs!$B$26+Inputs!$B$29,IF(Skills!C26=3,120+Inputs!$B$27+Inputs!$B$29,MAX(0,(Inputs!$B$3-100)*3)+Inputs!$B$28+Inputs!$B$29)))</f>
        <v/>
      </c>
      <c r="E618">
        <f>INDEX(FactorTable!$B$2:$Y$301, MATCH(ROUND(MIN(300,MAX(1,D618)),0), FactorTable!$A$2:$A$301,0), Skills!M26+1)</f>
        <v/>
      </c>
      <c r="F618">
        <f>IF(Skills!N26=TRUE,(Skills!L26/10)*(E618/1000),Skills!L26/10)+Skills!O26</f>
        <v/>
      </c>
      <c r="G618">
        <f>Skills!G26*IF(Skills!H26&gt;0,Skills!I26/Skills!H26,1)</f>
        <v/>
      </c>
      <c r="H618">
        <f>1-(1-Skills!J26/100)^Skills!K26</f>
        <v/>
      </c>
      <c r="I618" t="inlineStr">
        <is>
          <t>1</t>
        </is>
      </c>
      <c r="J618" t="inlineStr"/>
      <c r="K618" t="inlineStr"/>
      <c r="L618" t="inlineStr"/>
      <c r="M618" t="inlineStr"/>
      <c r="N618" t="inlineStr"/>
      <c r="O618">
        <f>(1-Summary!$B$55)*T618+Summary!$B$55*V618</f>
        <v/>
      </c>
      <c r="P618">
        <f>IF(B632=0,0,O618/B632)</f>
        <v/>
      </c>
      <c r="Q618" t="n">
        <v>0</v>
      </c>
      <c r="R618" t="n">
        <v>0</v>
      </c>
      <c r="S618">
        <f>IFERROR(O618/N618,0)</f>
        <v/>
      </c>
      <c r="T618" t="n">
        <v>0</v>
      </c>
      <c r="V618" t="n">
        <v>0</v>
      </c>
    </row>
    <row r="619">
      <c r="A619">
        <f>Skills!A27</f>
        <v/>
      </c>
      <c r="B619">
        <f>Skills!B27</f>
        <v/>
      </c>
      <c r="C619">
        <f>Inputs!$B$3&gt;=117</f>
        <v/>
      </c>
      <c r="D619">
        <f>IF(Skills!C27=1,60+Inputs!$B$25+Inputs!$B$29,IF(Skills!C27=2,90+Inputs!$B$26+Inputs!$B$29,IF(Skills!C27=3,120+Inputs!$B$27+Inputs!$B$29,MAX(0,(Inputs!$B$3-100)*3)+Inputs!$B$28+Inputs!$B$29)))</f>
        <v/>
      </c>
      <c r="E619">
        <f>INDEX(FactorTable!$B$2:$Y$301, MATCH(ROUND(MIN(300,MAX(1,D619)),0), FactorTable!$A$2:$A$301,0), Skills!M27+1)</f>
        <v/>
      </c>
      <c r="F619">
        <f>IF(Skills!N27=TRUE,(Skills!L27/10)*(E619/1000),Skills!L27/10)+Skills!O27</f>
        <v/>
      </c>
      <c r="G619">
        <f>Skills!G27*IF(Skills!H27&gt;0,Skills!I27/Skills!H27,1)</f>
        <v/>
      </c>
      <c r="H619">
        <f>1-(1-Skills!J27/100)^Skills!K27</f>
        <v/>
      </c>
      <c r="I619" t="inlineStr">
        <is>
          <t>1</t>
        </is>
      </c>
      <c r="J619" t="inlineStr"/>
      <c r="K619" t="inlineStr"/>
      <c r="L619" t="inlineStr"/>
      <c r="M619" t="inlineStr"/>
      <c r="N619" t="inlineStr"/>
      <c r="O619">
        <f>(1-Summary!$B$55)*T619+Summary!$B$55*V619</f>
        <v/>
      </c>
      <c r="P619">
        <f>IF(B632=0,0,O619/B632)</f>
        <v/>
      </c>
      <c r="Q619" t="n">
        <v>0</v>
      </c>
      <c r="R619" t="n">
        <v>0</v>
      </c>
      <c r="S619">
        <f>IFERROR(O619/N619,0)</f>
        <v/>
      </c>
      <c r="T619" t="n">
        <v>0</v>
      </c>
      <c r="V619" t="n">
        <v>0</v>
      </c>
    </row>
    <row r="621">
      <c r="A621" t="inlineStr">
        <is>
          <t>Attack% Bucket Multiplier</t>
        </is>
      </c>
      <c r="B621">
        <f>(1+(((C609=TRUE)*F609)+((C616=TRUE)*(F616-Calc!F24)))/100)</f>
        <v/>
      </c>
    </row>
    <row r="622">
      <c r="A622" t="inlineStr">
        <is>
          <t>Global Crit Rate Bonus %</t>
        </is>
      </c>
      <c r="B622" t="n">
        <v>0</v>
      </c>
    </row>
    <row r="623">
      <c r="A623" t="inlineStr">
        <is>
          <t>Attack Speed Buff Bonus % (unused)</t>
        </is>
      </c>
      <c r="B623" t="n">
        <v>0</v>
      </c>
    </row>
    <row r="624">
      <c r="A624" t="inlineStr">
        <is>
          <t>Actions Per Second</t>
        </is>
      </c>
      <c r="B624">
        <f>1+MIN(150,150*(1-(1-(Inputs!$B$11+((C612=TRUE)*(F612-Calc!F20))+((C613=TRUE)*(F613-Calc!F21)))/150)*(1-B623/150)))/100</f>
        <v/>
      </c>
    </row>
    <row r="625">
      <c r="A625" t="inlineStr">
        <is>
          <t>Skill + Buff Cast Rate</t>
        </is>
      </c>
      <c r="B625">
        <f>IF(AND(Inputs!$B$38&lt;&gt;"pvp",Inputs!$B$43&gt;0),SUMPRODUCT((Skills!E2:E27=TRUE)*(C594:C619=TRUE)*R594:R619*Skills!F2:F27)/Inputs!$B$43,SUMPRODUCT((Skills!E2:E27=TRUE)*(C594:C619=TRUE)*Q594:Q619*Skills!F2:F27))</f>
        <v/>
      </c>
    </row>
    <row r="626">
      <c r="A626" t="inlineStr">
        <is>
          <t>Eight-Legs Easton Casts Per Second</t>
        </is>
      </c>
      <c r="B626">
        <f>MAX(0,B624-B625)</f>
        <v/>
      </c>
    </row>
    <row r="627">
      <c r="A627" t="inlineStr">
        <is>
          <t>Global Critical Damage Bonus % (unused)</t>
        </is>
      </c>
      <c r="B627" t="n">
        <v>0</v>
      </c>
    </row>
    <row r="628">
      <c r="A628" t="inlineStr">
        <is>
          <t>Global Final Damage Bonus % (Jolly Roger only)</t>
        </is>
      </c>
      <c r="B628">
        <f>((C610=TRUE)*F610)</f>
        <v/>
      </c>
    </row>
    <row r="629">
      <c r="A629" t="inlineStr">
        <is>
          <t>Buff-Casting Startup Delay (s, fixed-duration only)</t>
        </is>
      </c>
      <c r="B629">
        <f>IF(AND(Inputs!$B$38&lt;&gt;"pvp",Inputs!$B$43&gt;0),SUMPRODUCT((Skills!T2:T27&gt;0)*(Skills!E2:E27=TRUE)*(C594:C619=TRUE))/B624,0)</f>
        <v/>
      </c>
    </row>
    <row r="630">
      <c r="A630" t="inlineStr">
        <is>
          <t>Boss-Only Total DPS (this block's swept value)</t>
        </is>
      </c>
      <c r="B630">
        <f>SUM(T594:T619)</f>
        <v/>
      </c>
    </row>
    <row r="631">
      <c r="A631" t="inlineStr">
        <is>
          <t>Normal-Only Total DPS (this block's swept value)</t>
        </is>
      </c>
      <c r="B631">
        <f>SUM(V594:V619)</f>
        <v/>
      </c>
    </row>
    <row r="632">
      <c r="A632" s="5" t="inlineStr">
        <is>
          <t>TOTAL DPS</t>
        </is>
      </c>
      <c r="B632" s="5">
        <f>SUM(O594:O619)</f>
        <v/>
      </c>
    </row>
    <row r="635">
      <c r="A635" s="5" t="inlineStr">
        <is>
          <t>Stat: BASIC_ATTACK_DAMAGE %</t>
        </is>
      </c>
    </row>
    <row r="636">
      <c r="A636" s="9" t="inlineStr">
        <is>
          <t>Key</t>
        </is>
      </c>
      <c r="B636" s="9" t="inlineStr">
        <is>
          <t>Name</t>
        </is>
      </c>
      <c r="C636" s="9" t="inlineStr">
        <is>
          <t>Unlocked</t>
        </is>
      </c>
      <c r="D636" s="9" t="inlineStr">
        <is>
          <t>InputLevel</t>
        </is>
      </c>
      <c r="E636" s="9" t="inlineStr">
        <is>
          <t>Factor</t>
        </is>
      </c>
      <c r="F636" s="9" t="inlineStr">
        <is>
          <t>CoefficientPercent</t>
        </is>
      </c>
      <c r="G636" s="9" t="inlineStr">
        <is>
          <t>EffectiveHits</t>
        </is>
      </c>
      <c r="H636" s="9" t="inlineStr">
        <is>
          <t>ProcProbability</t>
        </is>
      </c>
      <c r="I636" s="9" t="inlineStr">
        <is>
          <t>MapleHeroMultiplier</t>
        </is>
      </c>
      <c r="J636" s="9" t="inlineStr">
        <is>
          <t>BaseDamage</t>
        </is>
      </c>
      <c r="K636" s="9" t="inlineStr">
        <is>
          <t>BaseHitDamage</t>
        </is>
      </c>
      <c r="L636" s="9" t="inlineStr">
        <is>
          <t>NonCritAvg</t>
        </is>
      </c>
      <c r="M636" s="9" t="inlineStr">
        <is>
          <t>CritAvg</t>
        </is>
      </c>
      <c r="N636" s="9" t="inlineStr">
        <is>
          <t>ExpectedDamage(perHit)</t>
        </is>
      </c>
      <c r="O636" s="9" t="inlineStr">
        <is>
          <t>DPS</t>
        </is>
      </c>
      <c r="P636" s="9" t="inlineStr">
        <is>
          <t>% of Total</t>
        </is>
      </c>
      <c r="Q636" s="9" t="inlineStr">
        <is>
          <t>InvCooldown</t>
        </is>
      </c>
      <c r="R636" s="9" t="inlineStr">
        <is>
          <t>CastsInFight</t>
        </is>
      </c>
      <c r="S636" s="9"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((Inputs!$B$6*(1+Inputs!$B$7/100))+(((Inputs!$B$12*(1+Inputs!$B$13/100))-(Inputs!$B$12*(1+Inputs!$B$13/100)))+0.25*(Inputs!$B$14-Inputs!$B$14))*(1+Inputs!$B$7/100))*(F637/100)</f>
        <v/>
      </c>
      <c r="K637">
        <f>J637*(1+((Inputs!$B$12*(1+Inputs!$B$13/100))*0.01+Inputs!$B$14*0.0025)/100)*(1+Inputs!$B$15/100)*(1+Inputs!$B$16/100)*(5000/(6000+Inputs!$B$42*(1-(Inputs!$B$19+0)/100)))*(1+(Inputs!$B$24+((C661=TRUE)*(F661-Calc!F26))+B671)/100)*(1+(IF(Skills!A2="EIGHT_LEGS_EASTON",(Inputs!$B$17+1)+((C658=TRUE)*(F658-Calc!F23))+((C662=TRUE)*(F662-Calc!F27)),Inputs!$B$18+0))/100)*((1+(((C652=TRUE)*F652)+((C659=TRUE)*(F659-Calc!F24)))/100)*I637)</f>
        <v/>
      </c>
      <c r="L637">
        <f>K637*(MIN(Inputs!$B$22+((C657=TRUE)*(F657-Calc!F22)),Inputs!$B$23+0)/100+(Inputs!$B$23+0)/100)/2</f>
        <v/>
      </c>
      <c r="M637">
        <f>L637*(1+(Inputs!$B$10+((C660=TRUE)*(F660-Calc!F25))+B670)/100)</f>
        <v/>
      </c>
      <c r="N637">
        <f>L637*(1-MIN((Inputs!$B$9+((C654=TRUE)*(F654-Calc!F19))+B665),100)/100)+M637*(MIN((Inputs!$B$9+((C654=TRUE)*(F654-Calc!F19))+B665),100)/100)</f>
        <v/>
      </c>
      <c r="O637">
        <f>(1-Summary!$B$55)*T637+Summary!$B$55*V637</f>
        <v/>
      </c>
      <c r="P637">
        <f>IF(B675=0,0,O637/B675)</f>
        <v/>
      </c>
      <c r="Q637" t="n">
        <v>0</v>
      </c>
      <c r="R637" t="n">
        <v>0</v>
      </c>
      <c r="S637">
        <f>IFERROR(O637/N637,0)</f>
        <v/>
      </c>
      <c r="T637">
        <f>IF(C637,(Skills!G2*N637*B669)*IF(Inputs!$B$38="pvp",1,1+(Inputs!$B$20+0+Skills!P2)/100),0)</f>
        <v/>
      </c>
      <c r="U637">
        <f>MAX(0,(Inputs!$B$3-100)*3)+Inputs!$B$28+Inputs!$B$29</f>
        <v/>
      </c>
      <c r="V637">
        <f>IF(C637,(Skills!G2*N637*B669)*IF(Inputs!$B$38="pvp",1,(1+(Inputs!$B$21+Skills!Q2)/100)*(MIN((6+Inputs!$B$33),Inputs!$B$37))),0)</f>
        <v/>
      </c>
    </row>
    <row r="638">
      <c r="A638">
        <f>Skills!A3</f>
        <v/>
      </c>
      <c r="B638">
        <f>Skills!B3</f>
        <v/>
      </c>
      <c r="C638">
        <f>Inputs!$B$3&gt;=35</f>
        <v/>
      </c>
      <c r="D638">
        <f>IF(Skills!C3=1,60+Inputs!$B$25+Inputs!$B$29,IF(Skills!C3=2,90+Inputs!$B$26+Inputs!$B$29,IF(Skills!C3=3,120+Inputs!$B$27+Inputs!$B$29,MAX(0,(Inputs!$B$3-100)*3)+Inputs!$B$28+Inputs!$B$29)))</f>
        <v/>
      </c>
      <c r="E638">
        <f>INDEX(FactorTable!$B$2:$Y$301, MATCH(ROUND(MIN(300,MAX(1,D638)),0), FactorTable!$A$2:$A$301,0), Skills!M3+1)</f>
        <v/>
      </c>
      <c r="F638">
        <f>IF(Skills!N3=TRUE,(Skills!L3/10)*(E638/1000),Skills!L3/10)+Skills!O3</f>
        <v/>
      </c>
      <c r="G638">
        <f>Skills!G3*IF(Skills!H3&gt;0,Skills!I3/Skills!H3,1)</f>
        <v/>
      </c>
      <c r="H638">
        <f>1-(1-Skills!J3/100)^Skills!K3</f>
        <v/>
      </c>
      <c r="I638" t="inlineStr">
        <is>
          <t>1</t>
        </is>
      </c>
      <c r="J638">
        <f>((Inputs!$B$6*(1+Inputs!$B$7/100))+(((Inputs!$B$12*(1+Inputs!$B$13/100))-(Inputs!$B$12*(1+Inputs!$B$13/100)))+0.25*(Inputs!$B$14-Inputs!$B$14))*(1+Inputs!$B$7/100))*(F638/100)</f>
        <v/>
      </c>
      <c r="K638">
        <f>J638*(1+((Inputs!$B$12*(1+Inputs!$B$13/100))*0.01+Inputs!$B$14*0.0025)/100)*(1+Inputs!$B$15/100)*(1+Inputs!$B$16/100)*(5000/(6000+Inputs!$B$42*(1-(Inputs!$B$19+0)/100)))*(1+(Inputs!$B$24+((C661=TRUE)*(F661-Calc!F26))+B671)/100)*(1+4.0*IF(C650=TRUE,F650,0)/100)*(1+(IF(Skills!A3="EIGHT_LEGS_EASTON",(Inputs!$B$17+1)+((C658=TRUE)*(F658-Calc!F23))+((C662=TRUE)*(F662-Calc!F27)),Inputs!$B$18+0))/100)*((1+(((C652=TRUE)*F652)+((C659=TRUE)*(F659-Calc!F24)))/100)*I638)</f>
        <v/>
      </c>
      <c r="L638">
        <f>K638*(MIN(Inputs!$B$22+((C657=TRUE)*(F657-Calc!F22)),Inputs!$B$23+0)/100+(Inputs!$B$23+0)/100)/2</f>
        <v/>
      </c>
      <c r="M638">
        <f>L638*(1+(Inputs!$B$10+((C660=TRUE)*(F660-Calc!F25))+B670)/100)</f>
        <v/>
      </c>
      <c r="N638">
        <f>L638*(1-MIN((Inputs!$B$9+((C654=TRUE)*(F654-Calc!F19))+B665),100)/100)+M638*(MIN((Inputs!$B$9+((C654=TRUE)*(F654-Calc!F19))+B665),100)/100)</f>
        <v/>
      </c>
      <c r="O638">
        <f>(1-Summary!$B$55)*T638+Summary!$B$55*V638</f>
        <v/>
      </c>
      <c r="P638">
        <f>IF(B675=0,0,O638/B675)</f>
        <v/>
      </c>
      <c r="Q638">
        <f>IFERROR(1/IF(Inputs!$B$38="pvp",15,MAX(0.1,Skills!D3-IF(Skills!E3=TRUE,Inputs!$B$32,0))),0)</f>
        <v/>
      </c>
      <c r="R638">
        <f>IF(AND(Inputs!$B$38&lt;&gt;"pvp",Inputs!$B$43&gt;0),IF(MAX(0,Inputs!$B$43-B672)&lt;=0,0,(INT(MAX(0,Inputs!$B$43-B672)/IF(Inputs!$B$38="pvp",15,MAX(0.1,Skills!D3-IF(Skills!E3=TRUE,Inputs!$B$32,0))))+1)),0)</f>
        <v/>
      </c>
      <c r="S638">
        <f>IFERROR(O638/N638,0)</f>
        <v/>
      </c>
      <c r="T638">
        <f>IF(C638,(H638*N638*IF(AND(Inputs!$B$38&lt;&gt;"pvp",Inputs!$B$43&gt;0),((Skills!G3*((R638-1)*IF(Skills!H3&gt;0,Skills!I3/Skills!H3,1)+IF(Skills!H3&gt;0,MIN(Skills!I3,MAX(0,MAX(0,Inputs!$B$43-B672)-((R638-1)*IF(Inputs!$B$38="pvp",15,MAX(0.1,Skills!D3-IF(Skills!E3=TRUE,Inputs!$B$32,0))))))/Skills!H3,1)))/Inputs!$B$43),G638*Q638))*IF(Inputs!$B$38="pvp",1,1+(Inputs!$B$20+0+Skills!P3)/100),0)</f>
        <v/>
      </c>
      <c r="U638">
        <f>INDEX(FactorTable!$B$2:$Y$301, MATCH(ROUND(MIN(300,MAX(1,U637)),0), FactorTable!$A$2:$A$301,0), 22)</f>
        <v/>
      </c>
      <c r="V638">
        <f>IF(C638,(H638*N638*IF(AND(Inputs!$B$38&lt;&gt;"pvp",Inputs!$B$43&gt;0),((Skills!G3*((R638-1)*IF(Skills!H3&gt;0,Skills!I3/Skills!H3,1)+IF(Skills!H3&gt;0,MIN(Skills!I3,MAX(0,MAX(0,Inputs!$B$43-B672)-((R638-1)*IF(Inputs!$B$38="pvp",15,MAX(0.1,Skills!D3-IF(Skills!E3=TRUE,Inputs!$B$32,0))))))/Skills!H3,1)))/Inputs!$B$43),G638*Q638))*IF(Inputs!$B$38="pvp",1,(1+(Inputs!$B$21+Skills!Q3)/100)*(MIN(Skills!R3,Inputs!$B$37))),0)</f>
        <v/>
      </c>
    </row>
    <row r="639">
      <c r="A639">
        <f>Skills!A4</f>
        <v/>
      </c>
      <c r="B639">
        <f>Skills!B4</f>
        <v/>
      </c>
      <c r="C639">
        <f>Inputs!$B$3&gt;=40</f>
        <v/>
      </c>
      <c r="D639">
        <f>IF(Skills!C4=1,60+Inputs!$B$25+Inputs!$B$29,IF(Skills!C4=2,90+Inputs!$B$26+Inputs!$B$29,IF(Skills!C4=3,120+Inputs!$B$27+Inputs!$B$29,MAX(0,(Inputs!$B$3-100)*3)+Inputs!$B$28+Inputs!$B$29)))</f>
        <v/>
      </c>
      <c r="E639">
        <f>INDEX(FactorTable!$B$2:$Y$301, MATCH(ROUND(MIN(300,MAX(1,D639)),0), FactorTable!$A$2:$A$301,0), Skills!M4+1)</f>
        <v/>
      </c>
      <c r="F639">
        <f>IF(Skills!N4=TRUE,(Skills!L4/10)*(E639/1000),Skills!L4/10)+Skills!O4</f>
        <v/>
      </c>
      <c r="G639">
        <f>Skills!G4*IF(Skills!H4&gt;0,Skills!I4/Skills!H4,1)</f>
        <v/>
      </c>
      <c r="H639">
        <f>1-(1-Skills!J4/100)^Skills!K4</f>
        <v/>
      </c>
      <c r="I639" t="inlineStr">
        <is>
          <t>1</t>
        </is>
      </c>
      <c r="J639">
        <f>((Inputs!$B$6*(1+Inputs!$B$7/100))+(((Inputs!$B$12*(1+Inputs!$B$13/100))-(Inputs!$B$12*(1+Inputs!$B$13/100)))+0.25*(Inputs!$B$14-Inputs!$B$14))*(1+Inputs!$B$7/100))*(F639/100)</f>
        <v/>
      </c>
      <c r="K639">
        <f>J639*(1+((Inputs!$B$12*(1+Inputs!$B$13/100))*0.01+Inputs!$B$14*0.0025)/100)*(1+Inputs!$B$15/100)*(1+Inputs!$B$16/100)*(5000/(6000+Inputs!$B$42*(1-(Inputs!$B$19+0)/100)))*(1+(Inputs!$B$24+((C661=TRUE)*(F661-Calc!F26))+B671)/100)*(1+1.0*IF(C651=TRUE,F651,0)/100)*(1+(IF(Skills!A4="EIGHT_LEGS_EASTON",(Inputs!$B$17+1)+((C658=TRUE)*(F658-Calc!F23))+((C662=TRUE)*(F662-Calc!F27)),Inputs!$B$18+0))/100)*((1+(((C652=TRUE)*F652)+((C659=TRUE)*(F659-Calc!F24)))/100)*I639)</f>
        <v/>
      </c>
      <c r="L639">
        <f>K639*(MIN(Inputs!$B$22+((C657=TRUE)*(F657-Calc!F22)),Inputs!$B$23+0)/100+(Inputs!$B$23+0)/100)/2</f>
        <v/>
      </c>
      <c r="M639">
        <f>L639*(1+(Inputs!$B$10+((C660=TRUE)*(F660-Calc!F25))+B670)/100)</f>
        <v/>
      </c>
      <c r="N639">
        <f>L639*(1-MIN((Inputs!$B$9+((C654=TRUE)*(F654-Calc!F19))+B665),100)/100)+M639*(MIN((Inputs!$B$9+((C654=TRUE)*(F654-Calc!F19))+B665),100)/100)</f>
        <v/>
      </c>
      <c r="O639">
        <f>(1-Summary!$B$55)*T639+Summary!$B$55*V639</f>
        <v/>
      </c>
      <c r="P639">
        <f>IF(B675=0,0,O639/B675)</f>
        <v/>
      </c>
      <c r="Q639">
        <f>IFERROR(1/IF(Inputs!$B$38="pvp",15,MAX(0.1,Skills!D4-IF(Skills!E4=TRUE,Inputs!$B$32,0))),0)</f>
        <v/>
      </c>
      <c r="R639">
        <f>IF(AND(Inputs!$B$38&lt;&gt;"pvp",Inputs!$B$43&gt;0),IF(MAX(0,Inputs!$B$43-B672)&lt;=0,0,(INT(MAX(0,Inputs!$B$43-B672)/IF(Inputs!$B$38="pvp",15,MAX(0.1,Skills!D4-IF(Skills!E4=TRUE,Inputs!$B$32,0))))+1)),0)</f>
        <v/>
      </c>
      <c r="S639">
        <f>IFERROR(O639/N639,0)</f>
        <v/>
      </c>
      <c r="T639">
        <f>IF(C639,(H639*N639*IF(AND(Inputs!$B$38&lt;&gt;"pvp",Inputs!$B$43&gt;0),((Skills!G4*((R639-1)*IF(Skills!H4&gt;0,Skills!I4/Skills!H4,1)+IF(Skills!H4&gt;0,MIN(Skills!I4,MAX(0,MAX(0,Inputs!$B$43-B672)-((R639-1)*IF(Inputs!$B$38="pvp",15,MAX(0.1,Skills!D4-IF(Skills!E4=TRUE,Inputs!$B$32,0))))))/Skills!H4,1)))/Inputs!$B$43),G639*Q639))*IF(Inputs!$B$38="pvp",1,1+(Inputs!$B$20+0+Skills!P4)/100),0)</f>
        <v/>
      </c>
      <c r="U639">
        <f>290*U638/1000</f>
        <v/>
      </c>
      <c r="V639">
        <f>IF(C639,(H639*N639*IF(AND(Inputs!$B$38&lt;&gt;"pvp",Inputs!$B$43&gt;0),((Skills!G4*((R639-1)*IF(Skills!H4&gt;0,Skills!I4/Skills!H4,1)+IF(Skills!H4&gt;0,MIN(Skills!I4,MAX(0,MAX(0,Inputs!$B$43-B672)-((R639-1)*IF(Inputs!$B$38="pvp",15,MAX(0.1,Skills!D4-IF(Skills!E4=TRUE,Inputs!$B$32,0))))))/Skills!H4,1)))/Inputs!$B$43),G639*Q639))*IF(Inputs!$B$38="pvp",1,(1+(Inputs!$B$21+Skills!Q4)/100)*(MIN(Skills!R4,Inputs!$B$37))),0)</f>
        <v/>
      </c>
    </row>
    <row r="640">
      <c r="A640">
        <f>Skills!A5</f>
        <v/>
      </c>
      <c r="B640">
        <f>Skills!B5</f>
        <v/>
      </c>
      <c r="C640">
        <f>Inputs!$B$3&gt;=45</f>
        <v/>
      </c>
      <c r="D640">
        <f>IF(Skills!C5=1,60+Inputs!$B$25+Inputs!$B$29,IF(Skills!C5=2,90+Inputs!$B$26+Inputs!$B$29,IF(Skills!C5=3,120+Inputs!$B$27+Inputs!$B$29,MAX(0,(Inputs!$B$3-100)*3)+Inputs!$B$28+Inputs!$B$29)))</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((Inputs!$B$6*(1+Inputs!$B$7/100))+(((Inputs!$B$12*(1+Inputs!$B$13/100))-(Inputs!$B$12*(1+Inputs!$B$13/100)))+0.25*(Inputs!$B$14-Inputs!$B$14))*(1+Inputs!$B$7/100))*(F640/100)</f>
        <v/>
      </c>
      <c r="K640">
        <f>J640*(1+((Inputs!$B$12*(1+Inputs!$B$13/100))*0.01+Inputs!$B$14*0.0025)/100)*(1+Inputs!$B$15/100)*(1+Inputs!$B$16/100)*(5000/(6000+Inputs!$B$42*(1-(Inputs!$B$19+0)/100)))*(1+(Inputs!$B$24+((C661=TRUE)*(F661-Calc!F26))+B671)/100)*(1+0.4*IF(C651=TRUE,F651,0)/100)*(1+(IF(Skills!A5="EIGHT_LEGS_EASTON",(Inputs!$B$17+1)+((C658=TRUE)*(F658-Calc!F23))+((C662=TRUE)*(F662-Calc!F27)),Inputs!$B$18+0))/100)*((1+(((C652=TRUE)*F652)+((C659=TRUE)*(F659-Calc!F24)))/100)*I640)</f>
        <v/>
      </c>
      <c r="L640">
        <f>K640*(MIN(Inputs!$B$22+((C657=TRUE)*(F657-Calc!F22)),Inputs!$B$23+0)/100+(Inputs!$B$23+0)/100)/2</f>
        <v/>
      </c>
      <c r="M640">
        <f>L640*(1+(Inputs!$B$10+((C660=TRUE)*(F660-Calc!F25))+B670)/100)</f>
        <v/>
      </c>
      <c r="N640">
        <f>L640*(1-MIN((Inputs!$B$9+((C654=TRUE)*(F654-Calc!F19))+B665),100)/100)+M640*(MIN((Inputs!$B$9+((C654=TRUE)*(F654-Calc!F19))+B665),100)/100)</f>
        <v/>
      </c>
      <c r="O640">
        <f>(1-Summary!$B$55)*T640+Summary!$B$55*V640</f>
        <v/>
      </c>
      <c r="P640">
        <f>IF(B675=0,0,O640/B675)</f>
        <v/>
      </c>
      <c r="Q640">
        <f>IFERROR(1/IF(Inputs!$B$38="pvp",15,MAX(0.1,Skills!D5-IF(Skills!E5=TRUE,Inputs!$B$32,0))),0)</f>
        <v/>
      </c>
      <c r="R640">
        <f>IF(AND(Inputs!$B$38&lt;&gt;"pvp",Inputs!$B$43&gt;0),IF(MAX(0,Inputs!$B$43-B672)&lt;=0,0,(INT(MAX(0,Inputs!$B$43-B672)/IF(Inputs!$B$38="pvp",15,MAX(0.1,Skills!D5-IF(Skills!E5=TRUE,Inputs!$B$32,0))))+1)),0)</f>
        <v/>
      </c>
      <c r="S640">
        <f>IFERROR(O640/N640,0)</f>
        <v/>
      </c>
      <c r="T640">
        <f>IF(C640,(H640*N640*IF(AND(Inputs!$B$38&lt;&gt;"pvp",Inputs!$B$43&gt;0),((Skills!G5*((R640-1)*IF(Skills!H5&gt;0,Skills!I5/Skills!H5,1)+IF(Skills!H5&gt;0,MIN(Skills!I5,MAX(0,MAX(0,Inputs!$B$43-B672)-((R640-1)*IF(Inputs!$B$38="pvp",15,MAX(0.1,Skills!D5-IF(Skills!E5=TRUE,Inputs!$B$32,0))))))/Skills!H5,1)))/Inputs!$B$43),G640*Q640))*IF(Inputs!$B$38="pvp",1,1+(Inputs!$B$20+0+Skills!P5)/100),0)</f>
        <v/>
      </c>
      <c r="V640">
        <f>IF(C640,(H640*N640*IF(AND(Inputs!$B$38&lt;&gt;"pvp",Inputs!$B$43&gt;0),((Skills!G5*((R640-1)*IF(Skills!H5&gt;0,Skills!I5/Skills!H5,1)+IF(Skills!H5&gt;0,MIN(Skills!I5,MAX(0,MAX(0,Inputs!$B$43-B672)-((R640-1)*IF(Inputs!$B$38="pvp",15,MAX(0.1,Skills!D5-IF(Skills!E5=TRUE,Inputs!$B$32,0))))))/Skills!H5,1)))/Inputs!$B$43),G640*Q640))*IF(Inputs!$B$38="pvp",1,(1+(Inputs!$B$21+Skills!Q5)/100)*(MIN(Skills!R5,Inputs!$B$37))),0)</f>
        <v/>
      </c>
    </row>
    <row r="641">
      <c r="A641">
        <f>Skills!A6</f>
        <v/>
      </c>
      <c r="B641">
        <f>Skills!B6</f>
        <v/>
      </c>
      <c r="C641">
        <f>Inputs!$B$3&gt;=63</f>
        <v/>
      </c>
      <c r="D641">
        <f>IF(Skills!C6=1,60+Inputs!$B$25+Inputs!$B$29,IF(Skills!C6=2,90+Inputs!$B$26+Inputs!$B$29,IF(Skills!C6=3,120+Inputs!$B$27+Inputs!$B$29,MAX(0,(Inputs!$B$3-100)*3)+Inputs!$B$28+Inputs!$B$29)))</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((Inputs!$B$6*(1+Inputs!$B$7/100))+(((Inputs!$B$12*(1+Inputs!$B$13/100))-(Inputs!$B$12*(1+Inputs!$B$13/100)))+0.25*(Inputs!$B$14-Inputs!$B$14))*(1+Inputs!$B$7/100))*(F641/100)</f>
        <v/>
      </c>
      <c r="K641">
        <f>J641*(1+((Inputs!$B$12*(1+Inputs!$B$13/100))*0.01+Inputs!$B$14*0.0025)/100)*(1+Inputs!$B$15/100)*(1+Inputs!$B$16/100)*(5000/(6000+Inputs!$B$42*(1-(Inputs!$B$19+0)/100)))*(1+(Inputs!$B$24+((C661=TRUE)*(F661-Calc!F26))+B671)/100)*(1+2.0*IF(C650=TRUE,F650,0)/100)*(1+(IF(Skills!A6="EIGHT_LEGS_EASTON",(Inputs!$B$17+1)+((C658=TRUE)*(F658-Calc!F23))+((C662=TRUE)*(F662-Calc!F27)),Inputs!$B$18+0))/100)*((1+(((C652=TRUE)*F652)+((C659=TRUE)*(F659-Calc!F24)))/100)*I641)</f>
        <v/>
      </c>
      <c r="L641">
        <f>K641*(MIN(Inputs!$B$22+((C657=TRUE)*(F657-Calc!F22)),Inputs!$B$23+0)/100+(Inputs!$B$23+0)/100)/2</f>
        <v/>
      </c>
      <c r="M641">
        <f>L641*(1+(Inputs!$B$10+((C660=TRUE)*(F660-Calc!F25))+B670)/100)</f>
        <v/>
      </c>
      <c r="N641">
        <f>L641*(1-MIN((Inputs!$B$9+((C654=TRUE)*(F654-Calc!F19))+B665),100)/100)+M641*(MIN((Inputs!$B$9+((C654=TRUE)*(F654-Calc!F19))+B665),100)/100)</f>
        <v/>
      </c>
      <c r="O641">
        <f>(1-Summary!$B$55)*T641+Summary!$B$55*V641</f>
        <v/>
      </c>
      <c r="P641">
        <f>IF(B675=0,0,O641/B675)</f>
        <v/>
      </c>
      <c r="Q641">
        <f>IFERROR(1/IF(Inputs!$B$38="pvp",15,MAX(0.1,Skills!D6-IF(Skills!E6=TRUE,Inputs!$B$32,0))),0)</f>
        <v/>
      </c>
      <c r="R641">
        <f>IF(AND(Inputs!$B$38&lt;&gt;"pvp",Inputs!$B$43&gt;0),IF(MAX(0,Inputs!$B$43-B672)&lt;=0,0,(INT(MAX(0,Inputs!$B$43-B672)/IF(Inputs!$B$38="pvp",15,MAX(0.1,Skills!D6-IF(Skills!E6=TRUE,Inputs!$B$32,0))))+1)),0)</f>
        <v/>
      </c>
      <c r="S641">
        <f>IFERROR(O641/N641,0)</f>
        <v/>
      </c>
      <c r="T641">
        <f>IF(C641,(H641*N641*IF(AND(Inputs!$B$38&lt;&gt;"pvp",Inputs!$B$43&gt;0),((Skills!G6*((R641-1)*IF(Skills!H6&gt;0,Skills!I6/Skills!H6,1)+IF(Skills!H6&gt;0,MIN(Skills!I6,MAX(0,MAX(0,Inputs!$B$43-B672)-((R641-1)*IF(Inputs!$B$38="pvp",15,MAX(0.1,Skills!D6-IF(Skills!E6=TRUE,Inputs!$B$32,0))))))/Skills!H6,1)))/Inputs!$B$43),G641*Q641))*IF(Inputs!$B$38="pvp",1,1+(Inputs!$B$20+0+Skills!P6)/100),0)</f>
        <v/>
      </c>
      <c r="V641">
        <f>IF(C641,(H641*N641*IF(AND(Inputs!$B$38&lt;&gt;"pvp",Inputs!$B$43&gt;0),((Skills!G6*((R641-1)*IF(Skills!H6&gt;0,Skills!I6/Skills!H6,1)+IF(Skills!H6&gt;0,MIN(Skills!I6,MAX(0,MAX(0,Inputs!$B$43-B672)-((R641-1)*IF(Inputs!$B$38="pvp",15,MAX(0.1,Skills!D6-IF(Skills!E6=TRUE,Inputs!$B$32,0))))))/Skills!H6,1)))/Inputs!$B$43),G641*Q641))*IF(Inputs!$B$38="pvp",1,(1+(Inputs!$B$21+Skills!Q6)/100)*(MIN(Skills!R6,Inputs!$B$37))),0)</f>
        <v/>
      </c>
    </row>
    <row r="642">
      <c r="A642">
        <f>Skills!A7</f>
        <v/>
      </c>
      <c r="B642">
        <f>Skills!B7</f>
        <v/>
      </c>
      <c r="C642">
        <f>Inputs!$B$3&gt;=66</f>
        <v/>
      </c>
      <c r="D642">
        <f>IF(Skills!C7=1,60+Inputs!$B$25+Inputs!$B$29,IF(Skills!C7=2,90+Inputs!$B$26+Inputs!$B$29,IF(Skills!C7=3,120+Inputs!$B$27+Inputs!$B$29,MAX(0,(Inputs!$B$3-100)*3)+Inputs!$B$28+Inputs!$B$29)))</f>
        <v/>
      </c>
      <c r="E642">
        <f>INDEX(FactorTable!$B$2:$Y$301, MATCH(ROUND(MIN(300,MAX(1,D642)),0), FactorTable!$A$2:$A$301,0), Skills!M7+1)</f>
        <v/>
      </c>
      <c r="F642">
        <f>IF(Skills!N7=TRUE,(Skills!L7/10)*(E642/1000),Skills!L7/10)+Skills!O7</f>
        <v/>
      </c>
      <c r="G642">
        <f>Skills!G7*IF(Skills!H7&gt;0,Skills!I7/Skills!H7,1)</f>
        <v/>
      </c>
      <c r="H642">
        <f>1-(1-Skills!J7/100)^Skills!K7</f>
        <v/>
      </c>
      <c r="I642" t="inlineStr">
        <is>
          <t>1</t>
        </is>
      </c>
      <c r="J642">
        <f>((Inputs!$B$6*(1+Inputs!$B$7/100))+(((Inputs!$B$12*(1+Inputs!$B$13/100))-(Inputs!$B$12*(1+Inputs!$B$13/100)))+0.25*(Inputs!$B$14-Inputs!$B$14))*(1+Inputs!$B$7/100))*(F642/100)</f>
        <v/>
      </c>
      <c r="K642">
        <f>J642*(1+((Inputs!$B$12*(1+Inputs!$B$13/100))*0.01+Inputs!$B$14*0.0025)/100)*(1+Inputs!$B$15/100)*(1+Inputs!$B$16/100)*(5000/(6000+Inputs!$B$42*(1-(Inputs!$B$19+0)/100)))*(1+(Inputs!$B$24+((C661=TRUE)*(F661-Calc!F26))+B671)/100)*(1+1.0*IF(C650=TRUE,F650,0)/100)*(1+(IF(Skills!A7="EIGHT_LEGS_EASTON",(Inputs!$B$17+1)+((C658=TRUE)*(F658-Calc!F23))+((C662=TRUE)*(F662-Calc!F27)),Inputs!$B$18+0))/100)*((1+(((C652=TRUE)*F652)+((C659=TRUE)*(F659-Calc!F24)))/100)*I642)</f>
        <v/>
      </c>
      <c r="L642">
        <f>K642*(MIN(Inputs!$B$22+((C657=TRUE)*(F657-Calc!F22)),Inputs!$B$23+0)/100+(Inputs!$B$23+0)/100)/2</f>
        <v/>
      </c>
      <c r="M642">
        <f>L642*(1+(Inputs!$B$10+((C660=TRUE)*(F660-Calc!F25))+B670)/100)</f>
        <v/>
      </c>
      <c r="N642">
        <f>L642*(1-MIN((Inputs!$B$9+((C654=TRUE)*(F654-Calc!F19))+B665),100)/100)+M642*(MIN((Inputs!$B$9+((C654=TRUE)*(F654-Calc!F19))+B665),100)/100)</f>
        <v/>
      </c>
      <c r="O642">
        <f>(1-Summary!$B$55)*T642+Summary!$B$55*V642</f>
        <v/>
      </c>
      <c r="P642">
        <f>IF(B675=0,0,O642/B675)</f>
        <v/>
      </c>
      <c r="Q642">
        <f>IFERROR(1/IF(Inputs!$B$38="pvp",15,MAX(0.1,Skills!D7-IF(Skills!E7=TRUE,Inputs!$B$32,0))),0)</f>
        <v/>
      </c>
      <c r="R642">
        <f>IF(AND(Inputs!$B$38&lt;&gt;"pvp",Inputs!$B$43&gt;0),IF(MAX(0,Inputs!$B$43-B672)&lt;=0,0,(INT(MAX(0,Inputs!$B$43-B672)/IF(Inputs!$B$38="pvp",15,MAX(0.1,Skills!D7-IF(Skills!E7=TRUE,Inputs!$B$32,0))))+1)),0)</f>
        <v/>
      </c>
      <c r="S642">
        <f>IFERROR(O642/N642,0)</f>
        <v/>
      </c>
      <c r="T642">
        <f>IF(C642,(H642*N642*IF(AND(Inputs!$B$38&lt;&gt;"pvp",Inputs!$B$43&gt;0),((Skills!G7*((R642-1)*IF(Skills!H7&gt;0,Skills!I7/Skills!H7,1)+IF(Skills!H7&gt;0,MIN(Skills!I7,MAX(0,MAX(0,Inputs!$B$43-B672)-((R642-1)*IF(Inputs!$B$38="pvp",15,MAX(0.1,Skills!D7-IF(Skills!E7=TRUE,Inputs!$B$32,0))))))/Skills!H7,1)))/Inputs!$B$43),G642*Q642))*IF(Inputs!$B$38="pvp",1,1+(Inputs!$B$20+0+Skills!P7)/100),0)</f>
        <v/>
      </c>
      <c r="V642">
        <f>IF(C642,(H642*N642*IF(AND(Inputs!$B$38&lt;&gt;"pvp",Inputs!$B$43&gt;0),((Skills!G7*((R642-1)*IF(Skills!H7&gt;0,Skills!I7/Skills!H7,1)+IF(Skills!H7&gt;0,MIN(Skills!I7,MAX(0,MAX(0,Inputs!$B$43-B672)-((R642-1)*IF(Inputs!$B$38="pvp",15,MAX(0.1,Skills!D7-IF(Skills!E7=TRUE,Inputs!$B$32,0))))))/Skills!H7,1)))/Inputs!$B$43),G642*Q642))*IF(Inputs!$B$38="pvp",1,(1+(Inputs!$B$21+Skills!Q7)/100)*(MIN(Skills!R7,Inputs!$B$37))),0)</f>
        <v/>
      </c>
    </row>
    <row r="643">
      <c r="A643">
        <f>Skills!A8</f>
        <v/>
      </c>
      <c r="B643">
        <f>Skills!B8</f>
        <v/>
      </c>
      <c r="C643">
        <f>Inputs!$B$3&gt;=100</f>
        <v/>
      </c>
      <c r="D643">
        <f>IF(Skills!C8=1,60+Inputs!$B$25+Inputs!$B$29,IF(Skills!C8=2,90+Inputs!$B$26+Inputs!$B$29,IF(Skills!C8=3,120+Inputs!$B$27+Inputs!$B$29,MAX(0,(Inputs!$B$3-100)*3)+Inputs!$B$28+Inputs!$B$29)))</f>
        <v/>
      </c>
      <c r="E643">
        <f>INDEX(FactorTable!$B$2:$Y$301, MATCH(ROUND(MIN(300,MAX(1,D643)),0), FactorTable!$A$2:$A$301,0), Skills!M8+1)</f>
        <v/>
      </c>
      <c r="F643">
        <f>IF(Skills!N8=TRUE,(Skills!L8/10)*(E643/1000),Skills!L8/10)+Skills!O8</f>
        <v/>
      </c>
      <c r="G643">
        <f>Skills!G8*IF(Skills!H8&gt;0,Skills!I8/Skills!H8,1)</f>
        <v/>
      </c>
      <c r="H643">
        <f>1-(1-Skills!J8/100)^Skills!K8</f>
        <v/>
      </c>
      <c r="I643" t="inlineStr">
        <is>
          <t>1</t>
        </is>
      </c>
      <c r="J643">
        <f>((Inputs!$B$6*(1+Inputs!$B$7/100))+(((Inputs!$B$12*(1+Inputs!$B$13/100))-(Inputs!$B$12*(1+Inputs!$B$13/100)))+0.25*(Inputs!$B$14-Inputs!$B$14))*(1+Inputs!$B$7/100))*(F643/100)</f>
        <v/>
      </c>
      <c r="K643">
        <f>J643*(1+((Inputs!$B$12*(1+Inputs!$B$13/100))*0.01+Inputs!$B$14*0.0025)/100)*(1+Inputs!$B$15/100)*(1+Inputs!$B$16/100)*(5000/(6000+Inputs!$B$42*(1-(Inputs!$B$19+0)/100)))*(1+(Inputs!$B$24+((C661=TRUE)*(F661-Calc!F26))+B671)/100)*(1+(IF(Skills!A8="EIGHT_LEGS_EASTON",(Inputs!$B$17+1)+((C658=TRUE)*(F658-Calc!F23))+((C662=TRUE)*(F662-Calc!F27)),Inputs!$B$18+0))/100)*((1+(((C652=TRUE)*F652)+((C659=TRUE)*(F659-Calc!F24)))/100)*I643)</f>
        <v/>
      </c>
      <c r="L643">
        <f>K643*(MIN(Inputs!$B$22+((C657=TRUE)*(F657-Calc!F22)),Inputs!$B$23+0)/100+(Inputs!$B$23+0)/100)/2</f>
        <v/>
      </c>
      <c r="M643">
        <f>L643*(1+(Inputs!$B$10+((C660=TRUE)*(F660-Calc!F25))+B670)/100)</f>
        <v/>
      </c>
      <c r="N643">
        <f>L643*(1-MIN((Inputs!$B$9+((C654=TRUE)*(F654-Calc!F19))+B665),100)/100)+M643*(MIN((Inputs!$B$9+((C654=TRUE)*(F654-Calc!F19))+B665),100)/100)</f>
        <v/>
      </c>
      <c r="O643">
        <f>(1-Summary!$B$55)*T643+Summary!$B$55*V643</f>
        <v/>
      </c>
      <c r="P643">
        <f>IF(B675=0,0,O643/B675)</f>
        <v/>
      </c>
      <c r="Q643">
        <f>IFERROR(1/IF(Inputs!$B$38="pvp",15,MAX(0.1,Skills!D8-IF(Skills!E8=TRUE,Inputs!$B$32,0))),0)</f>
        <v/>
      </c>
      <c r="R643">
        <f>IF(AND(Inputs!$B$38&lt;&gt;"pvp",Inputs!$B$43&gt;0),IF(MAX(0,Inputs!$B$43-B672)&lt;=0,0,(INT(MAX(0,Inputs!$B$43-B672)/IF(Inputs!$B$38="pvp",15,MAX(0.1,Skills!D8-IF(Skills!E8=TRUE,Inputs!$B$32,0))))+1)),0)</f>
        <v/>
      </c>
      <c r="S643">
        <f>IFERROR(O643/N643,0)</f>
        <v/>
      </c>
      <c r="T643">
        <f>IF(C643,(H643*N643*IF(AND(Inputs!$B$38&lt;&gt;"pvp",Inputs!$B$43&gt;0),((Skills!G8*((R643-1)*IF(Skills!H8&gt;0,Skills!I8/Skills!H8,1)+IF(Skills!H8&gt;0,MIN(Skills!I8,MAX(0,MAX(0,Inputs!$B$43-B672)-((R643-1)*IF(Inputs!$B$38="pvp",15,MAX(0.1,Skills!D8-IF(Skills!E8=TRUE,Inputs!$B$32,0))))))/Skills!H8,1)))/Inputs!$B$43),G643*Q643))*IF(Inputs!$B$38="pvp",1,1+(Inputs!$B$20+0+Skills!P8)/100),0)</f>
        <v/>
      </c>
      <c r="V643">
        <f>IF(C643,(H643*N643*IF(AND(Inputs!$B$38&lt;&gt;"pvp",Inputs!$B$43&gt;0),((Skills!G8*((R643-1)*IF(Skills!H8&gt;0,Skills!I8/Skills!H8,1)+IF(Skills!H8&gt;0,MIN(Skills!I8,MAX(0,MAX(0,Inputs!$B$43-B672)-((R643-1)*IF(Inputs!$B$38="pvp",15,MAX(0.1,Skills!D8-IF(Skills!E8=TRUE,Inputs!$B$32,0))))))/Skills!H8,1)))/Inputs!$B$43),G643*Q643))*IF(Inputs!$B$38="pvp",1,(1+(Inputs!$B$21+Skills!Q8)/100)*(MIN(Skills!R8,Inputs!$B$37))),0)</f>
        <v/>
      </c>
    </row>
    <row r="644">
      <c r="A644">
        <f>Skills!A9</f>
        <v/>
      </c>
      <c r="B644">
        <f>Skills!B9</f>
        <v/>
      </c>
      <c r="C644">
        <f>Inputs!$B$3&gt;=103</f>
        <v/>
      </c>
      <c r="D644">
        <f>IF(Skills!C9=1,60+Inputs!$B$25+Inputs!$B$29,IF(Skills!C9=2,90+Inputs!$B$26+Inputs!$B$29,IF(Skills!C9=3,120+Inputs!$B$27+Inputs!$B$29,MAX(0,(Inputs!$B$3-100)*3)+Inputs!$B$28+Inputs!$B$29)))</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((Inputs!$B$6*(1+Inputs!$B$7/100))+(((Inputs!$B$12*(1+Inputs!$B$13/100))-(Inputs!$B$12*(1+Inputs!$B$13/100)))+0.25*(Inputs!$B$14-Inputs!$B$14))*(1+Inputs!$B$7/100))*(F644/100)</f>
        <v/>
      </c>
      <c r="K644">
        <f>J644*(1+((Inputs!$B$12*(1+Inputs!$B$13/100))*0.01+Inputs!$B$14*0.0025)/100)*(1+Inputs!$B$15/100)*(1+Inputs!$B$16/100)*(5000/(6000+Inputs!$B$42*(1-(Inputs!$B$19+0)/100)))*(1+(Inputs!$B$24+((C661=TRUE)*(F661-Calc!F26))+B671)/100)*(1+(IF(Skills!A9="EIGHT_LEGS_EASTON",(Inputs!$B$17+1)+((C658=TRUE)*(F658-Calc!F23))+((C662=TRUE)*(F662-Calc!F27)),Inputs!$B$18+0))/100)*((1+(((C652=TRUE)*F652)+((C659=TRUE)*(F659-Calc!F24)))/100)*I644)</f>
        <v/>
      </c>
      <c r="L644">
        <f>K644*(MIN(Inputs!$B$22+((C657=TRUE)*(F657-Calc!F22)),Inputs!$B$23+0)/100+(Inputs!$B$23+0)/100)/2</f>
        <v/>
      </c>
      <c r="M644">
        <f>L644*(1+(Inputs!$B$10+((C660=TRUE)*(F660-Calc!F25))+B670)/100)</f>
        <v/>
      </c>
      <c r="N644">
        <f>L644*(1-MIN((Inputs!$B$9+((C654=TRUE)*(F654-Calc!F19))+B665),100)/100)+M644*(MIN((Inputs!$B$9+((C654=TRUE)*(F654-Calc!F19))+B665),100)/100)</f>
        <v/>
      </c>
      <c r="O644">
        <f>(1-Summary!$B$55)*T644+Summary!$B$55*V644</f>
        <v/>
      </c>
      <c r="P644">
        <f>IF(B675=0,0,O644/B675)</f>
        <v/>
      </c>
      <c r="Q644">
        <f>IFERROR(1/IF(Inputs!$B$38="pvp",15,MAX(0.1,Skills!D9-IF(Skills!E9=TRUE,Inputs!$B$32,0))),0)</f>
        <v/>
      </c>
      <c r="R644">
        <f>IF(AND(Inputs!$B$38&lt;&gt;"pvp",Inputs!$B$43&gt;0),IF(MAX(0,Inputs!$B$43-B672)&lt;=0,0,(INT(MAX(0,Inputs!$B$43-B672)/IF(Inputs!$B$38="pvp",15,MAX(0.1,Skills!D9-IF(Skills!E9=TRUE,Inputs!$B$32,0))))+1)),0)</f>
        <v/>
      </c>
      <c r="S644">
        <f>IFERROR(O644/N644,0)</f>
        <v/>
      </c>
      <c r="T644">
        <f>IF(C644,(H644*N644*IF(AND(Inputs!$B$38&lt;&gt;"pvp",Inputs!$B$43&gt;0),((Skills!G9*((R644-1)*IF(Skills!H9&gt;0,Skills!I9/Skills!H9,1)+IF(Skills!H9&gt;0,MIN(Skills!I9,MAX(0,MAX(0,Inputs!$B$43-B672)-((R644-1)*IF(Inputs!$B$38="pvp",15,MAX(0.1,Skills!D9-IF(Skills!E9=TRUE,Inputs!$B$32,0))))))/Skills!H9,1)))/Inputs!$B$43),G644*Q644))*IF(Inputs!$B$38="pvp",1,1+(Inputs!$B$20+0+Skills!P9)/100),0)</f>
        <v/>
      </c>
      <c r="V644">
        <f>IF(C644,(H644*N644*IF(AND(Inputs!$B$38&lt;&gt;"pvp",Inputs!$B$43&gt;0),((Skills!G9*((R644-1)*IF(Skills!H9&gt;0,Skills!I9/Skills!H9,1)+IF(Skills!H9&gt;0,MIN(Skills!I9,MAX(0,MAX(0,Inputs!$B$43-B672)-((R644-1)*IF(Inputs!$B$38="pvp",15,MAX(0.1,Skills!D9-IF(Skills!E9=TRUE,Inputs!$B$32,0))))))/Skills!H9,1)))/Inputs!$B$43),G644*Q644))*IF(Inputs!$B$38="pvp",1,(1+(Inputs!$B$21+Skills!Q9)/100)*(MIN(Skills!R9,Inputs!$B$37))),0)</f>
        <v/>
      </c>
    </row>
    <row r="645">
      <c r="A645">
        <f>Skills!A10</f>
        <v/>
      </c>
      <c r="B645">
        <f>Skills!B10</f>
        <v/>
      </c>
      <c r="C645">
        <f>Inputs!$B$3&gt;=113</f>
        <v/>
      </c>
      <c r="D645">
        <f>IF(Skills!C10=1,60+Inputs!$B$25+Inputs!$B$29,IF(Skills!C10=2,90+Inputs!$B$26+Inputs!$B$29,IF(Skills!C10=3,120+Inputs!$B$27+Inputs!$B$29,MAX(0,(Inputs!$B$3-100)*3)+Inputs!$B$28+Inputs!$B$29)))</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((Inputs!$B$6*(1+Inputs!$B$7/100))+(((Inputs!$B$12*(1+Inputs!$B$13/100))-(Inputs!$B$12*(1+Inputs!$B$13/100)))+0.25*(Inputs!$B$14-Inputs!$B$14))*(1+Inputs!$B$7/100))*(F645/100)</f>
        <v/>
      </c>
      <c r="K645">
        <f>J645*(1+((Inputs!$B$12*(1+Inputs!$B$13/100))*0.01+Inputs!$B$14*0.0025)/100)*(1+Inputs!$B$15/100)*(1+Inputs!$B$16/100)*(5000/(6000+Inputs!$B$42*(1-(Inputs!$B$19+0)/100)))*(1+(Inputs!$B$24+((C661=TRUE)*(F661-Calc!F26))+B671)/100)*(1+(IF(Skills!A10="EIGHT_LEGS_EASTON",(Inputs!$B$17+1)+((C658=TRUE)*(F658-Calc!F23))+((C662=TRUE)*(F662-Calc!F27)),Inputs!$B$18+0))/100)*((1+(((C652=TRUE)*F652)+((C659=TRUE)*(F659-Calc!F24)))/100)*I645)</f>
        <v/>
      </c>
      <c r="L645">
        <f>K645*(MIN(Inputs!$B$22+((C657=TRUE)*(F657-Calc!F22)),Inputs!$B$23+0)/100+(Inputs!$B$23+0)/100)/2</f>
        <v/>
      </c>
      <c r="M645">
        <f>L645*(1+(Inputs!$B$10+((C660=TRUE)*(F660-Calc!F25))+B670)/100)</f>
        <v/>
      </c>
      <c r="N645">
        <f>L645*(1-MIN((Inputs!$B$9+((C654=TRUE)*(F654-Calc!F19))+B665),100)/100)+M645*(MIN((Inputs!$B$9+((C654=TRUE)*(F654-Calc!F19))+B665),100)/100)</f>
        <v/>
      </c>
      <c r="O645">
        <f>(1-Summary!$B$55)*T645+Summary!$B$55*V645</f>
        <v/>
      </c>
      <c r="P645">
        <f>IF(B675=0,0,O645/B675)</f>
        <v/>
      </c>
      <c r="Q645">
        <f>IFERROR(1/IF(Inputs!$B$38="pvp",15,MAX(0.1,Skills!D10-IF(Skills!E10=TRUE,Inputs!$B$32,0))),0)</f>
        <v/>
      </c>
      <c r="R645">
        <f>IF(AND(Inputs!$B$38&lt;&gt;"pvp",Inputs!$B$43&gt;0),IF(MAX(0,Inputs!$B$43-B672)&lt;=0,0,(INT(MAX(0,Inputs!$B$43-B672)/IF(Inputs!$B$38="pvp",15,MAX(0.1,Skills!D10-IF(Skills!E10=TRUE,Inputs!$B$32,0))))+1)),0)</f>
        <v/>
      </c>
      <c r="S645">
        <f>IFERROR(O645/N645,0)</f>
        <v/>
      </c>
      <c r="T645">
        <f>IF(C645,(H645*N645*IF(AND(Inputs!$B$38&lt;&gt;"pvp",Inputs!$B$43&gt;0),((Skills!G10*((R645-1)*IF(Skills!H10&gt;0,Skills!I10/Skills!H10,1)+IF(Skills!H10&gt;0,MIN(Skills!I10,MAX(0,MAX(0,Inputs!$B$43-B672)-((R645-1)*IF(Inputs!$B$38="pvp",15,MAX(0.1,Skills!D10-IF(Skills!E10=TRUE,Inputs!$B$32,0))))))/Skills!H10,1)))/Inputs!$B$43),G645*Q645))*IF(Inputs!$B$38="pvp",1,1+(Inputs!$B$20+0+Skills!P10)/100),0)</f>
        <v/>
      </c>
      <c r="V645">
        <f>IF(C645,(H645*N645*IF(AND(Inputs!$B$38&lt;&gt;"pvp",Inputs!$B$43&gt;0),((Skills!G10*((R645-1)*IF(Skills!H10&gt;0,Skills!I10/Skills!H10,1)+IF(Skills!H10&gt;0,MIN(Skills!I10,MAX(0,MAX(0,Inputs!$B$43-B672)-((R645-1)*IF(Inputs!$B$38="pvp",15,MAX(0.1,Skills!D10-IF(Skills!E10=TRUE,Inputs!$B$32,0))))))/Skills!H10,1)))/Inputs!$B$43),G645*Q645))*IF(Inputs!$B$38="pvp",1,(1+(Inputs!$B$21+Skills!Q10)/100)*(MIN(Skills!R10,Inputs!$B$37))),0)</f>
        <v/>
      </c>
    </row>
    <row r="646">
      <c r="A646">
        <f>Skills!A11</f>
        <v/>
      </c>
      <c r="B646">
        <f>Skills!B11</f>
        <v/>
      </c>
      <c r="C646">
        <f>Inputs!$B$3&gt;=107</f>
        <v/>
      </c>
      <c r="D646">
        <f>IF(Skills!C11=1,60+Inputs!$B$25+Inputs!$B$29,IF(Skills!C11=2,90+Inputs!$B$26+Inputs!$B$29,IF(Skills!C11=3,120+Inputs!$B$27+Inputs!$B$29,MAX(0,(Inputs!$B$3-100)*3)+Inputs!$B$28+Inputs!$B$29)))</f>
        <v/>
      </c>
      <c r="E646">
        <f>INDEX(FactorTable!$B$2:$Y$301, MATCH(ROUND(MIN(300,MAX(1,D646)),0), FactorTable!$A$2:$A$301,0), Skills!M11+1)</f>
        <v/>
      </c>
      <c r="F646">
        <f>IF(Skills!N11=TRUE,(Skills!L11/10)*(E646/1000),Skills!L11/10)+Skills!O11</f>
        <v/>
      </c>
      <c r="G646">
        <f>Skills!G11*IF(Skills!H11&gt;0,Skills!I11/Skills!H11,1)</f>
        <v/>
      </c>
      <c r="H646">
        <f>1-(1-Skills!J11/100)^Skills!K11</f>
        <v/>
      </c>
      <c r="I646" t="inlineStr">
        <is>
          <t>1</t>
        </is>
      </c>
      <c r="J646">
        <f>((Inputs!$B$6*(1+Inputs!$B$7/100))+(((Inputs!$B$12*(1+Inputs!$B$13/100))-(Inputs!$B$12*(1+Inputs!$B$13/100)))+0.25*(Inputs!$B$14-Inputs!$B$14))*(1+Inputs!$B$7/100))*(F646/100)</f>
        <v/>
      </c>
      <c r="K646">
        <f>J646*(1+((Inputs!$B$12*(1+Inputs!$B$13/100))*0.01+Inputs!$B$14*0.0025)/100)*(1+Inputs!$B$15/100)*(1+Inputs!$B$16/100)*(5000/(6000+Inputs!$B$42*(1-(Inputs!$B$19+0)/100)))*(1+(Inputs!$B$24+((C661=TRUE)*(F661-Calc!F26))+B671)/100)*(1+(IF(Skills!A11="EIGHT_LEGS_EASTON",(Inputs!$B$17+1)+((C658=TRUE)*(F658-Calc!F23))+((C662=TRUE)*(F662-Calc!F27)),Inputs!$B$18+0))/100)*((1+(((C652=TRUE)*F652)+((C659=TRUE)*(F659-Calc!F24)))/100)*I646)</f>
        <v/>
      </c>
      <c r="L646">
        <f>K646*(MIN(Inputs!$B$22+((C657=TRUE)*(F657-Calc!F22)),Inputs!$B$23+0)/100+(Inputs!$B$23+0)/100)/2</f>
        <v/>
      </c>
      <c r="M646">
        <f>L646*(1+(Inputs!$B$10+((C660=TRUE)*(F660-Calc!F25))+B670)/100)</f>
        <v/>
      </c>
      <c r="N646">
        <f>L646*(1-MIN((Inputs!$B$9+((C654=TRUE)*(F654-Calc!F19))+B665),100)/100)+M646*(MIN((Inputs!$B$9+((C654=TRUE)*(F654-Calc!F19))+B665),100)/100)</f>
        <v/>
      </c>
      <c r="O646">
        <f>(1-Summary!$B$55)*T646+Summary!$B$55*V646</f>
        <v/>
      </c>
      <c r="P646">
        <f>IF(B675=0,0,O646/B675)</f>
        <v/>
      </c>
      <c r="Q646">
        <f>IFERROR(1/IF(Inputs!$B$38="pvp",15,MAX(0.1,Skills!D11-IF(Skills!E11=TRUE,Inputs!$B$32,0))),0)</f>
        <v/>
      </c>
      <c r="R646">
        <f>IF(AND(Inputs!$B$38&lt;&gt;"pvp",Inputs!$B$43&gt;0),IF(MAX(0,Inputs!$B$43-B672)&lt;=0,0,(INT(MAX(0,Inputs!$B$43-B672)/IF(Inputs!$B$38="pvp",15,MAX(0.1,Skills!D11-IF(Skills!E11=TRUE,Inputs!$B$32,0))))+1)),0)</f>
        <v/>
      </c>
      <c r="S646">
        <f>IFERROR(O646/N646,0)</f>
        <v/>
      </c>
      <c r="T646">
        <f>IF(C646,(H646*N646*IF(AND(Inputs!$B$38&lt;&gt;"pvp",Inputs!$B$43&gt;0),((Skills!G11*((R646-1)*IF(Skills!H11&gt;0,Skills!I11/Skills!H11,1)+IF(Skills!H11&gt;0,MIN(Skills!I11,MAX(0,MAX(0,Inputs!$B$43-B672)-((R646-1)*IF(Inputs!$B$38="pvp",15,MAX(0.1,Skills!D11-IF(Skills!E11=TRUE,Inputs!$B$32,0))))))/Skills!H11,1)))/Inputs!$B$43),G646*Q646))*IF(Inputs!$B$38="pvp",1,1+(Inputs!$B$20+0+Skills!P11)/100),0)</f>
        <v/>
      </c>
      <c r="V646">
        <f>IF(C646,(H646*N646*IF(AND(Inputs!$B$38&lt;&gt;"pvp",Inputs!$B$43&gt;0),((Skills!G11*((R646-1)*IF(Skills!H11&gt;0,Skills!I11/Skills!H11,1)+IF(Skills!H11&gt;0,MIN(Skills!I11,MAX(0,MAX(0,Inputs!$B$43-B672)-((R646-1)*IF(Inputs!$B$38="pvp",15,MAX(0.1,Skills!D11-IF(Skills!E11=TRUE,Inputs!$B$32,0))))))/Skills!H11,1)))/Inputs!$B$43),G646*Q646))*IF(Inputs!$B$38="pvp",1,(1+(Inputs!$B$21+Skills!Q11)/100)*(MIN(Skills!R11,Inputs!$B$37))),0)</f>
        <v/>
      </c>
    </row>
    <row r="647">
      <c r="A647">
        <f>Skills!A12</f>
        <v/>
      </c>
      <c r="B647">
        <f>Skills!B12</f>
        <v/>
      </c>
      <c r="C647">
        <f>Inputs!$B$3&gt;=110</f>
        <v/>
      </c>
      <c r="D647">
        <f>IF(Skills!C12=1,60+Inputs!$B$25+Inputs!$B$29,IF(Skills!C12=2,90+Inputs!$B$26+Inputs!$B$29,IF(Skills!C12=3,120+Inputs!$B$27+Inputs!$B$29,MAX(0,(Inputs!$B$3-100)*3)+Inputs!$B$28+Inputs!$B$29)))</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f>((Inputs!$B$6*(1+Inputs!$B$7/100))+(((Inputs!$B$12*(1+Inputs!$B$13/100))-(Inputs!$B$12*(1+Inputs!$B$13/100)))+0.25*(Inputs!$B$14-Inputs!$B$14))*(1+Inputs!$B$7/100))*(F647/100)</f>
        <v/>
      </c>
      <c r="K647">
        <f>J647*(1+((Inputs!$B$12*(1+Inputs!$B$13/100))*0.01+Inputs!$B$14*0.0025)/100)*(1+Inputs!$B$15/100)*(1+Inputs!$B$16/100)*(5000/(6000+Inputs!$B$42*(1-(Inputs!$B$19+0)/100)))*(1+(Inputs!$B$24+((C661=TRUE)*(F661-Calc!F26))+B671)/100)*(1+(IF(Skills!A12="EIGHT_LEGS_EASTON",(Inputs!$B$17+1)+((C658=TRUE)*(F658-Calc!F23))+((C662=TRUE)*(F662-Calc!F27)),Inputs!$B$18+0))/100)*((1+(((C652=TRUE)*F652)+((C659=TRUE)*(F659-Calc!F24)))/100)*I647)</f>
        <v/>
      </c>
      <c r="L647">
        <f>K647*(MIN(Inputs!$B$22+((C657=TRUE)*(F657-Calc!F22)),Inputs!$B$23+0)/100+(Inputs!$B$23+0)/100)/2</f>
        <v/>
      </c>
      <c r="M647">
        <f>L647*(1+(Inputs!$B$10+((C660=TRUE)*(F660-Calc!F25))+B670)/100)</f>
        <v/>
      </c>
      <c r="N647">
        <f>L647*(1-MIN((Inputs!$B$9+((C654=TRUE)*(F654-Calc!F19))+B665),100)/100)+M647*(MIN((Inputs!$B$9+((C654=TRUE)*(F654-Calc!F19))+B665),100)/100)</f>
        <v/>
      </c>
      <c r="O647">
        <f>(1-Summary!$B$55)*T647+Summary!$B$55*V647</f>
        <v/>
      </c>
      <c r="P647">
        <f>IF(B675=0,0,O647/B675)</f>
        <v/>
      </c>
      <c r="Q647">
        <f>IFERROR(1/IF(Inputs!$B$38="pvp",15,MAX(0.1,Skills!D12-IF(Skills!E12=TRUE,Inputs!$B$32,0))),0)</f>
        <v/>
      </c>
      <c r="R647">
        <f>IF(AND(Inputs!$B$38&lt;&gt;"pvp",Inputs!$B$43&gt;0),IF(MAX(0,Inputs!$B$43-B672)&lt;=0,0,(INT(MAX(0,Inputs!$B$43-B672)/IF(Inputs!$B$38="pvp",15,MAX(0.1,Skills!D12-IF(Skills!E12=TRUE,Inputs!$B$32,0))))+1)),0)</f>
        <v/>
      </c>
      <c r="S647">
        <f>IFERROR(O647/N647,0)</f>
        <v/>
      </c>
      <c r="T647">
        <f>IF(C647,(H647*N647*IF(AND(Inputs!$B$38&lt;&gt;"pvp",Inputs!$B$43&gt;0),((Skills!G12*((R647-1)*IF(Skills!H12&gt;0,Skills!I12/Skills!H12,1)+IF(Skills!H12&gt;0,MIN(Skills!I12,MAX(0,MAX(0,Inputs!$B$43-B672)-((R647-1)*IF(Inputs!$B$38="pvp",15,MAX(0.1,Skills!D12-IF(Skills!E12=TRUE,Inputs!$B$32,0))))))/Skills!H12,1)))/Inputs!$B$43),G647*Q647))*IF(Inputs!$B$38="pvp",1,1+(Inputs!$B$20+0+Skills!P12)/100),0)</f>
        <v/>
      </c>
      <c r="V647">
        <f>IF(C647,(H647*N647*IF(AND(Inputs!$B$38&lt;&gt;"pvp",Inputs!$B$43&gt;0),((Skills!G12*((R647-1)*IF(Skills!H12&gt;0,Skills!I12/Skills!H12,1)+IF(Skills!H12&gt;0,MIN(Skills!I12,MAX(0,MAX(0,Inputs!$B$43-B672)-((R647-1)*IF(Inputs!$B$38="pvp",15,MAX(0.1,Skills!D12-IF(Skills!E12=TRUE,Inputs!$B$32,0))))))/Skills!H12,1)))/Inputs!$B$43),G647*Q647))*IF(Inputs!$B$38="pvp",1,(1+(Inputs!$B$21+Skills!Q12)/100)*(MIN(Skills!R12,Inputs!$B$37))),0)</f>
        <v/>
      </c>
    </row>
    <row r="648">
      <c r="A648">
        <f>Skills!A13</f>
        <v/>
      </c>
      <c r="B648">
        <f>Skills!B13</f>
        <v/>
      </c>
      <c r="C648">
        <f>Inputs!$B$3&gt;=110</f>
        <v/>
      </c>
      <c r="D648">
        <f>IF(Skills!C13=1,60+Inputs!$B$25+Inputs!$B$29,IF(Skills!C13=2,90+Inputs!$B$26+Inputs!$B$29,IF(Skills!C13=3,120+Inputs!$B$27+Inputs!$B$29,MAX(0,(Inputs!$B$3-100)*3)+Inputs!$B$28+Inputs!$B$29)))</f>
        <v/>
      </c>
      <c r="E648">
        <f>INDEX(FactorTable!$B$2:$Y$301, MATCH(ROUND(MIN(300,MAX(1,D648)),0), FactorTable!$A$2:$A$301,0), Skills!M13+1)</f>
        <v/>
      </c>
      <c r="F648">
        <f>IF(Skills!N13=TRUE,(Skills!L13/10)*(E648/1000),Skills!L13/10)+Skills!O13</f>
        <v/>
      </c>
      <c r="G648">
        <f>Skills!G13*IF(Skills!H13&gt;0,Skills!I13/Skills!H13,1)</f>
        <v/>
      </c>
      <c r="H648">
        <f>1-(1-Skills!J13/100)^Skills!K13</f>
        <v/>
      </c>
      <c r="I648" t="inlineStr">
        <is>
          <t>1</t>
        </is>
      </c>
      <c r="J648">
        <f>((Inputs!$B$6*(1+Inputs!$B$7/100))+(((Inputs!$B$12*(1+Inputs!$B$13/100))-(Inputs!$B$12*(1+Inputs!$B$13/100)))+0.25*(Inputs!$B$14-Inputs!$B$14))*(1+Inputs!$B$7/100))*(F648/100)</f>
        <v/>
      </c>
      <c r="K648">
        <f>J648*(1+((Inputs!$B$12*(1+Inputs!$B$13/100))*0.01+Inputs!$B$14*0.0025)/100)*(1+Inputs!$B$15/100)*(1+Inputs!$B$16/100)*(5000/(6000+Inputs!$B$42*(1-(Inputs!$B$19+0)/100)))*(1+(Inputs!$B$24+((C661=TRUE)*(F661-Calc!F26))+B671)/100)*(1+(IF(Skills!A13="EIGHT_LEGS_EASTON",(Inputs!$B$17+1)+((C658=TRUE)*(F658-Calc!F23))+((C662=TRUE)*(F662-Calc!F27)),Inputs!$B$18+0))/100)*((1+(((C652=TRUE)*F652)+((C659=TRUE)*(F659-Calc!F24)))/100)*I648)</f>
        <v/>
      </c>
      <c r="L648">
        <f>K648*(MIN(Inputs!$B$22+((C657=TRUE)*(F657-Calc!F22)),Inputs!$B$23+0)/100+(Inputs!$B$23+0)/100)/2</f>
        <v/>
      </c>
      <c r="M648">
        <f>L648*(1+(Inputs!$B$10+((C660=TRUE)*(F660-Calc!F25))+B670)/100)</f>
        <v/>
      </c>
      <c r="N648">
        <f>L648*(1-MIN((Inputs!$B$9+((C654=TRUE)*(F654-Calc!F19))+B665),100)/100)+M648*(MIN((Inputs!$B$9+((C654=TRUE)*(F654-Calc!F19))+B665),100)/100)</f>
        <v/>
      </c>
      <c r="O648">
        <f>(1-Summary!$B$55)*T648+Summary!$B$55*V648</f>
        <v/>
      </c>
      <c r="P648">
        <f>IF(B675=0,0,O648/B675)</f>
        <v/>
      </c>
      <c r="Q648">
        <f>IFERROR(1/IF(Inputs!$B$38="pvp",15,MAX(0.1,Skills!D13-IF(Skills!E13=TRUE,Inputs!$B$32,0))),0)</f>
        <v/>
      </c>
      <c r="R648">
        <f>IF(AND(Inputs!$B$38&lt;&gt;"pvp",Inputs!$B$43&gt;0),IF(MAX(0,Inputs!$B$43-B672)&lt;=0,0,(INT(MAX(0,Inputs!$B$43-B672)/IF(Inputs!$B$38="pvp",15,MAX(0.1,Skills!D13-IF(Skills!E13=TRUE,Inputs!$B$32,0))))+1)),0)</f>
        <v/>
      </c>
      <c r="S648">
        <f>IFERROR(O648/N648,0)</f>
        <v/>
      </c>
      <c r="T648">
        <f>IF(C648,(H648*N648*IF(AND(Inputs!$B$38&lt;&gt;"pvp",Inputs!$B$43&gt;0),((Skills!G13*((R648-1)*IF(Skills!H13&gt;0,Skills!I13/Skills!H13,1)+IF(Skills!H13&gt;0,MIN(Skills!I13,MAX(0,MAX(0,Inputs!$B$43-B672)-((R648-1)*IF(Inputs!$B$38="pvp",15,MAX(0.1,Skills!D13-IF(Skills!E13=TRUE,Inputs!$B$32,0))))))/Skills!H13,1)))/Inputs!$B$43),G648*Q648))*IF(Inputs!$B$38="pvp",1,1+(Inputs!$B$20+0+Skills!P13)/100),0)</f>
        <v/>
      </c>
      <c r="V648">
        <f>IF(C648,(H648*N648*IF(AND(Inputs!$B$38&lt;&gt;"pvp",Inputs!$B$43&gt;0),((Skills!G13*((R648-1)*IF(Skills!H13&gt;0,Skills!I13/Skills!H13,1)+IF(Skills!H13&gt;0,MIN(Skills!I13,MAX(0,MAX(0,Inputs!$B$43-B672)-((R648-1)*IF(Inputs!$B$38="pvp",15,MAX(0.1,Skills!D13-IF(Skills!E13=TRUE,Inputs!$B$32,0))))))/Skills!H13,1)))/Inputs!$B$43),G648*Q648))*IF(Inputs!$B$38="pvp",1,(1+(Inputs!$B$21+Skills!Q13)/100)*(MIN(Skills!R13,Inputs!$B$37))),0)</f>
        <v/>
      </c>
    </row>
    <row r="649">
      <c r="A649">
        <f>Skills!A14</f>
        <v/>
      </c>
      <c r="B649">
        <f>Skills!B14</f>
        <v/>
      </c>
      <c r="C649">
        <f>Inputs!$B$3&gt;=125</f>
        <v/>
      </c>
      <c r="D649">
        <f>IF(Skills!C14=1,60+Inputs!$B$25+Inputs!$B$29,IF(Skills!C14=2,90+Inputs!$B$26+Inputs!$B$29,IF(Skills!C14=3,120+Inputs!$B$27+Inputs!$B$29,MAX(0,(Inputs!$B$3-100)*3)+Inputs!$B$28+Inputs!$B$29)))</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f>((Inputs!$B$6*(1+Inputs!$B$7/100))+(((Inputs!$B$12*(1+Inputs!$B$13/100))-(Inputs!$B$12*(1+Inputs!$B$13/100)))+0.25*(Inputs!$B$14-Inputs!$B$14))*(1+Inputs!$B$7/100))*(F649/100)</f>
        <v/>
      </c>
      <c r="K649">
        <f>J649*(1+((Inputs!$B$12*(1+Inputs!$B$13/100))*0.01+Inputs!$B$14*0.0025)/100)*(1+Inputs!$B$15/100)*(1+Inputs!$B$16/100)*(5000/(6000+Inputs!$B$42*(1-(Inputs!$B$19+0)/100)))*(1+(Inputs!$B$24+((C661=TRUE)*(F661-Calc!F26))+B671)/100)*(1+(IF(Skills!A14="EIGHT_LEGS_EASTON",(Inputs!$B$17+1)+((C658=TRUE)*(F658-Calc!F23))+((C662=TRUE)*(F662-Calc!F27)),Inputs!$B$18+0))/100)*((1+(((C652=TRUE)*F652)+((C659=TRUE)*(F659-Calc!F24)))/100)*I649)</f>
        <v/>
      </c>
      <c r="L649">
        <f>K649*(MIN(Inputs!$B$22+((C657=TRUE)*(F657-Calc!F22)),Inputs!$B$23+0)/100+(Inputs!$B$23+0)/100)/2</f>
        <v/>
      </c>
      <c r="M649">
        <f>L649*(1+(Inputs!$B$10+((C660=TRUE)*(F660-Calc!F25))+B670)/100)</f>
        <v/>
      </c>
      <c r="N649">
        <f>L649*(1-MIN((Inputs!$B$9+((C654=TRUE)*(F654-Calc!F19))+B665),100)/100)+M649*(MIN((Inputs!$B$9+((C654=TRUE)*(F654-Calc!F19))+B665),100)/100)</f>
        <v/>
      </c>
      <c r="O649">
        <f>(1-Summary!$B$55)*T649+Summary!$B$55*V649</f>
        <v/>
      </c>
      <c r="P649">
        <f>IF(B675=0,0,O649/B675)</f>
        <v/>
      </c>
      <c r="Q649" t="n">
        <v>0</v>
      </c>
      <c r="R649" t="n">
        <v>0</v>
      </c>
      <c r="S649">
        <f>IFERROR(O649/N649,0)</f>
        <v/>
      </c>
      <c r="T649">
        <f>IF(C649,(H649*N649*(B669+IF(AND(Inputs!$B$38&lt;&gt;"pvp",Inputs!$B$43&gt;0),((Skills!G8*((R643-1)*IF(Skills!H8&gt;0,Skills!I8/Skills!H8,1)+IF(Skills!H8&gt;0,MIN(Skills!I8,MAX(0,MAX(0,Inputs!$B$43-B672)-((R643-1)*IF(Inputs!$B$38="pvp",15,MAX(0.1,Skills!D8-IF(Skills!E8=TRUE,Inputs!$B$32,0))))))/Skills!H8,1)))/Inputs!$B$43),G643*Q643)+IF(AND(Inputs!$B$38&lt;&gt;"pvp",Inputs!$B$43&gt;0),((Skills!G11*((R646-1)*IF(Skills!H11&gt;0,Skills!I11/Skills!H11,1)+IF(Skills!H11&gt;0,MIN(Skills!I11,MAX(0,MAX(0,Inputs!$B$43-B672)-((R646-1)*IF(Inputs!$B$38="pvp",15,MAX(0.1,Skills!D11-IF(Skills!E11=TRUE,Inputs!$B$32,0))))))/Skills!H11,1)))/Inputs!$B$43),G646*Q646)))*IF(Inputs!$B$38="pvp",1,1+(Inputs!$B$20+0+Skills!P14)/100),0)</f>
        <v/>
      </c>
      <c r="V649">
        <f>IF(C649,(H649*N649*(B669+IF(AND(Inputs!$B$38&lt;&gt;"pvp",Inputs!$B$43&gt;0),((Skills!G8*((R643-1)*IF(Skills!H8&gt;0,Skills!I8/Skills!H8,1)+IF(Skills!H8&gt;0,MIN(Skills!I8,MAX(0,MAX(0,Inputs!$B$43-B672)-((R643-1)*IF(Inputs!$B$38="pvp",15,MAX(0.1,Skills!D8-IF(Skills!E8=TRUE,Inputs!$B$32,0))))))/Skills!H8,1)))/Inputs!$B$43),G643*Q643)+IF(AND(Inputs!$B$38&lt;&gt;"pvp",Inputs!$B$43&gt;0),((Skills!G11*((R646-1)*IF(Skills!H11&gt;0,Skills!I11/Skills!H11,1)+IF(Skills!H11&gt;0,MIN(Skills!I11,MAX(0,MAX(0,Inputs!$B$43-B672)-((R646-1)*IF(Inputs!$B$38="pvp",15,MAX(0.1,Skills!D11-IF(Skills!E11=TRUE,Inputs!$B$32,0))))))/Skills!H11,1)))/Inputs!$B$43),G646*Q646)))*IF(Inputs!$B$38="pvp",1,(1+(Inputs!$B$21+Skills!Q14)/100)*(MIN(Skills!R14,Inputs!$B$37))),0)</f>
        <v/>
      </c>
    </row>
    <row r="650">
      <c r="A650">
        <f>Skills!A15</f>
        <v/>
      </c>
      <c r="B650">
        <f>Skills!B15</f>
        <v/>
      </c>
      <c r="C650">
        <f>Inputs!$B$3&gt;=100</f>
        <v/>
      </c>
      <c r="D650">
        <f>IF(Skills!C15=1,60+Inputs!$B$25+Inputs!$B$29,IF(Skills!C15=2,90+Inputs!$B$26+Inputs!$B$29,IF(Skills!C15=3,120+Inputs!$B$27+Inputs!$B$29,MAX(0,(Inputs!$B$3-100)*3)+Inputs!$B$28+Inputs!$B$29)))</f>
        <v/>
      </c>
      <c r="E650">
        <f>INDEX(FactorTable!$B$2:$Y$301, MATCH(ROUND(MIN(300,MAX(1,D650)),0), FactorTable!$A$2:$A$301,0), Skills!M15+1)</f>
        <v/>
      </c>
      <c r="F650">
        <f>IF(Skills!N15=TRUE,(Skills!L15/10)*(E650/1000),Skills!L15/10)+Skills!O15</f>
        <v/>
      </c>
      <c r="G650" t="inlineStr"/>
      <c r="H650" t="inlineStr"/>
      <c r="I650" t="inlineStr">
        <is>
          <t>1</t>
        </is>
      </c>
      <c r="J650" t="inlineStr"/>
      <c r="K650" t="inlineStr"/>
      <c r="L650" t="inlineStr"/>
      <c r="M650" t="inlineStr"/>
      <c r="N650" t="inlineStr"/>
      <c r="O650" t="inlineStr"/>
      <c r="P650" t="inlineStr"/>
      <c r="Q650" t="inlineStr"/>
      <c r="R650" t="inlineStr"/>
      <c r="S650" t="inlineStr"/>
    </row>
    <row r="651">
      <c r="A651">
        <f>Skills!A16</f>
        <v/>
      </c>
      <c r="B651">
        <f>Skills!B16</f>
        <v/>
      </c>
      <c r="C651">
        <f>Inputs!$B$3&gt;=120</f>
        <v/>
      </c>
      <c r="D651">
        <f>IF(Skills!C16=1,60+Inputs!$B$25+Inputs!$B$29,IF(Skills!C16=2,90+Inputs!$B$26+Inputs!$B$29,IF(Skills!C16=3,120+Inputs!$B$27+Inputs!$B$29,MAX(0,(Inputs!$B$3-100)*3)+Inputs!$B$28+Inputs!$B$29)))</f>
        <v/>
      </c>
      <c r="E651">
        <f>INDEX(FactorTable!$B$2:$Y$301, MATCH(ROUND(MIN(300,MAX(1,D651)),0), FactorTable!$A$2:$A$301,0), Skills!M16+1)</f>
        <v/>
      </c>
      <c r="F651">
        <f>IF(Skills!N16=TRUE,(Skills!L16/10)*(E651/1000),Skills!L16/10)+Skills!O16</f>
        <v/>
      </c>
      <c r="G651" t="inlineStr"/>
      <c r="H651" t="inlineStr"/>
      <c r="I651" t="inlineStr">
        <is>
          <t>1</t>
        </is>
      </c>
      <c r="J651" t="inlineStr"/>
      <c r="K651" t="inlineStr"/>
      <c r="L651" t="inlineStr"/>
      <c r="M651" t="inlineStr"/>
      <c r="N651" t="inlineStr"/>
      <c r="O651" t="inlineStr"/>
      <c r="P651" t="inlineStr"/>
      <c r="Q651" t="inlineStr"/>
      <c r="R651" t="inlineStr"/>
      <c r="S651" t="inlineStr"/>
    </row>
    <row r="652">
      <c r="A652">
        <f>Skills!A17</f>
        <v/>
      </c>
      <c r="B652">
        <f>Skills!B17</f>
        <v/>
      </c>
      <c r="C652">
        <f>Inputs!$B$3&gt;=66</f>
        <v/>
      </c>
      <c r="D652">
        <f>IF(Skills!C17=1,60+Inputs!$B$25+Inputs!$B$29,IF(Skills!C17=2,90+Inputs!$B$26+Inputs!$B$29,IF(Skills!C17=3,120+Inputs!$B$27+Inputs!$B$29,MAX(0,(Inputs!$B$3-100)*3)+Inputs!$B$28+Inputs!$B$29)))</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f>(1-Summary!$B$55)*T652+Summary!$B$55*V652</f>
        <v/>
      </c>
      <c r="P652">
        <f>IF(B675=0,0,O652/B675)</f>
        <v/>
      </c>
      <c r="Q652" t="n">
        <v>0</v>
      </c>
      <c r="R652" t="n">
        <v>0</v>
      </c>
      <c r="S652">
        <f>IFERROR(O652/N652,0)</f>
        <v/>
      </c>
      <c r="T652" t="n">
        <v>0</v>
      </c>
      <c r="V652" t="n">
        <v>0</v>
      </c>
    </row>
    <row r="653">
      <c r="A653">
        <f>Skills!A18</f>
        <v/>
      </c>
      <c r="B653">
        <f>Skills!B18</f>
        <v/>
      </c>
      <c r="C653">
        <f>Inputs!$B$3&gt;=115</f>
        <v/>
      </c>
      <c r="D653">
        <f>IF(Skills!C18=1,60+Inputs!$B$25+Inputs!$B$29,IF(Skills!C18=2,90+Inputs!$B$26+Inputs!$B$29,IF(Skills!C18=3,120+Inputs!$B$27+Inputs!$B$29,MAX(0,(Inputs!$B$3-100)*3)+Inputs!$B$28+Inputs!$B$29)))</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f>(1-Summary!$B$55)*T653+Summary!$B$55*V653</f>
        <v/>
      </c>
      <c r="P653">
        <f>IF(B675=0,0,O653/B675)</f>
        <v/>
      </c>
      <c r="Q653" t="n">
        <v>0</v>
      </c>
      <c r="R653" t="n">
        <v>0</v>
      </c>
      <c r="S653">
        <f>IFERROR(O653/N653,0)</f>
        <v/>
      </c>
      <c r="T653" t="n">
        <v>0</v>
      </c>
      <c r="V653" t="n">
        <v>0</v>
      </c>
    </row>
    <row r="654">
      <c r="A654">
        <f>Skills!A19</f>
        <v/>
      </c>
      <c r="B654">
        <f>Skills!B19</f>
        <v/>
      </c>
      <c r="C654">
        <f>Inputs!$B$3&gt;=15</f>
        <v/>
      </c>
      <c r="D654">
        <f>IF(Skills!C19=1,60+Inputs!$B$25+Inputs!$B$29,IF(Skills!C19=2,90+Inputs!$B$26+Inputs!$B$29,IF(Skills!C19=3,120+Inputs!$B$27+Inputs!$B$29,MAX(0,(Inputs!$B$3-100)*3)+Inputs!$B$28+Inputs!$B$29)))</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f>(1-Summary!$B$55)*T654+Summary!$B$55*V654</f>
        <v/>
      </c>
      <c r="P654">
        <f>IF(B675=0,0,O654/B675)</f>
        <v/>
      </c>
      <c r="Q654" t="n">
        <v>0</v>
      </c>
      <c r="R654" t="n">
        <v>0</v>
      </c>
      <c r="S654">
        <f>IFERROR(O654/N654,0)</f>
        <v/>
      </c>
      <c r="T654" t="n">
        <v>0</v>
      </c>
      <c r="V654" t="n">
        <v>0</v>
      </c>
    </row>
    <row r="655">
      <c r="A655">
        <f>Skills!A20</f>
        <v/>
      </c>
      <c r="B655">
        <f>Skills!B20</f>
        <v/>
      </c>
      <c r="C655">
        <f>Inputs!$B$3&gt;=10</f>
        <v/>
      </c>
      <c r="D655">
        <f>IF(Skills!C20=1,60+Inputs!$B$25+Inputs!$B$29,IF(Skills!C20=2,90+Inputs!$B$26+Inputs!$B$29,IF(Skills!C20=3,120+Inputs!$B$27+Inputs!$B$29,MAX(0,(Inputs!$B$3-100)*3)+Inputs!$B$28+Inputs!$B$29)))</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f>(1-Summary!$B$55)*T655+Summary!$B$55*V655</f>
        <v/>
      </c>
      <c r="P655">
        <f>IF(B675=0,0,O655/B675)</f>
        <v/>
      </c>
      <c r="Q655" t="n">
        <v>0</v>
      </c>
      <c r="R655" t="n">
        <v>0</v>
      </c>
      <c r="S655">
        <f>IFERROR(O655/N655,0)</f>
        <v/>
      </c>
      <c r="T655" t="n">
        <v>0</v>
      </c>
      <c r="V655" t="n">
        <v>0</v>
      </c>
    </row>
    <row r="656">
      <c r="A656">
        <f>Skills!A21</f>
        <v/>
      </c>
      <c r="B656">
        <f>Skills!B21</f>
        <v/>
      </c>
      <c r="C656">
        <f>Inputs!$B$3&gt;=33</f>
        <v/>
      </c>
      <c r="D656">
        <f>IF(Skills!C21=1,60+Inputs!$B$25+Inputs!$B$29,IF(Skills!C21=2,90+Inputs!$B$26+Inputs!$B$29,IF(Skills!C21=3,120+Inputs!$B$27+Inputs!$B$29,MAX(0,(Inputs!$B$3-100)*3)+Inputs!$B$28+Inputs!$B$29)))</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f>(1-Summary!$B$55)*T656+Summary!$B$55*V656</f>
        <v/>
      </c>
      <c r="P656">
        <f>IF(B675=0,0,O656/B675)</f>
        <v/>
      </c>
      <c r="Q656" t="n">
        <v>0</v>
      </c>
      <c r="R656" t="n">
        <v>0</v>
      </c>
      <c r="S656">
        <f>IFERROR(O656/N656,0)</f>
        <v/>
      </c>
      <c r="T656" t="n">
        <v>0</v>
      </c>
      <c r="V656" t="n">
        <v>0</v>
      </c>
    </row>
    <row r="657">
      <c r="A657">
        <f>Skills!A22</f>
        <v/>
      </c>
      <c r="B657">
        <f>Skills!B22</f>
        <v/>
      </c>
      <c r="C657">
        <f>Inputs!$B$3&gt;=43</f>
        <v/>
      </c>
      <c r="D657">
        <f>IF(Skills!C22=1,60+Inputs!$B$25+Inputs!$B$29,IF(Skills!C22=2,90+Inputs!$B$26+Inputs!$B$29,IF(Skills!C22=3,120+Inputs!$B$27+Inputs!$B$29,MAX(0,(Inputs!$B$3-100)*3)+Inputs!$B$28+Inputs!$B$29)))</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f>(1-Summary!$B$55)*T657+Summary!$B$55*V657</f>
        <v/>
      </c>
      <c r="P657">
        <f>IF(B675=0,0,O657/B675)</f>
        <v/>
      </c>
      <c r="Q657" t="n">
        <v>0</v>
      </c>
      <c r="R657" t="n">
        <v>0</v>
      </c>
      <c r="S657">
        <f>IFERROR(O657/N657,0)</f>
        <v/>
      </c>
      <c r="T657" t="n">
        <v>0</v>
      </c>
      <c r="V657" t="n">
        <v>0</v>
      </c>
    </row>
    <row r="658">
      <c r="A658">
        <f>Skills!A23</f>
        <v/>
      </c>
      <c r="B658">
        <f>Skills!B23</f>
        <v/>
      </c>
      <c r="C658">
        <f>Inputs!$B$3&gt;=38</f>
        <v/>
      </c>
      <c r="D658">
        <f>IF(Skills!C23=1,60+Inputs!$B$25+Inputs!$B$29,IF(Skills!C23=2,90+Inputs!$B$26+Inputs!$B$29,IF(Skills!C23=3,120+Inputs!$B$27+Inputs!$B$29,MAX(0,(Inputs!$B$3-100)*3)+Inputs!$B$28+Inputs!$B$29)))</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f>(1-Summary!$B$55)*T658+Summary!$B$55*V658</f>
        <v/>
      </c>
      <c r="P658">
        <f>IF(B675=0,0,O658/B675)</f>
        <v/>
      </c>
      <c r="Q658" t="n">
        <v>0</v>
      </c>
      <c r="R658" t="n">
        <v>0</v>
      </c>
      <c r="S658">
        <f>IFERROR(O658/N658,0)</f>
        <v/>
      </c>
      <c r="T658" t="n">
        <v>0</v>
      </c>
      <c r="V658" t="n">
        <v>0</v>
      </c>
    </row>
    <row r="659">
      <c r="A659">
        <f>Skills!A24</f>
        <v/>
      </c>
      <c r="B659">
        <f>Skills!B24</f>
        <v/>
      </c>
      <c r="C659">
        <f>Inputs!$B$3&gt;=40</f>
        <v/>
      </c>
      <c r="D659">
        <f>IF(Skills!C24=1,60+Inputs!$B$25+Inputs!$B$29,IF(Skills!C24=2,90+Inputs!$B$26+Inputs!$B$29,IF(Skills!C24=3,120+Inputs!$B$27+Inputs!$B$29,MAX(0,(Inputs!$B$3-100)*3)+Inputs!$B$28+Inputs!$B$29)))</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f>(1-Summary!$B$55)*T659+Summary!$B$55*V659</f>
        <v/>
      </c>
      <c r="P659">
        <f>IF(B675=0,0,O659/B675)</f>
        <v/>
      </c>
      <c r="Q659" t="n">
        <v>0</v>
      </c>
      <c r="R659" t="n">
        <v>0</v>
      </c>
      <c r="S659">
        <f>IFERROR(O659/N659,0)</f>
        <v/>
      </c>
      <c r="T659" t="n">
        <v>0</v>
      </c>
      <c r="V659" t="n">
        <v>0</v>
      </c>
    </row>
    <row r="660">
      <c r="A660">
        <f>Skills!A25</f>
        <v/>
      </c>
      <c r="B660">
        <f>Skills!B25</f>
        <v/>
      </c>
      <c r="C660">
        <f>Inputs!$B$3&gt;=72</f>
        <v/>
      </c>
      <c r="D660">
        <f>IF(Skills!C25=1,60+Inputs!$B$25+Inputs!$B$29,IF(Skills!C25=2,90+Inputs!$B$26+Inputs!$B$29,IF(Skills!C25=3,120+Inputs!$B$27+Inputs!$B$29,MAX(0,(Inputs!$B$3-100)*3)+Inputs!$B$28+Inputs!$B$29)))</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f>(1-Summary!$B$55)*T660+Summary!$B$55*V660</f>
        <v/>
      </c>
      <c r="P660">
        <f>IF(B675=0,0,O660/B675)</f>
        <v/>
      </c>
      <c r="Q660" t="n">
        <v>0</v>
      </c>
      <c r="R660" t="n">
        <v>0</v>
      </c>
      <c r="S660">
        <f>IFERROR(O660/N660,0)</f>
        <v/>
      </c>
      <c r="T660" t="n">
        <v>0</v>
      </c>
      <c r="V660" t="n">
        <v>0</v>
      </c>
    </row>
    <row r="661">
      <c r="A661">
        <f>Skills!A26</f>
        <v/>
      </c>
      <c r="B661">
        <f>Skills!B26</f>
        <v/>
      </c>
      <c r="C661">
        <f>Inputs!$B$3&gt;=75</f>
        <v/>
      </c>
      <c r="D661">
        <f>IF(Skills!C26=1,60+Inputs!$B$25+Inputs!$B$29,IF(Skills!C26=2,90+Inputs!$B$26+Inputs!$B$29,IF(Skills!C26=3,120+Inputs!$B$27+Inputs!$B$29,MAX(0,(Inputs!$B$3-100)*3)+Inputs!$B$28+Inputs!$B$29)))</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f>(1-Summary!$B$55)*T661+Summary!$B$55*V661</f>
        <v/>
      </c>
      <c r="P661">
        <f>IF(B675=0,0,O661/B675)</f>
        <v/>
      </c>
      <c r="Q661" t="n">
        <v>0</v>
      </c>
      <c r="R661" t="n">
        <v>0</v>
      </c>
      <c r="S661">
        <f>IFERROR(O661/N661,0)</f>
        <v/>
      </c>
      <c r="T661" t="n">
        <v>0</v>
      </c>
      <c r="V661" t="n">
        <v>0</v>
      </c>
    </row>
    <row r="662">
      <c r="A662">
        <f>Skills!A27</f>
        <v/>
      </c>
      <c r="B662">
        <f>Skills!B27</f>
        <v/>
      </c>
      <c r="C662">
        <f>Inputs!$B$3&gt;=117</f>
        <v/>
      </c>
      <c r="D662">
        <f>IF(Skills!C27=1,60+Inputs!$B$25+Inputs!$B$29,IF(Skills!C27=2,90+Inputs!$B$26+Inputs!$B$29,IF(Skills!C27=3,120+Inputs!$B$27+Inputs!$B$29,MAX(0,(Inputs!$B$3-100)*3)+Inputs!$B$28+Inputs!$B$29)))</f>
        <v/>
      </c>
      <c r="E662">
        <f>INDEX(FactorTable!$B$2:$Y$301, MATCH(ROUND(MIN(300,MAX(1,D662)),0), FactorTable!$A$2:$A$301,0), Skills!M27+1)</f>
        <v/>
      </c>
      <c r="F662">
        <f>IF(Skills!N27=TRUE,(Skills!L27/10)*(E662/1000),Skills!L27/10)+Skills!O27</f>
        <v/>
      </c>
      <c r="G662">
        <f>Skills!G27*IF(Skills!H27&gt;0,Skills!I27/Skills!H27,1)</f>
        <v/>
      </c>
      <c r="H662">
        <f>1-(1-Skills!J27/100)^Skills!K27</f>
        <v/>
      </c>
      <c r="I662" t="inlineStr">
        <is>
          <t>1</t>
        </is>
      </c>
      <c r="J662" t="inlineStr"/>
      <c r="K662" t="inlineStr"/>
      <c r="L662" t="inlineStr"/>
      <c r="M662" t="inlineStr"/>
      <c r="N662" t="inlineStr"/>
      <c r="O662">
        <f>(1-Summary!$B$55)*T662+Summary!$B$55*V662</f>
        <v/>
      </c>
      <c r="P662">
        <f>IF(B675=0,0,O662/B675)</f>
        <v/>
      </c>
      <c r="Q662" t="n">
        <v>0</v>
      </c>
      <c r="R662" t="n">
        <v>0</v>
      </c>
      <c r="S662">
        <f>IFERROR(O662/N662,0)</f>
        <v/>
      </c>
      <c r="T662" t="n">
        <v>0</v>
      </c>
      <c r="V662" t="n">
        <v>0</v>
      </c>
    </row>
    <row r="664">
      <c r="A664" t="inlineStr">
        <is>
          <t>Attack% Bucket Multiplier</t>
        </is>
      </c>
      <c r="B664">
        <f>(1+(((C652=TRUE)*F652)+((C659=TRUE)*(F659-Calc!F24)))/100)</f>
        <v/>
      </c>
    </row>
    <row r="665">
      <c r="A665" t="inlineStr">
        <is>
          <t>Global Crit Rate Bonus %</t>
        </is>
      </c>
      <c r="B665" t="n">
        <v>0</v>
      </c>
    </row>
    <row r="666">
      <c r="A666" t="inlineStr">
        <is>
          <t>Attack Speed Buff Bonus % (unused)</t>
        </is>
      </c>
      <c r="B666" t="n">
        <v>0</v>
      </c>
    </row>
    <row r="667">
      <c r="A667" t="inlineStr">
        <is>
          <t>Actions Per Second</t>
        </is>
      </c>
      <c r="B667">
        <f>1+MIN(150,150*(1-(1-(Inputs!$B$11+((C655=TRUE)*(F655-Calc!F20))+((C656=TRUE)*(F656-Calc!F21)))/150)*(1-B666/150)))/100</f>
        <v/>
      </c>
    </row>
    <row r="668">
      <c r="A668" t="inlineStr">
        <is>
          <t>Skill + Buff Cast Rate</t>
        </is>
      </c>
      <c r="B668">
        <f>IF(AND(Inputs!$B$38&lt;&gt;"pvp",Inputs!$B$43&gt;0),SUMPRODUCT((Skills!E2:E27=TRUE)*(C637:C662=TRUE)*R637:R662*Skills!F2:F27)/Inputs!$B$43,SUMPRODUCT((Skills!E2:E27=TRUE)*(C637:C662=TRUE)*Q637:Q662*Skills!F2:F27))</f>
        <v/>
      </c>
    </row>
    <row r="669">
      <c r="A669" t="inlineStr">
        <is>
          <t>Eight-Legs Easton Casts Per Second</t>
        </is>
      </c>
      <c r="B669">
        <f>MAX(0,B667-B668)</f>
        <v/>
      </c>
    </row>
    <row r="670">
      <c r="A670" t="inlineStr">
        <is>
          <t>Global Critical Damage Bonus % (unused)</t>
        </is>
      </c>
      <c r="B670" t="n">
        <v>0</v>
      </c>
    </row>
    <row r="671">
      <c r="A671" t="inlineStr">
        <is>
          <t>Global Final Damage Bonus % (Jolly Roger only)</t>
        </is>
      </c>
      <c r="B671">
        <f>((C653=TRUE)*F653)</f>
        <v/>
      </c>
    </row>
    <row r="672">
      <c r="A672" t="inlineStr">
        <is>
          <t>Buff-Casting Startup Delay (s, fixed-duration only)</t>
        </is>
      </c>
      <c r="B672">
        <f>IF(AND(Inputs!$B$38&lt;&gt;"pvp",Inputs!$B$43&gt;0),SUMPRODUCT((Skills!T2:T27&gt;0)*(Skills!E2:E27=TRUE)*(C637:C662=TRUE))/B667,0)</f>
        <v/>
      </c>
    </row>
    <row r="673">
      <c r="A673" t="inlineStr">
        <is>
          <t>Boss-Only Total DPS (this block's swept value)</t>
        </is>
      </c>
      <c r="B673">
        <f>SUM(T637:T662)</f>
        <v/>
      </c>
    </row>
    <row r="674">
      <c r="A674" t="inlineStr">
        <is>
          <t>Normal-Only Total DPS (this block's swept value)</t>
        </is>
      </c>
      <c r="B674">
        <f>SUM(V637:V662)</f>
        <v/>
      </c>
    </row>
    <row r="675">
      <c r="A675" s="5" t="inlineStr">
        <is>
          <t>TOTAL DPS</t>
        </is>
      </c>
      <c r="B675" s="5">
        <f>SUM(O637:O662)</f>
        <v/>
      </c>
    </row>
    <row r="678">
      <c r="A678" s="5" t="inlineStr">
        <is>
          <t>Stat: SKILL_DAMAGE %</t>
        </is>
      </c>
    </row>
    <row r="679">
      <c r="A679" s="9" t="inlineStr">
        <is>
          <t>Key</t>
        </is>
      </c>
      <c r="B679" s="9" t="inlineStr">
        <is>
          <t>Name</t>
        </is>
      </c>
      <c r="C679" s="9" t="inlineStr">
        <is>
          <t>Unlocked</t>
        </is>
      </c>
      <c r="D679" s="9" t="inlineStr">
        <is>
          <t>InputLevel</t>
        </is>
      </c>
      <c r="E679" s="9" t="inlineStr">
        <is>
          <t>Factor</t>
        </is>
      </c>
      <c r="F679" s="9" t="inlineStr">
        <is>
          <t>CoefficientPercent</t>
        </is>
      </c>
      <c r="G679" s="9" t="inlineStr">
        <is>
          <t>EffectiveHits</t>
        </is>
      </c>
      <c r="H679" s="9" t="inlineStr">
        <is>
          <t>ProcProbability</t>
        </is>
      </c>
      <c r="I679" s="9" t="inlineStr">
        <is>
          <t>MapleHeroMultiplier</t>
        </is>
      </c>
      <c r="J679" s="9" t="inlineStr">
        <is>
          <t>BaseDamage</t>
        </is>
      </c>
      <c r="K679" s="9" t="inlineStr">
        <is>
          <t>BaseHitDamage</t>
        </is>
      </c>
      <c r="L679" s="9" t="inlineStr">
        <is>
          <t>NonCritAvg</t>
        </is>
      </c>
      <c r="M679" s="9" t="inlineStr">
        <is>
          <t>CritAvg</t>
        </is>
      </c>
      <c r="N679" s="9" t="inlineStr">
        <is>
          <t>ExpectedDamage(perHit)</t>
        </is>
      </c>
      <c r="O679" s="9" t="inlineStr">
        <is>
          <t>DPS</t>
        </is>
      </c>
      <c r="P679" s="9" t="inlineStr">
        <is>
          <t>% of Total</t>
        </is>
      </c>
      <c r="Q679" s="9" t="inlineStr">
        <is>
          <t>InvCooldown</t>
        </is>
      </c>
      <c r="R679" s="9" t="inlineStr">
        <is>
          <t>CastsInFight</t>
        </is>
      </c>
      <c r="S679" s="9" t="inlineStr">
        <is>
          <t>HitRate(perSec)</t>
        </is>
      </c>
      <c r="U679" t="inlineStr">
        <is>
          <t>helpers</t>
        </is>
      </c>
    </row>
    <row r="680">
      <c r="A680">
        <f>Skills!A2</f>
        <v/>
      </c>
      <c r="B680">
        <f>Skills!B2</f>
        <v/>
      </c>
      <c r="C680">
        <f>Inputs!$B$3&gt;=100</f>
        <v/>
      </c>
      <c r="D680" t="inlineStr"/>
      <c r="E680" t="inlineStr"/>
      <c r="F680">
        <f>U682+Skills!O2</f>
        <v/>
      </c>
      <c r="G680">
        <f>Skills!G2*IF(Skills!H2&gt;0,Skills!I2/Skills!H2,1)</f>
        <v/>
      </c>
      <c r="H680">
        <f>1-(1-Skills!J2/100)^Skills!K2</f>
        <v/>
      </c>
      <c r="I680" t="inlineStr">
        <is>
          <t>1</t>
        </is>
      </c>
      <c r="J680">
        <f>((Inputs!$B$6*(1+Inputs!$B$7/100))+(((Inputs!$B$12*(1+Inputs!$B$13/100))-(Inputs!$B$12*(1+Inputs!$B$13/100)))+0.25*(Inputs!$B$14-Inputs!$B$14))*(1+Inputs!$B$7/100))*(F680/100)</f>
        <v/>
      </c>
      <c r="K680">
        <f>J680*(1+((Inputs!$B$12*(1+Inputs!$B$13/100))*0.01+Inputs!$B$14*0.0025)/100)*(1+Inputs!$B$15/100)*(1+Inputs!$B$16/100)*(5000/(6000+Inputs!$B$42*(1-(Inputs!$B$19+0)/100)))*(1+(Inputs!$B$24+((C704=TRUE)*(F704-Calc!F26))+B714)/100)*(1+(IF(Skills!A2="EIGHT_LEGS_EASTON",Inputs!$B$17+((C701=TRUE)*(F701-Calc!F23))+((C705=TRUE)*(F705-Calc!F27)),(Inputs!$B$18+1)+0))/100)*((1+(((C695=TRUE)*F695)+((C702=TRUE)*(F702-Calc!F24)))/100)*I680)</f>
        <v/>
      </c>
      <c r="L680">
        <f>K680*(MIN(Inputs!$B$22+((C700=TRUE)*(F700-Calc!F22)),Inputs!$B$23+0)/100+(Inputs!$B$23+0)/100)/2</f>
        <v/>
      </c>
      <c r="M680">
        <f>L680*(1+(Inputs!$B$10+((C703=TRUE)*(F703-Calc!F25))+B713)/100)</f>
        <v/>
      </c>
      <c r="N680">
        <f>L680*(1-MIN((Inputs!$B$9+((C697=TRUE)*(F697-Calc!F19))+B708),100)/100)+M680*(MIN((Inputs!$B$9+((C697=TRUE)*(F697-Calc!F19))+B708),100)/100)</f>
        <v/>
      </c>
      <c r="O680">
        <f>(1-Summary!$B$55)*T680+Summary!$B$55*V680</f>
        <v/>
      </c>
      <c r="P680">
        <f>IF(B718=0,0,O680/B718)</f>
        <v/>
      </c>
      <c r="Q680" t="n">
        <v>0</v>
      </c>
      <c r="R680" t="n">
        <v>0</v>
      </c>
      <c r="S680">
        <f>IFERROR(O680/N680,0)</f>
        <v/>
      </c>
      <c r="T680">
        <f>IF(C680,(Skills!G2*N680*B712)*IF(Inputs!$B$38="pvp",1,1+(Inputs!$B$20+0+Skills!P2)/100),0)</f>
        <v/>
      </c>
      <c r="U680">
        <f>MAX(0,(Inputs!$B$3-100)*3)+Inputs!$B$28+Inputs!$B$29</f>
        <v/>
      </c>
      <c r="V680">
        <f>IF(C680,(Skills!G2*N680*B712)*IF(Inputs!$B$38="pvp",1,(1+(Inputs!$B$21+Skills!Q2)/100)*(MIN((6+Inputs!$B$33),Inputs!$B$37))),0)</f>
        <v/>
      </c>
    </row>
    <row r="681">
      <c r="A681">
        <f>Skills!A3</f>
        <v/>
      </c>
      <c r="B681">
        <f>Skills!B3</f>
        <v/>
      </c>
      <c r="C681">
        <f>Inputs!$B$3&gt;=35</f>
        <v/>
      </c>
      <c r="D681">
        <f>IF(Skills!C3=1,60+Inputs!$B$25+Inputs!$B$29,IF(Skills!C3=2,90+Inputs!$B$26+Inputs!$B$29,IF(Skills!C3=3,120+Inputs!$B$27+Inputs!$B$29,MAX(0,(Inputs!$B$3-100)*3)+Inputs!$B$28+Inputs!$B$29)))</f>
        <v/>
      </c>
      <c r="E681">
        <f>INDEX(FactorTable!$B$2:$Y$301, MATCH(ROUND(MIN(300,MAX(1,D681)),0), FactorTable!$A$2:$A$301,0), Skills!M3+1)</f>
        <v/>
      </c>
      <c r="F681">
        <f>IF(Skills!N3=TRUE,(Skills!L3/10)*(E681/1000),Skills!L3/10)+Skills!O3</f>
        <v/>
      </c>
      <c r="G681">
        <f>Skills!G3*IF(Skills!H3&gt;0,Skills!I3/Skills!H3,1)</f>
        <v/>
      </c>
      <c r="H681">
        <f>1-(1-Skills!J3/100)^Skills!K3</f>
        <v/>
      </c>
      <c r="I681" t="inlineStr">
        <is>
          <t>1</t>
        </is>
      </c>
      <c r="J681">
        <f>((Inputs!$B$6*(1+Inputs!$B$7/100))+(((Inputs!$B$12*(1+Inputs!$B$13/100))-(Inputs!$B$12*(1+Inputs!$B$13/100)))+0.25*(Inputs!$B$14-Inputs!$B$14))*(1+Inputs!$B$7/100))*(F681/100)</f>
        <v/>
      </c>
      <c r="K681">
        <f>J681*(1+((Inputs!$B$12*(1+Inputs!$B$13/100))*0.01+Inputs!$B$14*0.0025)/100)*(1+Inputs!$B$15/100)*(1+Inputs!$B$16/100)*(5000/(6000+Inputs!$B$42*(1-(Inputs!$B$19+0)/100)))*(1+(Inputs!$B$24+((C704=TRUE)*(F704-Calc!F26))+B714)/100)*(1+4.0*IF(C693=TRUE,F693,0)/100)*(1+(IF(Skills!A3="EIGHT_LEGS_EASTON",Inputs!$B$17+((C701=TRUE)*(F701-Calc!F23))+((C705=TRUE)*(F705-Calc!F27)),(Inputs!$B$18+1)+0))/100)*((1+(((C695=TRUE)*F695)+((C702=TRUE)*(F702-Calc!F24)))/100)*I681)</f>
        <v/>
      </c>
      <c r="L681">
        <f>K681*(MIN(Inputs!$B$22+((C700=TRUE)*(F700-Calc!F22)),Inputs!$B$23+0)/100+(Inputs!$B$23+0)/100)/2</f>
        <v/>
      </c>
      <c r="M681">
        <f>L681*(1+(Inputs!$B$10+((C703=TRUE)*(F703-Calc!F25))+B713)/100)</f>
        <v/>
      </c>
      <c r="N681">
        <f>L681*(1-MIN((Inputs!$B$9+((C697=TRUE)*(F697-Calc!F19))+B708),100)/100)+M681*(MIN((Inputs!$B$9+((C697=TRUE)*(F697-Calc!F19))+B708),100)/100)</f>
        <v/>
      </c>
      <c r="O681">
        <f>(1-Summary!$B$55)*T681+Summary!$B$55*V681</f>
        <v/>
      </c>
      <c r="P681">
        <f>IF(B718=0,0,O681/B718)</f>
        <v/>
      </c>
      <c r="Q681">
        <f>IFERROR(1/IF(Inputs!$B$38="pvp",15,MAX(0.1,Skills!D3-IF(Skills!E3=TRUE,Inputs!$B$32,0))),0)</f>
        <v/>
      </c>
      <c r="R681">
        <f>IF(AND(Inputs!$B$38&lt;&gt;"pvp",Inputs!$B$43&gt;0),IF(MAX(0,Inputs!$B$43-B715)&lt;=0,0,(INT(MAX(0,Inputs!$B$43-B715)/IF(Inputs!$B$38="pvp",15,MAX(0.1,Skills!D3-IF(Skills!E3=TRUE,Inputs!$B$32,0))))+1)),0)</f>
        <v/>
      </c>
      <c r="S681">
        <f>IFERROR(O681/N681,0)</f>
        <v/>
      </c>
      <c r="T681">
        <f>IF(C681,(H681*N681*IF(AND(Inputs!$B$38&lt;&gt;"pvp",Inputs!$B$43&gt;0),((Skills!G3*((R681-1)*IF(Skills!H3&gt;0,Skills!I3/Skills!H3,1)+IF(Skills!H3&gt;0,MIN(Skills!I3,MAX(0,MAX(0,Inputs!$B$43-B715)-((R681-1)*IF(Inputs!$B$38="pvp",15,MAX(0.1,Skills!D3-IF(Skills!E3=TRUE,Inputs!$B$32,0))))))/Skills!H3,1)))/Inputs!$B$43),G681*Q681))*IF(Inputs!$B$38="pvp",1,1+(Inputs!$B$20+0+Skills!P3)/100),0)</f>
        <v/>
      </c>
      <c r="U681">
        <f>INDEX(FactorTable!$B$2:$Y$301, MATCH(ROUND(MIN(300,MAX(1,U680)),0), FactorTable!$A$2:$A$301,0), 22)</f>
        <v/>
      </c>
      <c r="V681">
        <f>IF(C681,(H681*N681*IF(AND(Inputs!$B$38&lt;&gt;"pvp",Inputs!$B$43&gt;0),((Skills!G3*((R681-1)*IF(Skills!H3&gt;0,Skills!I3/Skills!H3,1)+IF(Skills!H3&gt;0,MIN(Skills!I3,MAX(0,MAX(0,Inputs!$B$43-B715)-((R681-1)*IF(Inputs!$B$38="pvp",15,MAX(0.1,Skills!D3-IF(Skills!E3=TRUE,Inputs!$B$32,0))))))/Skills!H3,1)))/Inputs!$B$43),G681*Q681))*IF(Inputs!$B$38="pvp",1,(1+(Inputs!$B$21+Skills!Q3)/100)*(MIN(Skills!R3,Inputs!$B$37))),0)</f>
        <v/>
      </c>
    </row>
    <row r="682">
      <c r="A682">
        <f>Skills!A4</f>
        <v/>
      </c>
      <c r="B682">
        <f>Skills!B4</f>
        <v/>
      </c>
      <c r="C682">
        <f>Inputs!$B$3&gt;=40</f>
        <v/>
      </c>
      <c r="D682">
        <f>IF(Skills!C4=1,60+Inputs!$B$25+Inputs!$B$29,IF(Skills!C4=2,90+Inputs!$B$26+Inputs!$B$29,IF(Skills!C4=3,120+Inputs!$B$27+Inputs!$B$29,MAX(0,(Inputs!$B$3-100)*3)+Inputs!$B$28+Inputs!$B$29)))</f>
        <v/>
      </c>
      <c r="E682">
        <f>INDEX(FactorTable!$B$2:$Y$301, MATCH(ROUND(MIN(300,MAX(1,D682)),0), FactorTable!$A$2:$A$301,0), Skills!M4+1)</f>
        <v/>
      </c>
      <c r="F682">
        <f>IF(Skills!N4=TRUE,(Skills!L4/10)*(E682/1000),Skills!L4/10)+Skills!O4</f>
        <v/>
      </c>
      <c r="G682">
        <f>Skills!G4*IF(Skills!H4&gt;0,Skills!I4/Skills!H4,1)</f>
        <v/>
      </c>
      <c r="H682">
        <f>1-(1-Skills!J4/100)^Skills!K4</f>
        <v/>
      </c>
      <c r="I682" t="inlineStr">
        <is>
          <t>1</t>
        </is>
      </c>
      <c r="J682">
        <f>((Inputs!$B$6*(1+Inputs!$B$7/100))+(((Inputs!$B$12*(1+Inputs!$B$13/100))-(Inputs!$B$12*(1+Inputs!$B$13/100)))+0.25*(Inputs!$B$14-Inputs!$B$14))*(1+Inputs!$B$7/100))*(F682/100)</f>
        <v/>
      </c>
      <c r="K682">
        <f>J682*(1+((Inputs!$B$12*(1+Inputs!$B$13/100))*0.01+Inputs!$B$14*0.0025)/100)*(1+Inputs!$B$15/100)*(1+Inputs!$B$16/100)*(5000/(6000+Inputs!$B$42*(1-(Inputs!$B$19+0)/100)))*(1+(Inputs!$B$24+((C704=TRUE)*(F704-Calc!F26))+B714)/100)*(1+1.0*IF(C694=TRUE,F694,0)/100)*(1+(IF(Skills!A4="EIGHT_LEGS_EASTON",Inputs!$B$17+((C701=TRUE)*(F701-Calc!F23))+((C705=TRUE)*(F705-Calc!F27)),(Inputs!$B$18+1)+0))/100)*((1+(((C695=TRUE)*F695)+((C702=TRUE)*(F702-Calc!F24)))/100)*I682)</f>
        <v/>
      </c>
      <c r="L682">
        <f>K682*(MIN(Inputs!$B$22+((C700=TRUE)*(F700-Calc!F22)),Inputs!$B$23+0)/100+(Inputs!$B$23+0)/100)/2</f>
        <v/>
      </c>
      <c r="M682">
        <f>L682*(1+(Inputs!$B$10+((C703=TRUE)*(F703-Calc!F25))+B713)/100)</f>
        <v/>
      </c>
      <c r="N682">
        <f>L682*(1-MIN((Inputs!$B$9+((C697=TRUE)*(F697-Calc!F19))+B708),100)/100)+M682*(MIN((Inputs!$B$9+((C697=TRUE)*(F697-Calc!F19))+B708),100)/100)</f>
        <v/>
      </c>
      <c r="O682">
        <f>(1-Summary!$B$55)*T682+Summary!$B$55*V682</f>
        <v/>
      </c>
      <c r="P682">
        <f>IF(B718=0,0,O682/B718)</f>
        <v/>
      </c>
      <c r="Q682">
        <f>IFERROR(1/IF(Inputs!$B$38="pvp",15,MAX(0.1,Skills!D4-IF(Skills!E4=TRUE,Inputs!$B$32,0))),0)</f>
        <v/>
      </c>
      <c r="R682">
        <f>IF(AND(Inputs!$B$38&lt;&gt;"pvp",Inputs!$B$43&gt;0),IF(MAX(0,Inputs!$B$43-B715)&lt;=0,0,(INT(MAX(0,Inputs!$B$43-B715)/IF(Inputs!$B$38="pvp",15,MAX(0.1,Skills!D4-IF(Skills!E4=TRUE,Inputs!$B$32,0))))+1)),0)</f>
        <v/>
      </c>
      <c r="S682">
        <f>IFERROR(O682/N682,0)</f>
        <v/>
      </c>
      <c r="T682">
        <f>IF(C682,(H682*N682*IF(AND(Inputs!$B$38&lt;&gt;"pvp",Inputs!$B$43&gt;0),((Skills!G4*((R682-1)*IF(Skills!H4&gt;0,Skills!I4/Skills!H4,1)+IF(Skills!H4&gt;0,MIN(Skills!I4,MAX(0,MAX(0,Inputs!$B$43-B715)-((R682-1)*IF(Inputs!$B$38="pvp",15,MAX(0.1,Skills!D4-IF(Skills!E4=TRUE,Inputs!$B$32,0))))))/Skills!H4,1)))/Inputs!$B$43),G682*Q682))*IF(Inputs!$B$38="pvp",1,1+(Inputs!$B$20+0+Skills!P4)/100),0)</f>
        <v/>
      </c>
      <c r="U682">
        <f>290*U681/1000</f>
        <v/>
      </c>
      <c r="V682">
        <f>IF(C682,(H682*N682*IF(AND(Inputs!$B$38&lt;&gt;"pvp",Inputs!$B$43&gt;0),((Skills!G4*((R682-1)*IF(Skills!H4&gt;0,Skills!I4/Skills!H4,1)+IF(Skills!H4&gt;0,MIN(Skills!I4,MAX(0,MAX(0,Inputs!$B$43-B715)-((R682-1)*IF(Inputs!$B$38="pvp",15,MAX(0.1,Skills!D4-IF(Skills!E4=TRUE,Inputs!$B$32,0))))))/Skills!H4,1)))/Inputs!$B$43),G682*Q682))*IF(Inputs!$B$38="pvp",1,(1+(Inputs!$B$21+Skills!Q4)/100)*(MIN(Skills!R4,Inputs!$B$37))),0)</f>
        <v/>
      </c>
    </row>
    <row r="683">
      <c r="A683">
        <f>Skills!A5</f>
        <v/>
      </c>
      <c r="B683">
        <f>Skills!B5</f>
        <v/>
      </c>
      <c r="C683">
        <f>Inputs!$B$3&gt;=45</f>
        <v/>
      </c>
      <c r="D683">
        <f>IF(Skills!C5=1,60+Inputs!$B$25+Inputs!$B$29,IF(Skills!C5=2,90+Inputs!$B$26+Inputs!$B$29,IF(Skills!C5=3,120+Inputs!$B$27+Inputs!$B$29,MAX(0,(Inputs!$B$3-100)*3)+Inputs!$B$28+Inputs!$B$29)))</f>
        <v/>
      </c>
      <c r="E683">
        <f>INDEX(FactorTable!$B$2:$Y$301, MATCH(ROUND(MIN(300,MAX(1,D683)),0), FactorTable!$A$2:$A$301,0), Skills!M5+1)</f>
        <v/>
      </c>
      <c r="F683">
        <f>IF(Skills!N5=TRUE,(Skills!L5/10)*(E683/1000),Skills!L5/10)+Skills!O5</f>
        <v/>
      </c>
      <c r="G683">
        <f>Skills!G5*IF(Skills!H5&gt;0,Skills!I5/Skills!H5,1)</f>
        <v/>
      </c>
      <c r="H683">
        <f>1-(1-Skills!J5/100)^Skills!K5</f>
        <v/>
      </c>
      <c r="I683" t="inlineStr">
        <is>
          <t>1</t>
        </is>
      </c>
      <c r="J683">
        <f>((Inputs!$B$6*(1+Inputs!$B$7/100))+(((Inputs!$B$12*(1+Inputs!$B$13/100))-(Inputs!$B$12*(1+Inputs!$B$13/100)))+0.25*(Inputs!$B$14-Inputs!$B$14))*(1+Inputs!$B$7/100))*(F683/100)</f>
        <v/>
      </c>
      <c r="K683">
        <f>J683*(1+((Inputs!$B$12*(1+Inputs!$B$13/100))*0.01+Inputs!$B$14*0.0025)/100)*(1+Inputs!$B$15/100)*(1+Inputs!$B$16/100)*(5000/(6000+Inputs!$B$42*(1-(Inputs!$B$19+0)/100)))*(1+(Inputs!$B$24+((C704=TRUE)*(F704-Calc!F26))+B714)/100)*(1+0.4*IF(C694=TRUE,F694,0)/100)*(1+(IF(Skills!A5="EIGHT_LEGS_EASTON",Inputs!$B$17+((C701=TRUE)*(F701-Calc!F23))+((C705=TRUE)*(F705-Calc!F27)),(Inputs!$B$18+1)+0))/100)*((1+(((C695=TRUE)*F695)+((C702=TRUE)*(F702-Calc!F24)))/100)*I683)</f>
        <v/>
      </c>
      <c r="L683">
        <f>K683*(MIN(Inputs!$B$22+((C700=TRUE)*(F700-Calc!F22)),Inputs!$B$23+0)/100+(Inputs!$B$23+0)/100)/2</f>
        <v/>
      </c>
      <c r="M683">
        <f>L683*(1+(Inputs!$B$10+((C703=TRUE)*(F703-Calc!F25))+B713)/100)</f>
        <v/>
      </c>
      <c r="N683">
        <f>L683*(1-MIN((Inputs!$B$9+((C697=TRUE)*(F697-Calc!F19))+B708),100)/100)+M683*(MIN((Inputs!$B$9+((C697=TRUE)*(F697-Calc!F19))+B708),100)/100)</f>
        <v/>
      </c>
      <c r="O683">
        <f>(1-Summary!$B$55)*T683+Summary!$B$55*V683</f>
        <v/>
      </c>
      <c r="P683">
        <f>IF(B718=0,0,O683/B718)</f>
        <v/>
      </c>
      <c r="Q683">
        <f>IFERROR(1/IF(Inputs!$B$38="pvp",15,MAX(0.1,Skills!D5-IF(Skills!E5=TRUE,Inputs!$B$32,0))),0)</f>
        <v/>
      </c>
      <c r="R683">
        <f>IF(AND(Inputs!$B$38&lt;&gt;"pvp",Inputs!$B$43&gt;0),IF(MAX(0,Inputs!$B$43-B715)&lt;=0,0,(INT(MAX(0,Inputs!$B$43-B715)/IF(Inputs!$B$38="pvp",15,MAX(0.1,Skills!D5-IF(Skills!E5=TRUE,Inputs!$B$32,0))))+1)),0)</f>
        <v/>
      </c>
      <c r="S683">
        <f>IFERROR(O683/N683,0)</f>
        <v/>
      </c>
      <c r="T683">
        <f>IF(C683,(H683*N683*IF(AND(Inputs!$B$38&lt;&gt;"pvp",Inputs!$B$43&gt;0),((Skills!G5*((R683-1)*IF(Skills!H5&gt;0,Skills!I5/Skills!H5,1)+IF(Skills!H5&gt;0,MIN(Skills!I5,MAX(0,MAX(0,Inputs!$B$43-B715)-((R683-1)*IF(Inputs!$B$38="pvp",15,MAX(0.1,Skills!D5-IF(Skills!E5=TRUE,Inputs!$B$32,0))))))/Skills!H5,1)))/Inputs!$B$43),G683*Q683))*IF(Inputs!$B$38="pvp",1,1+(Inputs!$B$20+0+Skills!P5)/100),0)</f>
        <v/>
      </c>
      <c r="V683">
        <f>IF(C683,(H683*N683*IF(AND(Inputs!$B$38&lt;&gt;"pvp",Inputs!$B$43&gt;0),((Skills!G5*((R683-1)*IF(Skills!H5&gt;0,Skills!I5/Skills!H5,1)+IF(Skills!H5&gt;0,MIN(Skills!I5,MAX(0,MAX(0,Inputs!$B$43-B715)-((R683-1)*IF(Inputs!$B$38="pvp",15,MAX(0.1,Skills!D5-IF(Skills!E5=TRUE,Inputs!$B$32,0))))))/Skills!H5,1)))/Inputs!$B$43),G683*Q683))*IF(Inputs!$B$38="pvp",1,(1+(Inputs!$B$21+Skills!Q5)/100)*(MIN(Skills!R5,Inputs!$B$37))),0)</f>
        <v/>
      </c>
    </row>
    <row r="684">
      <c r="A684">
        <f>Skills!A6</f>
        <v/>
      </c>
      <c r="B684">
        <f>Skills!B6</f>
        <v/>
      </c>
      <c r="C684">
        <f>Inputs!$B$3&gt;=63</f>
        <v/>
      </c>
      <c r="D684">
        <f>IF(Skills!C6=1,60+Inputs!$B$25+Inputs!$B$29,IF(Skills!C6=2,90+Inputs!$B$26+Inputs!$B$29,IF(Skills!C6=3,120+Inputs!$B$27+Inputs!$B$29,MAX(0,(Inputs!$B$3-100)*3)+Inputs!$B$28+Inputs!$B$29)))</f>
        <v/>
      </c>
      <c r="E684">
        <f>INDEX(FactorTable!$B$2:$Y$301, MATCH(ROUND(MIN(300,MAX(1,D684)),0), FactorTable!$A$2:$A$301,0), Skills!M6+1)</f>
        <v/>
      </c>
      <c r="F684">
        <f>IF(Skills!N6=TRUE,(Skills!L6/10)*(E684/1000),Skills!L6/10)+Skills!O6</f>
        <v/>
      </c>
      <c r="G684">
        <f>Skills!G6*IF(Skills!H6&gt;0,Skills!I6/Skills!H6,1)</f>
        <v/>
      </c>
      <c r="H684">
        <f>1-(1-Skills!J6/100)^Skills!K6</f>
        <v/>
      </c>
      <c r="I684" t="inlineStr">
        <is>
          <t>1</t>
        </is>
      </c>
      <c r="J684">
        <f>((Inputs!$B$6*(1+Inputs!$B$7/100))+(((Inputs!$B$12*(1+Inputs!$B$13/100))-(Inputs!$B$12*(1+Inputs!$B$13/100)))+0.25*(Inputs!$B$14-Inputs!$B$14))*(1+Inputs!$B$7/100))*(F684/100)</f>
        <v/>
      </c>
      <c r="K684">
        <f>J684*(1+((Inputs!$B$12*(1+Inputs!$B$13/100))*0.01+Inputs!$B$14*0.0025)/100)*(1+Inputs!$B$15/100)*(1+Inputs!$B$16/100)*(5000/(6000+Inputs!$B$42*(1-(Inputs!$B$19+0)/100)))*(1+(Inputs!$B$24+((C704=TRUE)*(F704-Calc!F26))+B714)/100)*(1+2.0*IF(C693=TRUE,F693,0)/100)*(1+(IF(Skills!A6="EIGHT_LEGS_EASTON",Inputs!$B$17+((C701=TRUE)*(F701-Calc!F23))+((C705=TRUE)*(F705-Calc!F27)),(Inputs!$B$18+1)+0))/100)*((1+(((C695=TRUE)*F695)+((C702=TRUE)*(F702-Calc!F24)))/100)*I684)</f>
        <v/>
      </c>
      <c r="L684">
        <f>K684*(MIN(Inputs!$B$22+((C700=TRUE)*(F700-Calc!F22)),Inputs!$B$23+0)/100+(Inputs!$B$23+0)/100)/2</f>
        <v/>
      </c>
      <c r="M684">
        <f>L684*(1+(Inputs!$B$10+((C703=TRUE)*(F703-Calc!F25))+B713)/100)</f>
        <v/>
      </c>
      <c r="N684">
        <f>L684*(1-MIN((Inputs!$B$9+((C697=TRUE)*(F697-Calc!F19))+B708),100)/100)+M684*(MIN((Inputs!$B$9+((C697=TRUE)*(F697-Calc!F19))+B708),100)/100)</f>
        <v/>
      </c>
      <c r="O684">
        <f>(1-Summary!$B$55)*T684+Summary!$B$55*V684</f>
        <v/>
      </c>
      <c r="P684">
        <f>IF(B718=0,0,O684/B718)</f>
        <v/>
      </c>
      <c r="Q684">
        <f>IFERROR(1/IF(Inputs!$B$38="pvp",15,MAX(0.1,Skills!D6-IF(Skills!E6=TRUE,Inputs!$B$32,0))),0)</f>
        <v/>
      </c>
      <c r="R684">
        <f>IF(AND(Inputs!$B$38&lt;&gt;"pvp",Inputs!$B$43&gt;0),IF(MAX(0,Inputs!$B$43-B715)&lt;=0,0,(INT(MAX(0,Inputs!$B$43-B715)/IF(Inputs!$B$38="pvp",15,MAX(0.1,Skills!D6-IF(Skills!E6=TRUE,Inputs!$B$32,0))))+1)),0)</f>
        <v/>
      </c>
      <c r="S684">
        <f>IFERROR(O684/N684,0)</f>
        <v/>
      </c>
      <c r="T684">
        <f>IF(C684,(H684*N684*IF(AND(Inputs!$B$38&lt;&gt;"pvp",Inputs!$B$43&gt;0),((Skills!G6*((R684-1)*IF(Skills!H6&gt;0,Skills!I6/Skills!H6,1)+IF(Skills!H6&gt;0,MIN(Skills!I6,MAX(0,MAX(0,Inputs!$B$43-B715)-((R684-1)*IF(Inputs!$B$38="pvp",15,MAX(0.1,Skills!D6-IF(Skills!E6=TRUE,Inputs!$B$32,0))))))/Skills!H6,1)))/Inputs!$B$43),G684*Q684))*IF(Inputs!$B$38="pvp",1,1+(Inputs!$B$20+0+Skills!P6)/100),0)</f>
        <v/>
      </c>
      <c r="V684">
        <f>IF(C684,(H684*N684*IF(AND(Inputs!$B$38&lt;&gt;"pvp",Inputs!$B$43&gt;0),((Skills!G6*((R684-1)*IF(Skills!H6&gt;0,Skills!I6/Skills!H6,1)+IF(Skills!H6&gt;0,MIN(Skills!I6,MAX(0,MAX(0,Inputs!$B$43-B715)-((R684-1)*IF(Inputs!$B$38="pvp",15,MAX(0.1,Skills!D6-IF(Skills!E6=TRUE,Inputs!$B$32,0))))))/Skills!H6,1)))/Inputs!$B$43),G684*Q684))*IF(Inputs!$B$38="pvp",1,(1+(Inputs!$B$21+Skills!Q6)/100)*(MIN(Skills!R6,Inputs!$B$37))),0)</f>
        <v/>
      </c>
    </row>
    <row r="685">
      <c r="A685">
        <f>Skills!A7</f>
        <v/>
      </c>
      <c r="B685">
        <f>Skills!B7</f>
        <v/>
      </c>
      <c r="C685">
        <f>Inputs!$B$3&gt;=66</f>
        <v/>
      </c>
      <c r="D685">
        <f>IF(Skills!C7=1,60+Inputs!$B$25+Inputs!$B$29,IF(Skills!C7=2,90+Inputs!$B$26+Inputs!$B$29,IF(Skills!C7=3,120+Inputs!$B$27+Inputs!$B$29,MAX(0,(Inputs!$B$3-100)*3)+Inputs!$B$28+Inputs!$B$29)))</f>
        <v/>
      </c>
      <c r="E685">
        <f>INDEX(FactorTable!$B$2:$Y$301, MATCH(ROUND(MIN(300,MAX(1,D685)),0), FactorTable!$A$2:$A$301,0), Skills!M7+1)</f>
        <v/>
      </c>
      <c r="F685">
        <f>IF(Skills!N7=TRUE,(Skills!L7/10)*(E685/1000),Skills!L7/10)+Skills!O7</f>
        <v/>
      </c>
      <c r="G685">
        <f>Skills!G7*IF(Skills!H7&gt;0,Skills!I7/Skills!H7,1)</f>
        <v/>
      </c>
      <c r="H685">
        <f>1-(1-Skills!J7/100)^Skills!K7</f>
        <v/>
      </c>
      <c r="I685" t="inlineStr">
        <is>
          <t>1</t>
        </is>
      </c>
      <c r="J685">
        <f>((Inputs!$B$6*(1+Inputs!$B$7/100))+(((Inputs!$B$12*(1+Inputs!$B$13/100))-(Inputs!$B$12*(1+Inputs!$B$13/100)))+0.25*(Inputs!$B$14-Inputs!$B$14))*(1+Inputs!$B$7/100))*(F685/100)</f>
        <v/>
      </c>
      <c r="K685">
        <f>J685*(1+((Inputs!$B$12*(1+Inputs!$B$13/100))*0.01+Inputs!$B$14*0.0025)/100)*(1+Inputs!$B$15/100)*(1+Inputs!$B$16/100)*(5000/(6000+Inputs!$B$42*(1-(Inputs!$B$19+0)/100)))*(1+(Inputs!$B$24+((C704=TRUE)*(F704-Calc!F26))+B714)/100)*(1+1.0*IF(C693=TRUE,F693,0)/100)*(1+(IF(Skills!A7="EIGHT_LEGS_EASTON",Inputs!$B$17+((C701=TRUE)*(F701-Calc!F23))+((C705=TRUE)*(F705-Calc!F27)),(Inputs!$B$18+1)+0))/100)*((1+(((C695=TRUE)*F695)+((C702=TRUE)*(F702-Calc!F24)))/100)*I685)</f>
        <v/>
      </c>
      <c r="L685">
        <f>K685*(MIN(Inputs!$B$22+((C700=TRUE)*(F700-Calc!F22)),Inputs!$B$23+0)/100+(Inputs!$B$23+0)/100)/2</f>
        <v/>
      </c>
      <c r="M685">
        <f>L685*(1+(Inputs!$B$10+((C703=TRUE)*(F703-Calc!F25))+B713)/100)</f>
        <v/>
      </c>
      <c r="N685">
        <f>L685*(1-MIN((Inputs!$B$9+((C697=TRUE)*(F697-Calc!F19))+B708),100)/100)+M685*(MIN((Inputs!$B$9+((C697=TRUE)*(F697-Calc!F19))+B708),100)/100)</f>
        <v/>
      </c>
      <c r="O685">
        <f>(1-Summary!$B$55)*T685+Summary!$B$55*V685</f>
        <v/>
      </c>
      <c r="P685">
        <f>IF(B718=0,0,O685/B718)</f>
        <v/>
      </c>
      <c r="Q685">
        <f>IFERROR(1/IF(Inputs!$B$38="pvp",15,MAX(0.1,Skills!D7-IF(Skills!E7=TRUE,Inputs!$B$32,0))),0)</f>
        <v/>
      </c>
      <c r="R685">
        <f>IF(AND(Inputs!$B$38&lt;&gt;"pvp",Inputs!$B$43&gt;0),IF(MAX(0,Inputs!$B$43-B715)&lt;=0,0,(INT(MAX(0,Inputs!$B$43-B715)/IF(Inputs!$B$38="pvp",15,MAX(0.1,Skills!D7-IF(Skills!E7=TRUE,Inputs!$B$32,0))))+1)),0)</f>
        <v/>
      </c>
      <c r="S685">
        <f>IFERROR(O685/N685,0)</f>
        <v/>
      </c>
      <c r="T685">
        <f>IF(C685,(H685*N685*IF(AND(Inputs!$B$38&lt;&gt;"pvp",Inputs!$B$43&gt;0),((Skills!G7*((R685-1)*IF(Skills!H7&gt;0,Skills!I7/Skills!H7,1)+IF(Skills!H7&gt;0,MIN(Skills!I7,MAX(0,MAX(0,Inputs!$B$43-B715)-((R685-1)*IF(Inputs!$B$38="pvp",15,MAX(0.1,Skills!D7-IF(Skills!E7=TRUE,Inputs!$B$32,0))))))/Skills!H7,1)))/Inputs!$B$43),G685*Q685))*IF(Inputs!$B$38="pvp",1,1+(Inputs!$B$20+0+Skills!P7)/100),0)</f>
        <v/>
      </c>
      <c r="V685">
        <f>IF(C685,(H685*N685*IF(AND(Inputs!$B$38&lt;&gt;"pvp",Inputs!$B$43&gt;0),((Skills!G7*((R685-1)*IF(Skills!H7&gt;0,Skills!I7/Skills!H7,1)+IF(Skills!H7&gt;0,MIN(Skills!I7,MAX(0,MAX(0,Inputs!$B$43-B715)-((R685-1)*IF(Inputs!$B$38="pvp",15,MAX(0.1,Skills!D7-IF(Skills!E7=TRUE,Inputs!$B$32,0))))))/Skills!H7,1)))/Inputs!$B$43),G685*Q685))*IF(Inputs!$B$38="pvp",1,(1+(Inputs!$B$21+Skills!Q7)/100)*(MIN(Skills!R7,Inputs!$B$37))),0)</f>
        <v/>
      </c>
    </row>
    <row r="686">
      <c r="A686">
        <f>Skills!A8</f>
        <v/>
      </c>
      <c r="B686">
        <f>Skills!B8</f>
        <v/>
      </c>
      <c r="C686">
        <f>Inputs!$B$3&gt;=100</f>
        <v/>
      </c>
      <c r="D686">
        <f>IF(Skills!C8=1,60+Inputs!$B$25+Inputs!$B$29,IF(Skills!C8=2,90+Inputs!$B$26+Inputs!$B$29,IF(Skills!C8=3,120+Inputs!$B$27+Inputs!$B$29,MAX(0,(Inputs!$B$3-100)*3)+Inputs!$B$28+Inputs!$B$29)))</f>
        <v/>
      </c>
      <c r="E686">
        <f>INDEX(FactorTable!$B$2:$Y$301, MATCH(ROUND(MIN(300,MAX(1,D686)),0), FactorTable!$A$2:$A$301,0), Skills!M8+1)</f>
        <v/>
      </c>
      <c r="F686">
        <f>IF(Skills!N8=TRUE,(Skills!L8/10)*(E686/1000),Skills!L8/10)+Skills!O8</f>
        <v/>
      </c>
      <c r="G686">
        <f>Skills!G8*IF(Skills!H8&gt;0,Skills!I8/Skills!H8,1)</f>
        <v/>
      </c>
      <c r="H686">
        <f>1-(1-Skills!J8/100)^Skills!K8</f>
        <v/>
      </c>
      <c r="I686" t="inlineStr">
        <is>
          <t>1</t>
        </is>
      </c>
      <c r="J686">
        <f>((Inputs!$B$6*(1+Inputs!$B$7/100))+(((Inputs!$B$12*(1+Inputs!$B$13/100))-(Inputs!$B$12*(1+Inputs!$B$13/100)))+0.25*(Inputs!$B$14-Inputs!$B$14))*(1+Inputs!$B$7/100))*(F686/100)</f>
        <v/>
      </c>
      <c r="K686">
        <f>J686*(1+((Inputs!$B$12*(1+Inputs!$B$13/100))*0.01+Inputs!$B$14*0.0025)/100)*(1+Inputs!$B$15/100)*(1+Inputs!$B$16/100)*(5000/(6000+Inputs!$B$42*(1-(Inputs!$B$19+0)/100)))*(1+(Inputs!$B$24+((C704=TRUE)*(F704-Calc!F26))+B714)/100)*(1+(IF(Skills!A8="EIGHT_LEGS_EASTON",Inputs!$B$17+((C701=TRUE)*(F701-Calc!F23))+((C705=TRUE)*(F705-Calc!F27)),(Inputs!$B$18+1)+0))/100)*((1+(((C695=TRUE)*F695)+((C702=TRUE)*(F702-Calc!F24)))/100)*I686)</f>
        <v/>
      </c>
      <c r="L686">
        <f>K686*(MIN(Inputs!$B$22+((C700=TRUE)*(F700-Calc!F22)),Inputs!$B$23+0)/100+(Inputs!$B$23+0)/100)/2</f>
        <v/>
      </c>
      <c r="M686">
        <f>L686*(1+(Inputs!$B$10+((C703=TRUE)*(F703-Calc!F25))+B713)/100)</f>
        <v/>
      </c>
      <c r="N686">
        <f>L686*(1-MIN((Inputs!$B$9+((C697=TRUE)*(F697-Calc!F19))+B708),100)/100)+M686*(MIN((Inputs!$B$9+((C697=TRUE)*(F697-Calc!F19))+B708),100)/100)</f>
        <v/>
      </c>
      <c r="O686">
        <f>(1-Summary!$B$55)*T686+Summary!$B$55*V686</f>
        <v/>
      </c>
      <c r="P686">
        <f>IF(B718=0,0,O686/B718)</f>
        <v/>
      </c>
      <c r="Q686">
        <f>IFERROR(1/IF(Inputs!$B$38="pvp",15,MAX(0.1,Skills!D8-IF(Skills!E8=TRUE,Inputs!$B$32,0))),0)</f>
        <v/>
      </c>
      <c r="R686">
        <f>IF(AND(Inputs!$B$38&lt;&gt;"pvp",Inputs!$B$43&gt;0),IF(MAX(0,Inputs!$B$43-B715)&lt;=0,0,(INT(MAX(0,Inputs!$B$43-B715)/IF(Inputs!$B$38="pvp",15,MAX(0.1,Skills!D8-IF(Skills!E8=TRUE,Inputs!$B$32,0))))+1)),0)</f>
        <v/>
      </c>
      <c r="S686">
        <f>IFERROR(O686/N686,0)</f>
        <v/>
      </c>
      <c r="T686">
        <f>IF(C686,(H686*N686*IF(AND(Inputs!$B$38&lt;&gt;"pvp",Inputs!$B$43&gt;0),((Skills!G8*((R686-1)*IF(Skills!H8&gt;0,Skills!I8/Skills!H8,1)+IF(Skills!H8&gt;0,MIN(Skills!I8,MAX(0,MAX(0,Inputs!$B$43-B715)-((R686-1)*IF(Inputs!$B$38="pvp",15,MAX(0.1,Skills!D8-IF(Skills!E8=TRUE,Inputs!$B$32,0))))))/Skills!H8,1)))/Inputs!$B$43),G686*Q686))*IF(Inputs!$B$38="pvp",1,1+(Inputs!$B$20+0+Skills!P8)/100),0)</f>
        <v/>
      </c>
      <c r="V686">
        <f>IF(C686,(H686*N686*IF(AND(Inputs!$B$38&lt;&gt;"pvp",Inputs!$B$43&gt;0),((Skills!G8*((R686-1)*IF(Skills!H8&gt;0,Skills!I8/Skills!H8,1)+IF(Skills!H8&gt;0,MIN(Skills!I8,MAX(0,MAX(0,Inputs!$B$43-B715)-((R686-1)*IF(Inputs!$B$38="pvp",15,MAX(0.1,Skills!D8-IF(Skills!E8=TRUE,Inputs!$B$32,0))))))/Skills!H8,1)))/Inputs!$B$43),G686*Q686))*IF(Inputs!$B$38="pvp",1,(1+(Inputs!$B$21+Skills!Q8)/100)*(MIN(Skills!R8,Inputs!$B$37))),0)</f>
        <v/>
      </c>
    </row>
    <row r="687">
      <c r="A687">
        <f>Skills!A9</f>
        <v/>
      </c>
      <c r="B687">
        <f>Skills!B9</f>
        <v/>
      </c>
      <c r="C687">
        <f>Inputs!$B$3&gt;=103</f>
        <v/>
      </c>
      <c r="D687">
        <f>IF(Skills!C9=1,60+Inputs!$B$25+Inputs!$B$29,IF(Skills!C9=2,90+Inputs!$B$26+Inputs!$B$29,IF(Skills!C9=3,120+Inputs!$B$27+Inputs!$B$29,MAX(0,(Inputs!$B$3-100)*3)+Inputs!$B$28+Inputs!$B$29)))</f>
        <v/>
      </c>
      <c r="E687">
        <f>INDEX(FactorTable!$B$2:$Y$301, MATCH(ROUND(MIN(300,MAX(1,D687)),0), FactorTable!$A$2:$A$301,0), Skills!M9+1)</f>
        <v/>
      </c>
      <c r="F687">
        <f>IF(Skills!N9=TRUE,(Skills!L9/10)*(E687/1000),Skills!L9/10)+Skills!O9</f>
        <v/>
      </c>
      <c r="G687">
        <f>Skills!G9*IF(Skills!H9&gt;0,Skills!I9/Skills!H9,1)</f>
        <v/>
      </c>
      <c r="H687">
        <f>1-(1-Skills!J9/100)^Skills!K9</f>
        <v/>
      </c>
      <c r="I687" t="inlineStr">
        <is>
          <t>1</t>
        </is>
      </c>
      <c r="J687">
        <f>((Inputs!$B$6*(1+Inputs!$B$7/100))+(((Inputs!$B$12*(1+Inputs!$B$13/100))-(Inputs!$B$12*(1+Inputs!$B$13/100)))+0.25*(Inputs!$B$14-Inputs!$B$14))*(1+Inputs!$B$7/100))*(F687/100)</f>
        <v/>
      </c>
      <c r="K687">
        <f>J687*(1+((Inputs!$B$12*(1+Inputs!$B$13/100))*0.01+Inputs!$B$14*0.0025)/100)*(1+Inputs!$B$15/100)*(1+Inputs!$B$16/100)*(5000/(6000+Inputs!$B$42*(1-(Inputs!$B$19+0)/100)))*(1+(Inputs!$B$24+((C704=TRUE)*(F704-Calc!F26))+B714)/100)*(1+(IF(Skills!A9="EIGHT_LEGS_EASTON",Inputs!$B$17+((C701=TRUE)*(F701-Calc!F23))+((C705=TRUE)*(F705-Calc!F27)),(Inputs!$B$18+1)+0))/100)*((1+(((C695=TRUE)*F695)+((C702=TRUE)*(F702-Calc!F24)))/100)*I687)</f>
        <v/>
      </c>
      <c r="L687">
        <f>K687*(MIN(Inputs!$B$22+((C700=TRUE)*(F700-Calc!F22)),Inputs!$B$23+0)/100+(Inputs!$B$23+0)/100)/2</f>
        <v/>
      </c>
      <c r="M687">
        <f>L687*(1+(Inputs!$B$10+((C703=TRUE)*(F703-Calc!F25))+B713)/100)</f>
        <v/>
      </c>
      <c r="N687">
        <f>L687*(1-MIN((Inputs!$B$9+((C697=TRUE)*(F697-Calc!F19))+B708),100)/100)+M687*(MIN((Inputs!$B$9+((C697=TRUE)*(F697-Calc!F19))+B708),100)/100)</f>
        <v/>
      </c>
      <c r="O687">
        <f>(1-Summary!$B$55)*T687+Summary!$B$55*V687</f>
        <v/>
      </c>
      <c r="P687">
        <f>IF(B718=0,0,O687/B718)</f>
        <v/>
      </c>
      <c r="Q687">
        <f>IFERROR(1/IF(Inputs!$B$38="pvp",15,MAX(0.1,Skills!D9-IF(Skills!E9=TRUE,Inputs!$B$32,0))),0)</f>
        <v/>
      </c>
      <c r="R687">
        <f>IF(AND(Inputs!$B$38&lt;&gt;"pvp",Inputs!$B$43&gt;0),IF(MAX(0,Inputs!$B$43-B715)&lt;=0,0,(INT(MAX(0,Inputs!$B$43-B715)/IF(Inputs!$B$38="pvp",15,MAX(0.1,Skills!D9-IF(Skills!E9=TRUE,Inputs!$B$32,0))))+1)),0)</f>
        <v/>
      </c>
      <c r="S687">
        <f>IFERROR(O687/N687,0)</f>
        <v/>
      </c>
      <c r="T687">
        <f>IF(C687,(H687*N687*IF(AND(Inputs!$B$38&lt;&gt;"pvp",Inputs!$B$43&gt;0),((Skills!G9*((R687-1)*IF(Skills!H9&gt;0,Skills!I9/Skills!H9,1)+IF(Skills!H9&gt;0,MIN(Skills!I9,MAX(0,MAX(0,Inputs!$B$43-B715)-((R687-1)*IF(Inputs!$B$38="pvp",15,MAX(0.1,Skills!D9-IF(Skills!E9=TRUE,Inputs!$B$32,0))))))/Skills!H9,1)))/Inputs!$B$43),G687*Q687))*IF(Inputs!$B$38="pvp",1,1+(Inputs!$B$20+0+Skills!P9)/100),0)</f>
        <v/>
      </c>
      <c r="V687">
        <f>IF(C687,(H687*N687*IF(AND(Inputs!$B$38&lt;&gt;"pvp",Inputs!$B$43&gt;0),((Skills!G9*((R687-1)*IF(Skills!H9&gt;0,Skills!I9/Skills!H9,1)+IF(Skills!H9&gt;0,MIN(Skills!I9,MAX(0,MAX(0,Inputs!$B$43-B715)-((R687-1)*IF(Inputs!$B$38="pvp",15,MAX(0.1,Skills!D9-IF(Skills!E9=TRUE,Inputs!$B$32,0))))))/Skills!H9,1)))/Inputs!$B$43),G687*Q687))*IF(Inputs!$B$38="pvp",1,(1+(Inputs!$B$21+Skills!Q9)/100)*(MIN(Skills!R9,Inputs!$B$37))),0)</f>
        <v/>
      </c>
    </row>
    <row r="688">
      <c r="A688">
        <f>Skills!A10</f>
        <v/>
      </c>
      <c r="B688">
        <f>Skills!B10</f>
        <v/>
      </c>
      <c r="C688">
        <f>Inputs!$B$3&gt;=113</f>
        <v/>
      </c>
      <c r="D688">
        <f>IF(Skills!C10=1,60+Inputs!$B$25+Inputs!$B$29,IF(Skills!C10=2,90+Inputs!$B$26+Inputs!$B$29,IF(Skills!C10=3,120+Inputs!$B$27+Inputs!$B$29,MAX(0,(Inputs!$B$3-100)*3)+Inputs!$B$28+Inputs!$B$29)))</f>
        <v/>
      </c>
      <c r="E688">
        <f>INDEX(FactorTable!$B$2:$Y$301, MATCH(ROUND(MIN(300,MAX(1,D688)),0), FactorTable!$A$2:$A$301,0), Skills!M10+1)</f>
        <v/>
      </c>
      <c r="F688">
        <f>IF(Skills!N10=TRUE,(Skills!L10/10)*(E688/1000),Skills!L10/10)+Skills!O10</f>
        <v/>
      </c>
      <c r="G688">
        <f>Skills!G10*IF(Skills!H10&gt;0,Skills!I10/Skills!H10,1)</f>
        <v/>
      </c>
      <c r="H688">
        <f>1-(1-Skills!J10/100)^Skills!K10</f>
        <v/>
      </c>
      <c r="I688" t="inlineStr">
        <is>
          <t>1</t>
        </is>
      </c>
      <c r="J688">
        <f>((Inputs!$B$6*(1+Inputs!$B$7/100))+(((Inputs!$B$12*(1+Inputs!$B$13/100))-(Inputs!$B$12*(1+Inputs!$B$13/100)))+0.25*(Inputs!$B$14-Inputs!$B$14))*(1+Inputs!$B$7/100))*(F688/100)</f>
        <v/>
      </c>
      <c r="K688">
        <f>J688*(1+((Inputs!$B$12*(1+Inputs!$B$13/100))*0.01+Inputs!$B$14*0.0025)/100)*(1+Inputs!$B$15/100)*(1+Inputs!$B$16/100)*(5000/(6000+Inputs!$B$42*(1-(Inputs!$B$19+0)/100)))*(1+(Inputs!$B$24+((C704=TRUE)*(F704-Calc!F26))+B714)/100)*(1+(IF(Skills!A10="EIGHT_LEGS_EASTON",Inputs!$B$17+((C701=TRUE)*(F701-Calc!F23))+((C705=TRUE)*(F705-Calc!F27)),(Inputs!$B$18+1)+0))/100)*((1+(((C695=TRUE)*F695)+((C702=TRUE)*(F702-Calc!F24)))/100)*I688)</f>
        <v/>
      </c>
      <c r="L688">
        <f>K688*(MIN(Inputs!$B$22+((C700=TRUE)*(F700-Calc!F22)),Inputs!$B$23+0)/100+(Inputs!$B$23+0)/100)/2</f>
        <v/>
      </c>
      <c r="M688">
        <f>L688*(1+(Inputs!$B$10+((C703=TRUE)*(F703-Calc!F25))+B713)/100)</f>
        <v/>
      </c>
      <c r="N688">
        <f>L688*(1-MIN((Inputs!$B$9+((C697=TRUE)*(F697-Calc!F19))+B708),100)/100)+M688*(MIN((Inputs!$B$9+((C697=TRUE)*(F697-Calc!F19))+B708),100)/100)</f>
        <v/>
      </c>
      <c r="O688">
        <f>(1-Summary!$B$55)*T688+Summary!$B$55*V688</f>
        <v/>
      </c>
      <c r="P688">
        <f>IF(B718=0,0,O688/B718)</f>
        <v/>
      </c>
      <c r="Q688">
        <f>IFERROR(1/IF(Inputs!$B$38="pvp",15,MAX(0.1,Skills!D10-IF(Skills!E10=TRUE,Inputs!$B$32,0))),0)</f>
        <v/>
      </c>
      <c r="R688">
        <f>IF(AND(Inputs!$B$38&lt;&gt;"pvp",Inputs!$B$43&gt;0),IF(MAX(0,Inputs!$B$43-B715)&lt;=0,0,(INT(MAX(0,Inputs!$B$43-B715)/IF(Inputs!$B$38="pvp",15,MAX(0.1,Skills!D10-IF(Skills!E10=TRUE,Inputs!$B$32,0))))+1)),0)</f>
        <v/>
      </c>
      <c r="S688">
        <f>IFERROR(O688/N688,0)</f>
        <v/>
      </c>
      <c r="T688">
        <f>IF(C688,(H688*N688*IF(AND(Inputs!$B$38&lt;&gt;"pvp",Inputs!$B$43&gt;0),((Skills!G10*((R688-1)*IF(Skills!H10&gt;0,Skills!I10/Skills!H10,1)+IF(Skills!H10&gt;0,MIN(Skills!I10,MAX(0,MAX(0,Inputs!$B$43-B715)-((R688-1)*IF(Inputs!$B$38="pvp",15,MAX(0.1,Skills!D10-IF(Skills!E10=TRUE,Inputs!$B$32,0))))))/Skills!H10,1)))/Inputs!$B$43),G688*Q688))*IF(Inputs!$B$38="pvp",1,1+(Inputs!$B$20+0+Skills!P10)/100),0)</f>
        <v/>
      </c>
      <c r="V688">
        <f>IF(C688,(H688*N688*IF(AND(Inputs!$B$38&lt;&gt;"pvp",Inputs!$B$43&gt;0),((Skills!G10*((R688-1)*IF(Skills!H10&gt;0,Skills!I10/Skills!H10,1)+IF(Skills!H10&gt;0,MIN(Skills!I10,MAX(0,MAX(0,Inputs!$B$43-B715)-((R688-1)*IF(Inputs!$B$38="pvp",15,MAX(0.1,Skills!D10-IF(Skills!E10=TRUE,Inputs!$B$32,0))))))/Skills!H10,1)))/Inputs!$B$43),G688*Q688))*IF(Inputs!$B$38="pvp",1,(1+(Inputs!$B$21+Skills!Q10)/100)*(MIN(Skills!R10,Inputs!$B$37))),0)</f>
        <v/>
      </c>
    </row>
    <row r="689">
      <c r="A689">
        <f>Skills!A11</f>
        <v/>
      </c>
      <c r="B689">
        <f>Skills!B11</f>
        <v/>
      </c>
      <c r="C689">
        <f>Inputs!$B$3&gt;=107</f>
        <v/>
      </c>
      <c r="D689">
        <f>IF(Skills!C11=1,60+Inputs!$B$25+Inputs!$B$29,IF(Skills!C11=2,90+Inputs!$B$26+Inputs!$B$29,IF(Skills!C11=3,120+Inputs!$B$27+Inputs!$B$29,MAX(0,(Inputs!$B$3-100)*3)+Inputs!$B$28+Inputs!$B$29)))</f>
        <v/>
      </c>
      <c r="E689">
        <f>INDEX(FactorTable!$B$2:$Y$301, MATCH(ROUND(MIN(300,MAX(1,D689)),0), FactorTable!$A$2:$A$301,0), Skills!M11+1)</f>
        <v/>
      </c>
      <c r="F689">
        <f>IF(Skills!N11=TRUE,(Skills!L11/10)*(E689/1000),Skills!L11/10)+Skills!O11</f>
        <v/>
      </c>
      <c r="G689">
        <f>Skills!G11*IF(Skills!H11&gt;0,Skills!I11/Skills!H11,1)</f>
        <v/>
      </c>
      <c r="H689">
        <f>1-(1-Skills!J11/100)^Skills!K11</f>
        <v/>
      </c>
      <c r="I689" t="inlineStr">
        <is>
          <t>1</t>
        </is>
      </c>
      <c r="J689">
        <f>((Inputs!$B$6*(1+Inputs!$B$7/100))+(((Inputs!$B$12*(1+Inputs!$B$13/100))-(Inputs!$B$12*(1+Inputs!$B$13/100)))+0.25*(Inputs!$B$14-Inputs!$B$14))*(1+Inputs!$B$7/100))*(F689/100)</f>
        <v/>
      </c>
      <c r="K689">
        <f>J689*(1+((Inputs!$B$12*(1+Inputs!$B$13/100))*0.01+Inputs!$B$14*0.0025)/100)*(1+Inputs!$B$15/100)*(1+Inputs!$B$16/100)*(5000/(6000+Inputs!$B$42*(1-(Inputs!$B$19+0)/100)))*(1+(Inputs!$B$24+((C704=TRUE)*(F704-Calc!F26))+B714)/100)*(1+(IF(Skills!A11="EIGHT_LEGS_EASTON",Inputs!$B$17+((C701=TRUE)*(F701-Calc!F23))+((C705=TRUE)*(F705-Calc!F27)),(Inputs!$B$18+1)+0))/100)*((1+(((C695=TRUE)*F695)+((C702=TRUE)*(F702-Calc!F24)))/100)*I689)</f>
        <v/>
      </c>
      <c r="L689">
        <f>K689*(MIN(Inputs!$B$22+((C700=TRUE)*(F700-Calc!F22)),Inputs!$B$23+0)/100+(Inputs!$B$23+0)/100)/2</f>
        <v/>
      </c>
      <c r="M689">
        <f>L689*(1+(Inputs!$B$10+((C703=TRUE)*(F703-Calc!F25))+B713)/100)</f>
        <v/>
      </c>
      <c r="N689">
        <f>L689*(1-MIN((Inputs!$B$9+((C697=TRUE)*(F697-Calc!F19))+B708),100)/100)+M689*(MIN((Inputs!$B$9+((C697=TRUE)*(F697-Calc!F19))+B708),100)/100)</f>
        <v/>
      </c>
      <c r="O689">
        <f>(1-Summary!$B$55)*T689+Summary!$B$55*V689</f>
        <v/>
      </c>
      <c r="P689">
        <f>IF(B718=0,0,O689/B718)</f>
        <v/>
      </c>
      <c r="Q689">
        <f>IFERROR(1/IF(Inputs!$B$38="pvp",15,MAX(0.1,Skills!D11-IF(Skills!E11=TRUE,Inputs!$B$32,0))),0)</f>
        <v/>
      </c>
      <c r="R689">
        <f>IF(AND(Inputs!$B$38&lt;&gt;"pvp",Inputs!$B$43&gt;0),IF(MAX(0,Inputs!$B$43-B715)&lt;=0,0,(INT(MAX(0,Inputs!$B$43-B715)/IF(Inputs!$B$38="pvp",15,MAX(0.1,Skills!D11-IF(Skills!E11=TRUE,Inputs!$B$32,0))))+1)),0)</f>
        <v/>
      </c>
      <c r="S689">
        <f>IFERROR(O689/N689,0)</f>
        <v/>
      </c>
      <c r="T689">
        <f>IF(C689,(H689*N689*IF(AND(Inputs!$B$38&lt;&gt;"pvp",Inputs!$B$43&gt;0),((Skills!G11*((R689-1)*IF(Skills!H11&gt;0,Skills!I11/Skills!H11,1)+IF(Skills!H11&gt;0,MIN(Skills!I11,MAX(0,MAX(0,Inputs!$B$43-B715)-((R689-1)*IF(Inputs!$B$38="pvp",15,MAX(0.1,Skills!D11-IF(Skills!E11=TRUE,Inputs!$B$32,0))))))/Skills!H11,1)))/Inputs!$B$43),G689*Q689))*IF(Inputs!$B$38="pvp",1,1+(Inputs!$B$20+0+Skills!P11)/100),0)</f>
        <v/>
      </c>
      <c r="V689">
        <f>IF(C689,(H689*N689*IF(AND(Inputs!$B$38&lt;&gt;"pvp",Inputs!$B$43&gt;0),((Skills!G11*((R689-1)*IF(Skills!H11&gt;0,Skills!I11/Skills!H11,1)+IF(Skills!H11&gt;0,MIN(Skills!I11,MAX(0,MAX(0,Inputs!$B$43-B715)-((R689-1)*IF(Inputs!$B$38="pvp",15,MAX(0.1,Skills!D11-IF(Skills!E11=TRUE,Inputs!$B$32,0))))))/Skills!H11,1)))/Inputs!$B$43),G689*Q689))*IF(Inputs!$B$38="pvp",1,(1+(Inputs!$B$21+Skills!Q11)/100)*(MIN(Skills!R11,Inputs!$B$37))),0)</f>
        <v/>
      </c>
    </row>
    <row r="690">
      <c r="A690">
        <f>Skills!A12</f>
        <v/>
      </c>
      <c r="B690">
        <f>Skills!B12</f>
        <v/>
      </c>
      <c r="C690">
        <f>Inputs!$B$3&gt;=110</f>
        <v/>
      </c>
      <c r="D690">
        <f>IF(Skills!C12=1,60+Inputs!$B$25+Inputs!$B$29,IF(Skills!C12=2,90+Inputs!$B$26+Inputs!$B$29,IF(Skills!C12=3,120+Inputs!$B$27+Inputs!$B$29,MAX(0,(Inputs!$B$3-100)*3)+Inputs!$B$28+Inputs!$B$29)))</f>
        <v/>
      </c>
      <c r="E690">
        <f>INDEX(FactorTable!$B$2:$Y$301, MATCH(ROUND(MIN(300,MAX(1,D690)),0), FactorTable!$A$2:$A$301,0), Skills!M12+1)</f>
        <v/>
      </c>
      <c r="F690">
        <f>IF(Skills!N12=TRUE,(Skills!L12/10)*(E690/1000),Skills!L12/10)+Skills!O12</f>
        <v/>
      </c>
      <c r="G690">
        <f>Skills!G12*IF(Skills!H12&gt;0,Skills!I12/Skills!H12,1)</f>
        <v/>
      </c>
      <c r="H690">
        <f>1-(1-Skills!J12/100)^Skills!K12</f>
        <v/>
      </c>
      <c r="I690" t="inlineStr">
        <is>
          <t>1</t>
        </is>
      </c>
      <c r="J690">
        <f>((Inputs!$B$6*(1+Inputs!$B$7/100))+(((Inputs!$B$12*(1+Inputs!$B$13/100))-(Inputs!$B$12*(1+Inputs!$B$13/100)))+0.25*(Inputs!$B$14-Inputs!$B$14))*(1+Inputs!$B$7/100))*(F690/100)</f>
        <v/>
      </c>
      <c r="K690">
        <f>J690*(1+((Inputs!$B$12*(1+Inputs!$B$13/100))*0.01+Inputs!$B$14*0.0025)/100)*(1+Inputs!$B$15/100)*(1+Inputs!$B$16/100)*(5000/(6000+Inputs!$B$42*(1-(Inputs!$B$19+0)/100)))*(1+(Inputs!$B$24+((C704=TRUE)*(F704-Calc!F26))+B714)/100)*(1+(IF(Skills!A12="EIGHT_LEGS_EASTON",Inputs!$B$17+((C701=TRUE)*(F701-Calc!F23))+((C705=TRUE)*(F705-Calc!F27)),(Inputs!$B$18+1)+0))/100)*((1+(((C695=TRUE)*F695)+((C702=TRUE)*(F702-Calc!F24)))/100)*I690)</f>
        <v/>
      </c>
      <c r="L690">
        <f>K690*(MIN(Inputs!$B$22+((C700=TRUE)*(F700-Calc!F22)),Inputs!$B$23+0)/100+(Inputs!$B$23+0)/100)/2</f>
        <v/>
      </c>
      <c r="M690">
        <f>L690*(1+(Inputs!$B$10+((C703=TRUE)*(F703-Calc!F25))+B713)/100)</f>
        <v/>
      </c>
      <c r="N690">
        <f>L690*(1-MIN((Inputs!$B$9+((C697=TRUE)*(F697-Calc!F19))+B708),100)/100)+M690*(MIN((Inputs!$B$9+((C697=TRUE)*(F697-Calc!F19))+B708),100)/100)</f>
        <v/>
      </c>
      <c r="O690">
        <f>(1-Summary!$B$55)*T690+Summary!$B$55*V690</f>
        <v/>
      </c>
      <c r="P690">
        <f>IF(B718=0,0,O690/B718)</f>
        <v/>
      </c>
      <c r="Q690">
        <f>IFERROR(1/IF(Inputs!$B$38="pvp",15,MAX(0.1,Skills!D12-IF(Skills!E12=TRUE,Inputs!$B$32,0))),0)</f>
        <v/>
      </c>
      <c r="R690">
        <f>IF(AND(Inputs!$B$38&lt;&gt;"pvp",Inputs!$B$43&gt;0),IF(MAX(0,Inputs!$B$43-B715)&lt;=0,0,(INT(MAX(0,Inputs!$B$43-B715)/IF(Inputs!$B$38="pvp",15,MAX(0.1,Skills!D12-IF(Skills!E12=TRUE,Inputs!$B$32,0))))+1)),0)</f>
        <v/>
      </c>
      <c r="S690">
        <f>IFERROR(O690/N690,0)</f>
        <v/>
      </c>
      <c r="T690">
        <f>IF(C690,(H690*N690*IF(AND(Inputs!$B$38&lt;&gt;"pvp",Inputs!$B$43&gt;0),((Skills!G12*((R690-1)*IF(Skills!H12&gt;0,Skills!I12/Skills!H12,1)+IF(Skills!H12&gt;0,MIN(Skills!I12,MAX(0,MAX(0,Inputs!$B$43-B715)-((R690-1)*IF(Inputs!$B$38="pvp",15,MAX(0.1,Skills!D12-IF(Skills!E12=TRUE,Inputs!$B$32,0))))))/Skills!H12,1)))/Inputs!$B$43),G690*Q690))*IF(Inputs!$B$38="pvp",1,1+(Inputs!$B$20+0+Skills!P12)/100),0)</f>
        <v/>
      </c>
      <c r="V690">
        <f>IF(C690,(H690*N690*IF(AND(Inputs!$B$38&lt;&gt;"pvp",Inputs!$B$43&gt;0),((Skills!G12*((R690-1)*IF(Skills!H12&gt;0,Skills!I12/Skills!H12,1)+IF(Skills!H12&gt;0,MIN(Skills!I12,MAX(0,MAX(0,Inputs!$B$43-B715)-((R690-1)*IF(Inputs!$B$38="pvp",15,MAX(0.1,Skills!D12-IF(Skills!E12=TRUE,Inputs!$B$32,0))))))/Skills!H12,1)))/Inputs!$B$43),G690*Q690))*IF(Inputs!$B$38="pvp",1,(1+(Inputs!$B$21+Skills!Q12)/100)*(MIN(Skills!R12,Inputs!$B$37))),0)</f>
        <v/>
      </c>
    </row>
    <row r="691">
      <c r="A691">
        <f>Skills!A13</f>
        <v/>
      </c>
      <c r="B691">
        <f>Skills!B13</f>
        <v/>
      </c>
      <c r="C691">
        <f>Inputs!$B$3&gt;=110</f>
        <v/>
      </c>
      <c r="D691">
        <f>IF(Skills!C13=1,60+Inputs!$B$25+Inputs!$B$29,IF(Skills!C13=2,90+Inputs!$B$26+Inputs!$B$29,IF(Skills!C13=3,120+Inputs!$B$27+Inputs!$B$29,MAX(0,(Inputs!$B$3-100)*3)+Inputs!$B$28+Inputs!$B$29)))</f>
        <v/>
      </c>
      <c r="E691">
        <f>INDEX(FactorTable!$B$2:$Y$301, MATCH(ROUND(MIN(300,MAX(1,D691)),0), FactorTable!$A$2:$A$301,0), Skills!M13+1)</f>
        <v/>
      </c>
      <c r="F691">
        <f>IF(Skills!N13=TRUE,(Skills!L13/10)*(E691/1000),Skills!L13/10)+Skills!O13</f>
        <v/>
      </c>
      <c r="G691">
        <f>Skills!G13*IF(Skills!H13&gt;0,Skills!I13/Skills!H13,1)</f>
        <v/>
      </c>
      <c r="H691">
        <f>1-(1-Skills!J13/100)^Skills!K13</f>
        <v/>
      </c>
      <c r="I691" t="inlineStr">
        <is>
          <t>1</t>
        </is>
      </c>
      <c r="J691">
        <f>((Inputs!$B$6*(1+Inputs!$B$7/100))+(((Inputs!$B$12*(1+Inputs!$B$13/100))-(Inputs!$B$12*(1+Inputs!$B$13/100)))+0.25*(Inputs!$B$14-Inputs!$B$14))*(1+Inputs!$B$7/100))*(F691/100)</f>
        <v/>
      </c>
      <c r="K691">
        <f>J691*(1+((Inputs!$B$12*(1+Inputs!$B$13/100))*0.01+Inputs!$B$14*0.0025)/100)*(1+Inputs!$B$15/100)*(1+Inputs!$B$16/100)*(5000/(6000+Inputs!$B$42*(1-(Inputs!$B$19+0)/100)))*(1+(Inputs!$B$24+((C704=TRUE)*(F704-Calc!F26))+B714)/100)*(1+(IF(Skills!A13="EIGHT_LEGS_EASTON",Inputs!$B$17+((C701=TRUE)*(F701-Calc!F23))+((C705=TRUE)*(F705-Calc!F27)),(Inputs!$B$18+1)+0))/100)*((1+(((C695=TRUE)*F695)+((C702=TRUE)*(F702-Calc!F24)))/100)*I691)</f>
        <v/>
      </c>
      <c r="L691">
        <f>K691*(MIN(Inputs!$B$22+((C700=TRUE)*(F700-Calc!F22)),Inputs!$B$23+0)/100+(Inputs!$B$23+0)/100)/2</f>
        <v/>
      </c>
      <c r="M691">
        <f>L691*(1+(Inputs!$B$10+((C703=TRUE)*(F703-Calc!F25))+B713)/100)</f>
        <v/>
      </c>
      <c r="N691">
        <f>L691*(1-MIN((Inputs!$B$9+((C697=TRUE)*(F697-Calc!F19))+B708),100)/100)+M691*(MIN((Inputs!$B$9+((C697=TRUE)*(F697-Calc!F19))+B708),100)/100)</f>
        <v/>
      </c>
      <c r="O691">
        <f>(1-Summary!$B$55)*T691+Summary!$B$55*V691</f>
        <v/>
      </c>
      <c r="P691">
        <f>IF(B718=0,0,O691/B718)</f>
        <v/>
      </c>
      <c r="Q691">
        <f>IFERROR(1/IF(Inputs!$B$38="pvp",15,MAX(0.1,Skills!D13-IF(Skills!E13=TRUE,Inputs!$B$32,0))),0)</f>
        <v/>
      </c>
      <c r="R691">
        <f>IF(AND(Inputs!$B$38&lt;&gt;"pvp",Inputs!$B$43&gt;0),IF(MAX(0,Inputs!$B$43-B715)&lt;=0,0,(INT(MAX(0,Inputs!$B$43-B715)/IF(Inputs!$B$38="pvp",15,MAX(0.1,Skills!D13-IF(Skills!E13=TRUE,Inputs!$B$32,0))))+1)),0)</f>
        <v/>
      </c>
      <c r="S691">
        <f>IFERROR(O691/N691,0)</f>
        <v/>
      </c>
      <c r="T691">
        <f>IF(C691,(H691*N691*IF(AND(Inputs!$B$38&lt;&gt;"pvp",Inputs!$B$43&gt;0),((Skills!G13*((R691-1)*IF(Skills!H13&gt;0,Skills!I13/Skills!H13,1)+IF(Skills!H13&gt;0,MIN(Skills!I13,MAX(0,MAX(0,Inputs!$B$43-B715)-((R691-1)*IF(Inputs!$B$38="pvp",15,MAX(0.1,Skills!D13-IF(Skills!E13=TRUE,Inputs!$B$32,0))))))/Skills!H13,1)))/Inputs!$B$43),G691*Q691))*IF(Inputs!$B$38="pvp",1,1+(Inputs!$B$20+0+Skills!P13)/100),0)</f>
        <v/>
      </c>
      <c r="V691">
        <f>IF(C691,(H691*N691*IF(AND(Inputs!$B$38&lt;&gt;"pvp",Inputs!$B$43&gt;0),((Skills!G13*((R691-1)*IF(Skills!H13&gt;0,Skills!I13/Skills!H13,1)+IF(Skills!H13&gt;0,MIN(Skills!I13,MAX(0,MAX(0,Inputs!$B$43-B715)-((R691-1)*IF(Inputs!$B$38="pvp",15,MAX(0.1,Skills!D13-IF(Skills!E13=TRUE,Inputs!$B$32,0))))))/Skills!H13,1)))/Inputs!$B$43),G691*Q691))*IF(Inputs!$B$38="pvp",1,(1+(Inputs!$B$21+Skills!Q13)/100)*(MIN(Skills!R13,Inputs!$B$37))),0)</f>
        <v/>
      </c>
    </row>
    <row r="692">
      <c r="A692">
        <f>Skills!A14</f>
        <v/>
      </c>
      <c r="B692">
        <f>Skills!B14</f>
        <v/>
      </c>
      <c r="C692">
        <f>Inputs!$B$3&gt;=125</f>
        <v/>
      </c>
      <c r="D692">
        <f>IF(Skills!C14=1,60+Inputs!$B$25+Inputs!$B$29,IF(Skills!C14=2,90+Inputs!$B$26+Inputs!$B$29,IF(Skills!C14=3,120+Inputs!$B$27+Inputs!$B$29,MAX(0,(Inputs!$B$3-100)*3)+Inputs!$B$28+Inputs!$B$29)))</f>
        <v/>
      </c>
      <c r="E692">
        <f>INDEX(FactorTable!$B$2:$Y$301, MATCH(ROUND(MIN(300,MAX(1,D692)),0), FactorTable!$A$2:$A$301,0), Skills!M14+1)</f>
        <v/>
      </c>
      <c r="F692">
        <f>IF(Skills!N14=TRUE,(Skills!L14/10)*(E692/1000),Skills!L14/10)+Skills!O14</f>
        <v/>
      </c>
      <c r="G692">
        <f>Skills!G14*IF(Skills!H14&gt;0,Skills!I14/Skills!H14,1)</f>
        <v/>
      </c>
      <c r="H692">
        <f>1-(1-Skills!J14/100)^Skills!K14</f>
        <v/>
      </c>
      <c r="I692" t="inlineStr">
        <is>
          <t>1</t>
        </is>
      </c>
      <c r="J692">
        <f>((Inputs!$B$6*(1+Inputs!$B$7/100))+(((Inputs!$B$12*(1+Inputs!$B$13/100))-(Inputs!$B$12*(1+Inputs!$B$13/100)))+0.25*(Inputs!$B$14-Inputs!$B$14))*(1+Inputs!$B$7/100))*(F692/100)</f>
        <v/>
      </c>
      <c r="K692">
        <f>J692*(1+((Inputs!$B$12*(1+Inputs!$B$13/100))*0.01+Inputs!$B$14*0.0025)/100)*(1+Inputs!$B$15/100)*(1+Inputs!$B$16/100)*(5000/(6000+Inputs!$B$42*(1-(Inputs!$B$19+0)/100)))*(1+(Inputs!$B$24+((C704=TRUE)*(F704-Calc!F26))+B714)/100)*(1+(IF(Skills!A14="EIGHT_LEGS_EASTON",Inputs!$B$17+((C701=TRUE)*(F701-Calc!F23))+((C705=TRUE)*(F705-Calc!F27)),(Inputs!$B$18+1)+0))/100)*((1+(((C695=TRUE)*F695)+((C702=TRUE)*(F702-Calc!F24)))/100)*I692)</f>
        <v/>
      </c>
      <c r="L692">
        <f>K692*(MIN(Inputs!$B$22+((C700=TRUE)*(F700-Calc!F22)),Inputs!$B$23+0)/100+(Inputs!$B$23+0)/100)/2</f>
        <v/>
      </c>
      <c r="M692">
        <f>L692*(1+(Inputs!$B$10+((C703=TRUE)*(F703-Calc!F25))+B713)/100)</f>
        <v/>
      </c>
      <c r="N692">
        <f>L692*(1-MIN((Inputs!$B$9+((C697=TRUE)*(F697-Calc!F19))+B708),100)/100)+M692*(MIN((Inputs!$B$9+((C697=TRUE)*(F697-Calc!F19))+B708),100)/100)</f>
        <v/>
      </c>
      <c r="O692">
        <f>(1-Summary!$B$55)*T692+Summary!$B$55*V692</f>
        <v/>
      </c>
      <c r="P692">
        <f>IF(B718=0,0,O692/B718)</f>
        <v/>
      </c>
      <c r="Q692" t="n">
        <v>0</v>
      </c>
      <c r="R692" t="n">
        <v>0</v>
      </c>
      <c r="S692">
        <f>IFERROR(O692/N692,0)</f>
        <v/>
      </c>
      <c r="T692">
        <f>IF(C692,(H692*N692*(B712+IF(AND(Inputs!$B$38&lt;&gt;"pvp",Inputs!$B$43&gt;0),((Skills!G8*((R686-1)*IF(Skills!H8&gt;0,Skills!I8/Skills!H8,1)+IF(Skills!H8&gt;0,MIN(Skills!I8,MAX(0,MAX(0,Inputs!$B$43-B715)-((R686-1)*IF(Inputs!$B$38="pvp",15,MAX(0.1,Skills!D8-IF(Skills!E8=TRUE,Inputs!$B$32,0))))))/Skills!H8,1)))/Inputs!$B$43),G686*Q686)+IF(AND(Inputs!$B$38&lt;&gt;"pvp",Inputs!$B$43&gt;0),((Skills!G11*((R689-1)*IF(Skills!H11&gt;0,Skills!I11/Skills!H11,1)+IF(Skills!H11&gt;0,MIN(Skills!I11,MAX(0,MAX(0,Inputs!$B$43-B715)-((R689-1)*IF(Inputs!$B$38="pvp",15,MAX(0.1,Skills!D11-IF(Skills!E11=TRUE,Inputs!$B$32,0))))))/Skills!H11,1)))/Inputs!$B$43),G689*Q689)))*IF(Inputs!$B$38="pvp",1,1+(Inputs!$B$20+0+Skills!P14)/100),0)</f>
        <v/>
      </c>
      <c r="V692">
        <f>IF(C692,(H692*N692*(B712+IF(AND(Inputs!$B$38&lt;&gt;"pvp",Inputs!$B$43&gt;0),((Skills!G8*((R686-1)*IF(Skills!H8&gt;0,Skills!I8/Skills!H8,1)+IF(Skills!H8&gt;0,MIN(Skills!I8,MAX(0,MAX(0,Inputs!$B$43-B715)-((R686-1)*IF(Inputs!$B$38="pvp",15,MAX(0.1,Skills!D8-IF(Skills!E8=TRUE,Inputs!$B$32,0))))))/Skills!H8,1)))/Inputs!$B$43),G686*Q686)+IF(AND(Inputs!$B$38&lt;&gt;"pvp",Inputs!$B$43&gt;0),((Skills!G11*((R689-1)*IF(Skills!H11&gt;0,Skills!I11/Skills!H11,1)+IF(Skills!H11&gt;0,MIN(Skills!I11,MAX(0,MAX(0,Inputs!$B$43-B715)-((R689-1)*IF(Inputs!$B$38="pvp",15,MAX(0.1,Skills!D11-IF(Skills!E11=TRUE,Inputs!$B$32,0))))))/Skills!H11,1)))/Inputs!$B$43),G689*Q689)))*IF(Inputs!$B$38="pvp",1,(1+(Inputs!$B$21+Skills!Q14)/100)*(MIN(Skills!R14,Inputs!$B$37))),0)</f>
        <v/>
      </c>
    </row>
    <row r="693">
      <c r="A693">
        <f>Skills!A15</f>
        <v/>
      </c>
      <c r="B693">
        <f>Skills!B15</f>
        <v/>
      </c>
      <c r="C693">
        <f>Inputs!$B$3&gt;=100</f>
        <v/>
      </c>
      <c r="D693">
        <f>IF(Skills!C15=1,60+Inputs!$B$25+Inputs!$B$29,IF(Skills!C15=2,90+Inputs!$B$26+Inputs!$B$29,IF(Skills!C15=3,120+Inputs!$B$27+Inputs!$B$29,MAX(0,(Inputs!$B$3-100)*3)+Inputs!$B$28+Inputs!$B$29)))</f>
        <v/>
      </c>
      <c r="E693">
        <f>INDEX(FactorTable!$B$2:$Y$301, MATCH(ROUND(MIN(300,MAX(1,D693)),0), FactorTable!$A$2:$A$301,0), Skills!M15+1)</f>
        <v/>
      </c>
      <c r="F693">
        <f>IF(Skills!N15=TRUE,(Skills!L15/10)*(E693/1000),Skills!L15/10)+Skills!O15</f>
        <v/>
      </c>
      <c r="G693" t="inlineStr"/>
      <c r="H693" t="inlineStr"/>
      <c r="I693" t="inlineStr">
        <is>
          <t>1</t>
        </is>
      </c>
      <c r="J693" t="inlineStr"/>
      <c r="K693" t="inlineStr"/>
      <c r="L693" t="inlineStr"/>
      <c r="M693" t="inlineStr"/>
      <c r="N693" t="inlineStr"/>
      <c r="O693" t="inlineStr"/>
      <c r="P693" t="inlineStr"/>
      <c r="Q693" t="inlineStr"/>
      <c r="R693" t="inlineStr"/>
      <c r="S693" t="inlineStr"/>
    </row>
    <row r="694">
      <c r="A694">
        <f>Skills!A16</f>
        <v/>
      </c>
      <c r="B694">
        <f>Skills!B16</f>
        <v/>
      </c>
      <c r="C694">
        <f>Inputs!$B$3&gt;=120</f>
        <v/>
      </c>
      <c r="D694">
        <f>IF(Skills!C16=1,60+Inputs!$B$25+Inputs!$B$29,IF(Skills!C16=2,90+Inputs!$B$26+Inputs!$B$29,IF(Skills!C16=3,120+Inputs!$B$27+Inputs!$B$29,MAX(0,(Inputs!$B$3-100)*3)+Inputs!$B$28+Inputs!$B$29)))</f>
        <v/>
      </c>
      <c r="E694">
        <f>INDEX(FactorTable!$B$2:$Y$301, MATCH(ROUND(MIN(300,MAX(1,D694)),0), FactorTable!$A$2:$A$301,0), Skills!M16+1)</f>
        <v/>
      </c>
      <c r="F694">
        <f>IF(Skills!N16=TRUE,(Skills!L16/10)*(E694/1000),Skills!L16/10)+Skills!O16</f>
        <v/>
      </c>
      <c r="G694" t="inlineStr"/>
      <c r="H694" t="inlineStr"/>
      <c r="I694" t="inlineStr">
        <is>
          <t>1</t>
        </is>
      </c>
      <c r="J694" t="inlineStr"/>
      <c r="K694" t="inlineStr"/>
      <c r="L694" t="inlineStr"/>
      <c r="M694" t="inlineStr"/>
      <c r="N694" t="inlineStr"/>
      <c r="O694" t="inlineStr"/>
      <c r="P694" t="inlineStr"/>
      <c r="Q694" t="inlineStr"/>
      <c r="R694" t="inlineStr"/>
      <c r="S694" t="inlineStr"/>
    </row>
    <row r="695">
      <c r="A695">
        <f>Skills!A17</f>
        <v/>
      </c>
      <c r="B695">
        <f>Skills!B17</f>
        <v/>
      </c>
      <c r="C695">
        <f>Inputs!$B$3&gt;=66</f>
        <v/>
      </c>
      <c r="D695">
        <f>IF(Skills!C17=1,60+Inputs!$B$25+Inputs!$B$29,IF(Skills!C17=2,90+Inputs!$B$26+Inputs!$B$29,IF(Skills!C17=3,120+Inputs!$B$27+Inputs!$B$29,MAX(0,(Inputs!$B$3-100)*3)+Inputs!$B$28+Inputs!$B$29)))</f>
        <v/>
      </c>
      <c r="E695">
        <f>INDEX(FactorTable!$B$2:$Y$301, MATCH(ROUND(MIN(300,MAX(1,D695)),0), FactorTable!$A$2:$A$301,0), Skills!M17+1)</f>
        <v/>
      </c>
      <c r="F695">
        <f>IF(Skills!N17=TRUE,(Skills!L17/10)*(E695/1000),Skills!L17/10)+Skills!O17</f>
        <v/>
      </c>
      <c r="G695">
        <f>Skills!G17*IF(Skills!H17&gt;0,Skills!I17/Skills!H17,1)</f>
        <v/>
      </c>
      <c r="H695">
        <f>1-(1-Skills!J17/100)^Skills!K17</f>
        <v/>
      </c>
      <c r="I695" t="inlineStr">
        <is>
          <t>1</t>
        </is>
      </c>
      <c r="J695" t="inlineStr"/>
      <c r="K695" t="inlineStr"/>
      <c r="L695" t="inlineStr"/>
      <c r="M695" t="inlineStr"/>
      <c r="N695" t="inlineStr"/>
      <c r="O695">
        <f>(1-Summary!$B$55)*T695+Summary!$B$55*V695</f>
        <v/>
      </c>
      <c r="P695">
        <f>IF(B718=0,0,O695/B718)</f>
        <v/>
      </c>
      <c r="Q695" t="n">
        <v>0</v>
      </c>
      <c r="R695" t="n">
        <v>0</v>
      </c>
      <c r="S695">
        <f>IFERROR(O695/N695,0)</f>
        <v/>
      </c>
      <c r="T695" t="n">
        <v>0</v>
      </c>
      <c r="V695" t="n">
        <v>0</v>
      </c>
    </row>
    <row r="696">
      <c r="A696">
        <f>Skills!A18</f>
        <v/>
      </c>
      <c r="B696">
        <f>Skills!B18</f>
        <v/>
      </c>
      <c r="C696">
        <f>Inputs!$B$3&gt;=115</f>
        <v/>
      </c>
      <c r="D696">
        <f>IF(Skills!C18=1,60+Inputs!$B$25+Inputs!$B$29,IF(Skills!C18=2,90+Inputs!$B$26+Inputs!$B$29,IF(Skills!C18=3,120+Inputs!$B$27+Inputs!$B$29,MAX(0,(Inputs!$B$3-100)*3)+Inputs!$B$28+Inputs!$B$29)))</f>
        <v/>
      </c>
      <c r="E696">
        <f>INDEX(FactorTable!$B$2:$Y$301, MATCH(ROUND(MIN(300,MAX(1,D696)),0), FactorTable!$A$2:$A$301,0), Skills!M18+1)</f>
        <v/>
      </c>
      <c r="F696">
        <f>IF(Skills!N18=TRUE,(Skills!L18/10)*(E696/1000),Skills!L18/10)+Skills!O18</f>
        <v/>
      </c>
      <c r="G696">
        <f>Skills!G18*IF(Skills!H18&gt;0,Skills!I18/Skills!H18,1)</f>
        <v/>
      </c>
      <c r="H696">
        <f>1-(1-Skills!J18/100)^Skills!K18</f>
        <v/>
      </c>
      <c r="I696" t="inlineStr">
        <is>
          <t>1</t>
        </is>
      </c>
      <c r="J696" t="inlineStr"/>
      <c r="K696" t="inlineStr"/>
      <c r="L696" t="inlineStr"/>
      <c r="M696" t="inlineStr"/>
      <c r="N696" t="inlineStr"/>
      <c r="O696">
        <f>(1-Summary!$B$55)*T696+Summary!$B$55*V696</f>
        <v/>
      </c>
      <c r="P696">
        <f>IF(B718=0,0,O696/B718)</f>
        <v/>
      </c>
      <c r="Q696" t="n">
        <v>0</v>
      </c>
      <c r="R696" t="n">
        <v>0</v>
      </c>
      <c r="S696">
        <f>IFERROR(O696/N696,0)</f>
        <v/>
      </c>
      <c r="T696" t="n">
        <v>0</v>
      </c>
      <c r="V696" t="n">
        <v>0</v>
      </c>
    </row>
    <row r="697">
      <c r="A697">
        <f>Skills!A19</f>
        <v/>
      </c>
      <c r="B697">
        <f>Skills!B19</f>
        <v/>
      </c>
      <c r="C697">
        <f>Inputs!$B$3&gt;=15</f>
        <v/>
      </c>
      <c r="D697">
        <f>IF(Skills!C19=1,60+Inputs!$B$25+Inputs!$B$29,IF(Skills!C19=2,90+Inputs!$B$26+Inputs!$B$29,IF(Skills!C19=3,120+Inputs!$B$27+Inputs!$B$29,MAX(0,(Inputs!$B$3-100)*3)+Inputs!$B$28+Inputs!$B$29)))</f>
        <v/>
      </c>
      <c r="E697">
        <f>INDEX(FactorTable!$B$2:$Y$301, MATCH(ROUND(MIN(300,MAX(1,D697)),0), FactorTable!$A$2:$A$301,0), Skills!M19+1)</f>
        <v/>
      </c>
      <c r="F697">
        <f>IF(Skills!N19=TRUE,(Skills!L19/10)*(E697/1000),Skills!L19/10)+Skills!O19</f>
        <v/>
      </c>
      <c r="G697">
        <f>Skills!G19*IF(Skills!H19&gt;0,Skills!I19/Skills!H19,1)</f>
        <v/>
      </c>
      <c r="H697">
        <f>1-(1-Skills!J19/100)^Skills!K19</f>
        <v/>
      </c>
      <c r="I697" t="inlineStr">
        <is>
          <t>1</t>
        </is>
      </c>
      <c r="J697" t="inlineStr"/>
      <c r="K697" t="inlineStr"/>
      <c r="L697" t="inlineStr"/>
      <c r="M697" t="inlineStr"/>
      <c r="N697" t="inlineStr"/>
      <c r="O697">
        <f>(1-Summary!$B$55)*T697+Summary!$B$55*V697</f>
        <v/>
      </c>
      <c r="P697">
        <f>IF(B718=0,0,O697/B718)</f>
        <v/>
      </c>
      <c r="Q697" t="n">
        <v>0</v>
      </c>
      <c r="R697" t="n">
        <v>0</v>
      </c>
      <c r="S697">
        <f>IFERROR(O697/N697,0)</f>
        <v/>
      </c>
      <c r="T697" t="n">
        <v>0</v>
      </c>
      <c r="V697" t="n">
        <v>0</v>
      </c>
    </row>
    <row r="698">
      <c r="A698">
        <f>Skills!A20</f>
        <v/>
      </c>
      <c r="B698">
        <f>Skills!B20</f>
        <v/>
      </c>
      <c r="C698">
        <f>Inputs!$B$3&gt;=10</f>
        <v/>
      </c>
      <c r="D698">
        <f>IF(Skills!C20=1,60+Inputs!$B$25+Inputs!$B$29,IF(Skills!C20=2,90+Inputs!$B$26+Inputs!$B$29,IF(Skills!C20=3,120+Inputs!$B$27+Inputs!$B$29,MAX(0,(Inputs!$B$3-100)*3)+Inputs!$B$28+Inputs!$B$29)))</f>
        <v/>
      </c>
      <c r="E698">
        <f>INDEX(FactorTable!$B$2:$Y$301, MATCH(ROUND(MIN(300,MAX(1,D698)),0), FactorTable!$A$2:$A$301,0), Skills!M20+1)</f>
        <v/>
      </c>
      <c r="F698">
        <f>IF(Skills!N20=TRUE,(Skills!L20/10)*(E698/1000),Skills!L20/10)+Skills!O20</f>
        <v/>
      </c>
      <c r="G698">
        <f>Skills!G20*IF(Skills!H20&gt;0,Skills!I20/Skills!H20,1)</f>
        <v/>
      </c>
      <c r="H698">
        <f>1-(1-Skills!J20/100)^Skills!K20</f>
        <v/>
      </c>
      <c r="I698" t="inlineStr">
        <is>
          <t>1</t>
        </is>
      </c>
      <c r="J698" t="inlineStr"/>
      <c r="K698" t="inlineStr"/>
      <c r="L698" t="inlineStr"/>
      <c r="M698" t="inlineStr"/>
      <c r="N698" t="inlineStr"/>
      <c r="O698">
        <f>(1-Summary!$B$55)*T698+Summary!$B$55*V698</f>
        <v/>
      </c>
      <c r="P698">
        <f>IF(B718=0,0,O698/B718)</f>
        <v/>
      </c>
      <c r="Q698" t="n">
        <v>0</v>
      </c>
      <c r="R698" t="n">
        <v>0</v>
      </c>
      <c r="S698">
        <f>IFERROR(O698/N698,0)</f>
        <v/>
      </c>
      <c r="T698" t="n">
        <v>0</v>
      </c>
      <c r="V698" t="n">
        <v>0</v>
      </c>
    </row>
    <row r="699">
      <c r="A699">
        <f>Skills!A21</f>
        <v/>
      </c>
      <c r="B699">
        <f>Skills!B21</f>
        <v/>
      </c>
      <c r="C699">
        <f>Inputs!$B$3&gt;=33</f>
        <v/>
      </c>
      <c r="D699">
        <f>IF(Skills!C21=1,60+Inputs!$B$25+Inputs!$B$29,IF(Skills!C21=2,90+Inputs!$B$26+Inputs!$B$29,IF(Skills!C21=3,120+Inputs!$B$27+Inputs!$B$29,MAX(0,(Inputs!$B$3-100)*3)+Inputs!$B$28+Inputs!$B$29)))</f>
        <v/>
      </c>
      <c r="E699">
        <f>INDEX(FactorTable!$B$2:$Y$301, MATCH(ROUND(MIN(300,MAX(1,D699)),0), FactorTable!$A$2:$A$301,0), Skills!M21+1)</f>
        <v/>
      </c>
      <c r="F699">
        <f>IF(Skills!N21=TRUE,(Skills!L21/10)*(E699/1000),Skills!L21/10)+Skills!O21</f>
        <v/>
      </c>
      <c r="G699">
        <f>Skills!G21*IF(Skills!H21&gt;0,Skills!I21/Skills!H21,1)</f>
        <v/>
      </c>
      <c r="H699">
        <f>1-(1-Skills!J21/100)^Skills!K21</f>
        <v/>
      </c>
      <c r="I699" t="inlineStr">
        <is>
          <t>1</t>
        </is>
      </c>
      <c r="J699" t="inlineStr"/>
      <c r="K699" t="inlineStr"/>
      <c r="L699" t="inlineStr"/>
      <c r="M699" t="inlineStr"/>
      <c r="N699" t="inlineStr"/>
      <c r="O699">
        <f>(1-Summary!$B$55)*T699+Summary!$B$55*V699</f>
        <v/>
      </c>
      <c r="P699">
        <f>IF(B718=0,0,O699/B718)</f>
        <v/>
      </c>
      <c r="Q699" t="n">
        <v>0</v>
      </c>
      <c r="R699" t="n">
        <v>0</v>
      </c>
      <c r="S699">
        <f>IFERROR(O699/N699,0)</f>
        <v/>
      </c>
      <c r="T699" t="n">
        <v>0</v>
      </c>
      <c r="V699" t="n">
        <v>0</v>
      </c>
    </row>
    <row r="700">
      <c r="A700">
        <f>Skills!A22</f>
        <v/>
      </c>
      <c r="B700">
        <f>Skills!B22</f>
        <v/>
      </c>
      <c r="C700">
        <f>Inputs!$B$3&gt;=43</f>
        <v/>
      </c>
      <c r="D700">
        <f>IF(Skills!C22=1,60+Inputs!$B$25+Inputs!$B$29,IF(Skills!C22=2,90+Inputs!$B$26+Inputs!$B$29,IF(Skills!C22=3,120+Inputs!$B$27+Inputs!$B$29,MAX(0,(Inputs!$B$3-100)*3)+Inputs!$B$28+Inputs!$B$29)))</f>
        <v/>
      </c>
      <c r="E700">
        <f>INDEX(FactorTable!$B$2:$Y$301, MATCH(ROUND(MIN(300,MAX(1,D700)),0), FactorTable!$A$2:$A$301,0), Skills!M22+1)</f>
        <v/>
      </c>
      <c r="F700">
        <f>IF(Skills!N22=TRUE,(Skills!L22/10)*(E700/1000),Skills!L22/10)+Skills!O22</f>
        <v/>
      </c>
      <c r="G700">
        <f>Skills!G22*IF(Skills!H22&gt;0,Skills!I22/Skills!H22,1)</f>
        <v/>
      </c>
      <c r="H700">
        <f>1-(1-Skills!J22/100)^Skills!K22</f>
        <v/>
      </c>
      <c r="I700" t="inlineStr">
        <is>
          <t>1</t>
        </is>
      </c>
      <c r="J700" t="inlineStr"/>
      <c r="K700" t="inlineStr"/>
      <c r="L700" t="inlineStr"/>
      <c r="M700" t="inlineStr"/>
      <c r="N700" t="inlineStr"/>
      <c r="O700">
        <f>(1-Summary!$B$55)*T700+Summary!$B$55*V700</f>
        <v/>
      </c>
      <c r="P700">
        <f>IF(B718=0,0,O700/B718)</f>
        <v/>
      </c>
      <c r="Q700" t="n">
        <v>0</v>
      </c>
      <c r="R700" t="n">
        <v>0</v>
      </c>
      <c r="S700">
        <f>IFERROR(O700/N700,0)</f>
        <v/>
      </c>
      <c r="T700" t="n">
        <v>0</v>
      </c>
      <c r="V700" t="n">
        <v>0</v>
      </c>
    </row>
    <row r="701">
      <c r="A701">
        <f>Skills!A23</f>
        <v/>
      </c>
      <c r="B701">
        <f>Skills!B23</f>
        <v/>
      </c>
      <c r="C701">
        <f>Inputs!$B$3&gt;=38</f>
        <v/>
      </c>
      <c r="D701">
        <f>IF(Skills!C23=1,60+Inputs!$B$25+Inputs!$B$29,IF(Skills!C23=2,90+Inputs!$B$26+Inputs!$B$29,IF(Skills!C23=3,120+Inputs!$B$27+Inputs!$B$29,MAX(0,(Inputs!$B$3-100)*3)+Inputs!$B$28+Inputs!$B$29)))</f>
        <v/>
      </c>
      <c r="E701">
        <f>INDEX(FactorTable!$B$2:$Y$301, MATCH(ROUND(MIN(300,MAX(1,D701)),0), FactorTable!$A$2:$A$301,0), Skills!M23+1)</f>
        <v/>
      </c>
      <c r="F701">
        <f>IF(Skills!N23=TRUE,(Skills!L23/10)*(E701/1000),Skills!L23/10)+Skills!O23</f>
        <v/>
      </c>
      <c r="G701">
        <f>Skills!G23*IF(Skills!H23&gt;0,Skills!I23/Skills!H23,1)</f>
        <v/>
      </c>
      <c r="H701">
        <f>1-(1-Skills!J23/100)^Skills!K23</f>
        <v/>
      </c>
      <c r="I701" t="inlineStr">
        <is>
          <t>1</t>
        </is>
      </c>
      <c r="J701" t="inlineStr"/>
      <c r="K701" t="inlineStr"/>
      <c r="L701" t="inlineStr"/>
      <c r="M701" t="inlineStr"/>
      <c r="N701" t="inlineStr"/>
      <c r="O701">
        <f>(1-Summary!$B$55)*T701+Summary!$B$55*V701</f>
        <v/>
      </c>
      <c r="P701">
        <f>IF(B718=0,0,O701/B718)</f>
        <v/>
      </c>
      <c r="Q701" t="n">
        <v>0</v>
      </c>
      <c r="R701" t="n">
        <v>0</v>
      </c>
      <c r="S701">
        <f>IFERROR(O701/N701,0)</f>
        <v/>
      </c>
      <c r="T701" t="n">
        <v>0</v>
      </c>
      <c r="V701" t="n">
        <v>0</v>
      </c>
    </row>
    <row r="702">
      <c r="A702">
        <f>Skills!A24</f>
        <v/>
      </c>
      <c r="B702">
        <f>Skills!B24</f>
        <v/>
      </c>
      <c r="C702">
        <f>Inputs!$B$3&gt;=40</f>
        <v/>
      </c>
      <c r="D702">
        <f>IF(Skills!C24=1,60+Inputs!$B$25+Inputs!$B$29,IF(Skills!C24=2,90+Inputs!$B$26+Inputs!$B$29,IF(Skills!C24=3,120+Inputs!$B$27+Inputs!$B$29,MAX(0,(Inputs!$B$3-100)*3)+Inputs!$B$28+Inputs!$B$29)))</f>
        <v/>
      </c>
      <c r="E702">
        <f>INDEX(FactorTable!$B$2:$Y$301, MATCH(ROUND(MIN(300,MAX(1,D702)),0), FactorTable!$A$2:$A$301,0), Skills!M24+1)</f>
        <v/>
      </c>
      <c r="F702">
        <f>IF(Skills!N24=TRUE,(Skills!L24/10)*(E702/1000),Skills!L24/10)+Skills!O24</f>
        <v/>
      </c>
      <c r="G702">
        <f>Skills!G24*IF(Skills!H24&gt;0,Skills!I24/Skills!H24,1)</f>
        <v/>
      </c>
      <c r="H702">
        <f>1-(1-Skills!J24/100)^Skills!K24</f>
        <v/>
      </c>
      <c r="I702" t="inlineStr">
        <is>
          <t>1</t>
        </is>
      </c>
      <c r="J702" t="inlineStr"/>
      <c r="K702" t="inlineStr"/>
      <c r="L702" t="inlineStr"/>
      <c r="M702" t="inlineStr"/>
      <c r="N702" t="inlineStr"/>
      <c r="O702">
        <f>(1-Summary!$B$55)*T702+Summary!$B$55*V702</f>
        <v/>
      </c>
      <c r="P702">
        <f>IF(B718=0,0,O702/B718)</f>
        <v/>
      </c>
      <c r="Q702" t="n">
        <v>0</v>
      </c>
      <c r="R702" t="n">
        <v>0</v>
      </c>
      <c r="S702">
        <f>IFERROR(O702/N702,0)</f>
        <v/>
      </c>
      <c r="T702" t="n">
        <v>0</v>
      </c>
      <c r="V702" t="n">
        <v>0</v>
      </c>
    </row>
    <row r="703">
      <c r="A703">
        <f>Skills!A25</f>
        <v/>
      </c>
      <c r="B703">
        <f>Skills!B25</f>
        <v/>
      </c>
      <c r="C703">
        <f>Inputs!$B$3&gt;=72</f>
        <v/>
      </c>
      <c r="D703">
        <f>IF(Skills!C25=1,60+Inputs!$B$25+Inputs!$B$29,IF(Skills!C25=2,90+Inputs!$B$26+Inputs!$B$29,IF(Skills!C25=3,120+Inputs!$B$27+Inputs!$B$29,MAX(0,(Inputs!$B$3-100)*3)+Inputs!$B$28+Inputs!$B$29)))</f>
        <v/>
      </c>
      <c r="E703">
        <f>INDEX(FactorTable!$B$2:$Y$301, MATCH(ROUND(MIN(300,MAX(1,D703)),0), FactorTable!$A$2:$A$301,0), Skills!M25+1)</f>
        <v/>
      </c>
      <c r="F703">
        <f>IF(Skills!N25=TRUE,(Skills!L25/10)*(E703/1000),Skills!L25/10)+Skills!O25</f>
        <v/>
      </c>
      <c r="G703">
        <f>Skills!G25*IF(Skills!H25&gt;0,Skills!I25/Skills!H25,1)</f>
        <v/>
      </c>
      <c r="H703">
        <f>1-(1-Skills!J25/100)^Skills!K25</f>
        <v/>
      </c>
      <c r="I703" t="inlineStr">
        <is>
          <t>1</t>
        </is>
      </c>
      <c r="J703" t="inlineStr"/>
      <c r="K703" t="inlineStr"/>
      <c r="L703" t="inlineStr"/>
      <c r="M703" t="inlineStr"/>
      <c r="N703" t="inlineStr"/>
      <c r="O703">
        <f>(1-Summary!$B$55)*T703+Summary!$B$55*V703</f>
        <v/>
      </c>
      <c r="P703">
        <f>IF(B718=0,0,O703/B718)</f>
        <v/>
      </c>
      <c r="Q703" t="n">
        <v>0</v>
      </c>
      <c r="R703" t="n">
        <v>0</v>
      </c>
      <c r="S703">
        <f>IFERROR(O703/N703,0)</f>
        <v/>
      </c>
      <c r="T703" t="n">
        <v>0</v>
      </c>
      <c r="V703" t="n">
        <v>0</v>
      </c>
    </row>
    <row r="704">
      <c r="A704">
        <f>Skills!A26</f>
        <v/>
      </c>
      <c r="B704">
        <f>Skills!B26</f>
        <v/>
      </c>
      <c r="C704">
        <f>Inputs!$B$3&gt;=75</f>
        <v/>
      </c>
      <c r="D704">
        <f>IF(Skills!C26=1,60+Inputs!$B$25+Inputs!$B$29,IF(Skills!C26=2,90+Inputs!$B$26+Inputs!$B$29,IF(Skills!C26=3,120+Inputs!$B$27+Inputs!$B$29,MAX(0,(Inputs!$B$3-100)*3)+Inputs!$B$28+Inputs!$B$29)))</f>
        <v/>
      </c>
      <c r="E704">
        <f>INDEX(FactorTable!$B$2:$Y$301, MATCH(ROUND(MIN(300,MAX(1,D704)),0), FactorTable!$A$2:$A$301,0), Skills!M26+1)</f>
        <v/>
      </c>
      <c r="F704">
        <f>IF(Skills!N26=TRUE,(Skills!L26/10)*(E704/1000),Skills!L26/10)+Skills!O26</f>
        <v/>
      </c>
      <c r="G704">
        <f>Skills!G26*IF(Skills!H26&gt;0,Skills!I26/Skills!H26,1)</f>
        <v/>
      </c>
      <c r="H704">
        <f>1-(1-Skills!J26/100)^Skills!K26</f>
        <v/>
      </c>
      <c r="I704" t="inlineStr">
        <is>
          <t>1</t>
        </is>
      </c>
      <c r="J704" t="inlineStr"/>
      <c r="K704" t="inlineStr"/>
      <c r="L704" t="inlineStr"/>
      <c r="M704" t="inlineStr"/>
      <c r="N704" t="inlineStr"/>
      <c r="O704">
        <f>(1-Summary!$B$55)*T704+Summary!$B$55*V704</f>
        <v/>
      </c>
      <c r="P704">
        <f>IF(B718=0,0,O704/B718)</f>
        <v/>
      </c>
      <c r="Q704" t="n">
        <v>0</v>
      </c>
      <c r="R704" t="n">
        <v>0</v>
      </c>
      <c r="S704">
        <f>IFERROR(O704/N704,0)</f>
        <v/>
      </c>
      <c r="T704" t="n">
        <v>0</v>
      </c>
      <c r="V704" t="n">
        <v>0</v>
      </c>
    </row>
    <row r="705">
      <c r="A705">
        <f>Skills!A27</f>
        <v/>
      </c>
      <c r="B705">
        <f>Skills!B27</f>
        <v/>
      </c>
      <c r="C705">
        <f>Inputs!$B$3&gt;=117</f>
        <v/>
      </c>
      <c r="D705">
        <f>IF(Skills!C27=1,60+Inputs!$B$25+Inputs!$B$29,IF(Skills!C27=2,90+Inputs!$B$26+Inputs!$B$29,IF(Skills!C27=3,120+Inputs!$B$27+Inputs!$B$29,MAX(0,(Inputs!$B$3-100)*3)+Inputs!$B$28+Inputs!$B$29)))</f>
        <v/>
      </c>
      <c r="E705">
        <f>INDEX(FactorTable!$B$2:$Y$301, MATCH(ROUND(MIN(300,MAX(1,D705)),0), FactorTable!$A$2:$A$301,0), Skills!M27+1)</f>
        <v/>
      </c>
      <c r="F705">
        <f>IF(Skills!N27=TRUE,(Skills!L27/10)*(E705/1000),Skills!L27/10)+Skills!O27</f>
        <v/>
      </c>
      <c r="G705">
        <f>Skills!G27*IF(Skills!H27&gt;0,Skills!I27/Skills!H27,1)</f>
        <v/>
      </c>
      <c r="H705">
        <f>1-(1-Skills!J27/100)^Skills!K27</f>
        <v/>
      </c>
      <c r="I705" t="inlineStr">
        <is>
          <t>1</t>
        </is>
      </c>
      <c r="J705" t="inlineStr"/>
      <c r="K705" t="inlineStr"/>
      <c r="L705" t="inlineStr"/>
      <c r="M705" t="inlineStr"/>
      <c r="N705" t="inlineStr"/>
      <c r="O705">
        <f>(1-Summary!$B$55)*T705+Summary!$B$55*V705</f>
        <v/>
      </c>
      <c r="P705">
        <f>IF(B718=0,0,O705/B718)</f>
        <v/>
      </c>
      <c r="Q705" t="n">
        <v>0</v>
      </c>
      <c r="R705" t="n">
        <v>0</v>
      </c>
      <c r="S705">
        <f>IFERROR(O705/N705,0)</f>
        <v/>
      </c>
      <c r="T705" t="n">
        <v>0</v>
      </c>
      <c r="V705" t="n">
        <v>0</v>
      </c>
    </row>
    <row r="707">
      <c r="A707" t="inlineStr">
        <is>
          <t>Attack% Bucket Multiplier</t>
        </is>
      </c>
      <c r="B707">
        <f>(1+(((C695=TRUE)*F695)+((C702=TRUE)*(F702-Calc!F24)))/100)</f>
        <v/>
      </c>
    </row>
    <row r="708">
      <c r="A708" t="inlineStr">
        <is>
          <t>Global Crit Rate Bonus %</t>
        </is>
      </c>
      <c r="B708" t="n">
        <v>0</v>
      </c>
    </row>
    <row r="709">
      <c r="A709" t="inlineStr">
        <is>
          <t>Attack Speed Buff Bonus % (unused)</t>
        </is>
      </c>
      <c r="B709" t="n">
        <v>0</v>
      </c>
    </row>
    <row r="710">
      <c r="A710" t="inlineStr">
        <is>
          <t>Actions Per Second</t>
        </is>
      </c>
      <c r="B710">
        <f>1+MIN(150,150*(1-(1-(Inputs!$B$11+((C698=TRUE)*(F698-Calc!F20))+((C699=TRUE)*(F699-Calc!F21)))/150)*(1-B709/150)))/100</f>
        <v/>
      </c>
    </row>
    <row r="711">
      <c r="A711" t="inlineStr">
        <is>
          <t>Skill + Buff Cast Rate</t>
        </is>
      </c>
      <c r="B711">
        <f>IF(AND(Inputs!$B$38&lt;&gt;"pvp",Inputs!$B$43&gt;0),SUMPRODUCT((Skills!E2:E27=TRUE)*(C680:C705=TRUE)*R680:R705*Skills!F2:F27)/Inputs!$B$43,SUMPRODUCT((Skills!E2:E27=TRUE)*(C680:C705=TRUE)*Q680:Q705*Skills!F2:F27))</f>
        <v/>
      </c>
    </row>
    <row r="712">
      <c r="A712" t="inlineStr">
        <is>
          <t>Eight-Legs Easton Casts Per Second</t>
        </is>
      </c>
      <c r="B712">
        <f>MAX(0,B710-B711)</f>
        <v/>
      </c>
    </row>
    <row r="713">
      <c r="A713" t="inlineStr">
        <is>
          <t>Global Critical Damage Bonus % (unused)</t>
        </is>
      </c>
      <c r="B713" t="n">
        <v>0</v>
      </c>
    </row>
    <row r="714">
      <c r="A714" t="inlineStr">
        <is>
          <t>Global Final Damage Bonus % (Jolly Roger only)</t>
        </is>
      </c>
      <c r="B714">
        <f>((C696=TRUE)*F696)</f>
        <v/>
      </c>
    </row>
    <row r="715">
      <c r="A715" t="inlineStr">
        <is>
          <t>Buff-Casting Startup Delay (s, fixed-duration only)</t>
        </is>
      </c>
      <c r="B715">
        <f>IF(AND(Inputs!$B$38&lt;&gt;"pvp",Inputs!$B$43&gt;0),SUMPRODUCT((Skills!T2:T27&gt;0)*(Skills!E2:E27=TRUE)*(C680:C705=TRUE))/B710,0)</f>
        <v/>
      </c>
    </row>
    <row r="716">
      <c r="A716" t="inlineStr">
        <is>
          <t>Boss-Only Total DPS (this block's swept value)</t>
        </is>
      </c>
      <c r="B716">
        <f>SUM(T680:T705)</f>
        <v/>
      </c>
    </row>
    <row r="717">
      <c r="A717" t="inlineStr">
        <is>
          <t>Normal-Only Total DPS (this block's swept value)</t>
        </is>
      </c>
      <c r="B717">
        <f>SUM(V680:V705)</f>
        <v/>
      </c>
    </row>
    <row r="718">
      <c r="A718" s="5" t="inlineStr">
        <is>
          <t>TOTAL DPS</t>
        </is>
      </c>
      <c r="B718" s="5">
        <f>SUM(O680:O705)</f>
        <v/>
      </c>
    </row>
    <row r="721">
      <c r="A721" s="5" t="inlineStr">
        <is>
          <t>Stat: Skill Level Bonus — 1st Job</t>
        </is>
      </c>
    </row>
    <row r="722">
      <c r="A722" s="9" t="inlineStr">
        <is>
          <t>Key</t>
        </is>
      </c>
      <c r="B722" s="9" t="inlineStr">
        <is>
          <t>Name</t>
        </is>
      </c>
      <c r="C722" s="9" t="inlineStr">
        <is>
          <t>Unlocked</t>
        </is>
      </c>
      <c r="D722" s="9" t="inlineStr">
        <is>
          <t>InputLevel</t>
        </is>
      </c>
      <c r="E722" s="9" t="inlineStr">
        <is>
          <t>Factor</t>
        </is>
      </c>
      <c r="F722" s="9" t="inlineStr">
        <is>
          <t>CoefficientPercent</t>
        </is>
      </c>
      <c r="G722" s="9" t="inlineStr">
        <is>
          <t>EffectiveHits</t>
        </is>
      </c>
      <c r="H722" s="9" t="inlineStr">
        <is>
          <t>ProcProbability</t>
        </is>
      </c>
      <c r="I722" s="9" t="inlineStr">
        <is>
          <t>MapleHeroMultiplier</t>
        </is>
      </c>
      <c r="J722" s="9" t="inlineStr">
        <is>
          <t>BaseDamage</t>
        </is>
      </c>
      <c r="K722" s="9" t="inlineStr">
        <is>
          <t>BaseHitDamage</t>
        </is>
      </c>
      <c r="L722" s="9" t="inlineStr">
        <is>
          <t>NonCritAvg</t>
        </is>
      </c>
      <c r="M722" s="9" t="inlineStr">
        <is>
          <t>CritAvg</t>
        </is>
      </c>
      <c r="N722" s="9" t="inlineStr">
        <is>
          <t>ExpectedDamage(perHit)</t>
        </is>
      </c>
      <c r="O722" s="9" t="inlineStr">
        <is>
          <t>DPS</t>
        </is>
      </c>
      <c r="P722" s="9" t="inlineStr">
        <is>
          <t>% of Total</t>
        </is>
      </c>
      <c r="Q722" s="9" t="inlineStr">
        <is>
          <t>InvCooldown</t>
        </is>
      </c>
      <c r="R722" s="9" t="inlineStr">
        <is>
          <t>CastsInFight</t>
        </is>
      </c>
      <c r="S722" s="9" t="inlineStr">
        <is>
          <t>HitRate(perSec)</t>
        </is>
      </c>
      <c r="U722" t="inlineStr">
        <is>
          <t>helpers</t>
        </is>
      </c>
    </row>
    <row r="723">
      <c r="A723">
        <f>Skills!A2</f>
        <v/>
      </c>
      <c r="B723">
        <f>Skills!B2</f>
        <v/>
      </c>
      <c r="C723">
        <f>Inputs!$B$3&gt;=100</f>
        <v/>
      </c>
      <c r="D723" t="inlineStr"/>
      <c r="E723" t="inlineStr"/>
      <c r="F723">
        <f>U725+Skills!O2</f>
        <v/>
      </c>
      <c r="G723">
        <f>Skills!G2*IF(Skills!H2&gt;0,Skills!I2/Skills!H2,1)</f>
        <v/>
      </c>
      <c r="H723">
        <f>1-(1-Skills!J2/100)^Skills!K2</f>
        <v/>
      </c>
      <c r="I723" t="inlineStr">
        <is>
          <t>1</t>
        </is>
      </c>
      <c r="J723">
        <f>((Inputs!$B$6*(1+Inputs!$B$7/100))+(((Inputs!$B$12*(1+Inputs!$B$13/100))-(Inputs!$B$12*(1+Inputs!$B$13/100)))+0.25*(Inputs!$B$14-Inputs!$B$14))*(1+Inputs!$B$7/100))*(F723/100)</f>
        <v/>
      </c>
      <c r="K723">
        <f>J723*(1+((Inputs!$B$12*(1+Inputs!$B$13/100))*0.01+Inputs!$B$14*0.0025)/100)*(1+Inputs!$B$15/100)*(1+Inputs!$B$16/100)*(5000/(6000+Inputs!$B$42*(1-(Inputs!$B$19+0)/100)))*(1+(Inputs!$B$24+((C747=TRUE)*(F747-Calc!F26))+B757)/100)*(1+(IF(Skills!A2="EIGHT_LEGS_EASTON",Inputs!$B$17+((C744=TRUE)*(F744-Calc!F23))+((C748=TRUE)*(F748-Calc!F27)),Inputs!$B$18+0))/100)*((1+(((C738=TRUE)*F738)+((C745=TRUE)*(F745-Calc!F24)))/100)*I723)</f>
        <v/>
      </c>
      <c r="L723">
        <f>K723*(MIN(Inputs!$B$22+((C743=TRUE)*(F743-Calc!F22)),Inputs!$B$23+0)/100+(Inputs!$B$23+0)/100)/2</f>
        <v/>
      </c>
      <c r="M723">
        <f>L723*(1+(Inputs!$B$10+((C746=TRUE)*(F746-Calc!F25))+B756)/100)</f>
        <v/>
      </c>
      <c r="N723">
        <f>L723*(1-MIN((Inputs!$B$9+((C740=TRUE)*(F740-Calc!F19))+B751),100)/100)+M723*(MIN((Inputs!$B$9+((C740=TRUE)*(F740-Calc!F19))+B751),100)/100)</f>
        <v/>
      </c>
      <c r="O723">
        <f>(1-Summary!$B$55)*T723+Summary!$B$55*V723</f>
        <v/>
      </c>
      <c r="P723">
        <f>IF(B761=0,0,O723/B761)</f>
        <v/>
      </c>
      <c r="Q723" t="n">
        <v>0</v>
      </c>
      <c r="R723" t="n">
        <v>0</v>
      </c>
      <c r="S723">
        <f>IFERROR(O723/N723,0)</f>
        <v/>
      </c>
      <c r="T723">
        <f>IF(C723,(Skills!G2*N723*B755)*IF(Inputs!$B$38="pvp",1,1+(Inputs!$B$20+0+Skills!P2)/100),0)</f>
        <v/>
      </c>
      <c r="U723">
        <f>MAX(0,(Inputs!$B$3-100)*3)+Inputs!$B$28+Inputs!$B$29</f>
        <v/>
      </c>
      <c r="V723">
        <f>IF(C723,(Skills!G2*N723*B755)*IF(Inputs!$B$38="pvp",1,(1+(Inputs!$B$21+Skills!Q2)/100)*(MIN((6+Inputs!$B$33),Inputs!$B$37))),0)</f>
        <v/>
      </c>
    </row>
    <row r="724">
      <c r="A724">
        <f>Skills!A3</f>
        <v/>
      </c>
      <c r="B724">
        <f>Skills!B3</f>
        <v/>
      </c>
      <c r="C724">
        <f>Inputs!$B$3&gt;=35</f>
        <v/>
      </c>
      <c r="D724">
        <f>IF(Skills!C3=1,60+(Inputs!$B$25+1)+Inputs!$B$29,IF(Skills!C3=2,90+Inputs!$B$26+Inputs!$B$29,IF(Skills!C3=3,120+Inputs!$B$27+Inputs!$B$29,MAX(0,(Inputs!$B$3-100)*3)+Inputs!$B$28+Inputs!$B$29)))</f>
        <v/>
      </c>
      <c r="E724">
        <f>INDEX(FactorTable!$B$2:$Y$301, MATCH(ROUND(MIN(300,MAX(1,D724)),0), FactorTable!$A$2:$A$301,0), Skills!M3+1)</f>
        <v/>
      </c>
      <c r="F724">
        <f>IF(Skills!N3=TRUE,(Skills!L3/10)*(E724/1000),Skills!L3/10)+Skills!O3</f>
        <v/>
      </c>
      <c r="G724">
        <f>Skills!G3*IF(Skills!H3&gt;0,Skills!I3/Skills!H3,1)</f>
        <v/>
      </c>
      <c r="H724">
        <f>1-(1-Skills!J3/100)^Skills!K3</f>
        <v/>
      </c>
      <c r="I724" t="inlineStr">
        <is>
          <t>1</t>
        </is>
      </c>
      <c r="J724">
        <f>((Inputs!$B$6*(1+Inputs!$B$7/100))+(((Inputs!$B$12*(1+Inputs!$B$13/100))-(Inputs!$B$12*(1+Inputs!$B$13/100)))+0.25*(Inputs!$B$14-Inputs!$B$14))*(1+Inputs!$B$7/100))*(F724/100)</f>
        <v/>
      </c>
      <c r="K724">
        <f>J724*(1+((Inputs!$B$12*(1+Inputs!$B$13/100))*0.01+Inputs!$B$14*0.0025)/100)*(1+Inputs!$B$15/100)*(1+Inputs!$B$16/100)*(5000/(6000+Inputs!$B$42*(1-(Inputs!$B$19+0)/100)))*(1+(Inputs!$B$24+((C747=TRUE)*(F747-Calc!F26))+B757)/100)*(1+4.0*IF(C736=TRUE,F736,0)/100)*(1+(IF(Skills!A3="EIGHT_LEGS_EASTON",Inputs!$B$17+((C744=TRUE)*(F744-Calc!F23))+((C748=TRUE)*(F748-Calc!F27)),Inputs!$B$18+0))/100)*((1+(((C738=TRUE)*F738)+((C745=TRUE)*(F745-Calc!F24)))/100)*I724)</f>
        <v/>
      </c>
      <c r="L724">
        <f>K724*(MIN(Inputs!$B$22+((C743=TRUE)*(F743-Calc!F22)),Inputs!$B$23+0)/100+(Inputs!$B$23+0)/100)/2</f>
        <v/>
      </c>
      <c r="M724">
        <f>L724*(1+(Inputs!$B$10+((C746=TRUE)*(F746-Calc!F25))+B756)/100)</f>
        <v/>
      </c>
      <c r="N724">
        <f>L724*(1-MIN((Inputs!$B$9+((C740=TRUE)*(F740-Calc!F19))+B751),100)/100)+M724*(MIN((Inputs!$B$9+((C740=TRUE)*(F740-Calc!F19))+B751),100)/100)</f>
        <v/>
      </c>
      <c r="O724">
        <f>(1-Summary!$B$55)*T724+Summary!$B$55*V724</f>
        <v/>
      </c>
      <c r="P724">
        <f>IF(B761=0,0,O724/B761)</f>
        <v/>
      </c>
      <c r="Q724">
        <f>IFERROR(1/IF(Inputs!$B$38="pvp",15,MAX(0.1,Skills!D3-IF(Skills!E3=TRUE,Inputs!$B$32,0))),0)</f>
        <v/>
      </c>
      <c r="R724">
        <f>IF(AND(Inputs!$B$38&lt;&gt;"pvp",Inputs!$B$43&gt;0),IF(MAX(0,Inputs!$B$43-B758)&lt;=0,0,(INT(MAX(0,Inputs!$B$43-B758)/IF(Inputs!$B$38="pvp",15,MAX(0.1,Skills!D3-IF(Skills!E3=TRUE,Inputs!$B$32,0))))+1)),0)</f>
        <v/>
      </c>
      <c r="S724">
        <f>IFERROR(O724/N724,0)</f>
        <v/>
      </c>
      <c r="T724">
        <f>IF(C724,(H724*N724*IF(AND(Inputs!$B$38&lt;&gt;"pvp",Inputs!$B$43&gt;0),((Skills!G3*((R724-1)*IF(Skills!H3&gt;0,Skills!I3/Skills!H3,1)+IF(Skills!H3&gt;0,MIN(Skills!I3,MAX(0,MAX(0,Inputs!$B$43-B758)-((R724-1)*IF(Inputs!$B$38="pvp",15,MAX(0.1,Skills!D3-IF(Skills!E3=TRUE,Inputs!$B$32,0))))))/Skills!H3,1)))/Inputs!$B$43),G724*Q724))*IF(Inputs!$B$38="pvp",1,1+(Inputs!$B$20+0+Skills!P3)/100),0)</f>
        <v/>
      </c>
      <c r="U724">
        <f>INDEX(FactorTable!$B$2:$Y$301, MATCH(ROUND(MIN(300,MAX(1,U723)),0), FactorTable!$A$2:$A$301,0), 22)</f>
        <v/>
      </c>
      <c r="V724">
        <f>IF(C724,(H724*N724*IF(AND(Inputs!$B$38&lt;&gt;"pvp",Inputs!$B$43&gt;0),((Skills!G3*((R724-1)*IF(Skills!H3&gt;0,Skills!I3/Skills!H3,1)+IF(Skills!H3&gt;0,MIN(Skills!I3,MAX(0,MAX(0,Inputs!$B$43-B758)-((R724-1)*IF(Inputs!$B$38="pvp",15,MAX(0.1,Skills!D3-IF(Skills!E3=TRUE,Inputs!$B$32,0))))))/Skills!H3,1)))/Inputs!$B$43),G724*Q724))*IF(Inputs!$B$38="pvp",1,(1+(Inputs!$B$21+Skills!Q3)/100)*(MIN(Skills!R3,Inputs!$B$37))),0)</f>
        <v/>
      </c>
    </row>
    <row r="725">
      <c r="A725">
        <f>Skills!A4</f>
        <v/>
      </c>
      <c r="B725">
        <f>Skills!B4</f>
        <v/>
      </c>
      <c r="C725">
        <f>Inputs!$B$3&gt;=40</f>
        <v/>
      </c>
      <c r="D725">
        <f>IF(Skills!C4=1,60+(Inputs!$B$25+1)+Inputs!$B$29,IF(Skills!C4=2,90+Inputs!$B$26+Inputs!$B$29,IF(Skills!C4=3,120+Inputs!$B$27+Inputs!$B$29,MAX(0,(Inputs!$B$3-100)*3)+Inputs!$B$28+Inputs!$B$29)))</f>
        <v/>
      </c>
      <c r="E725">
        <f>INDEX(FactorTable!$B$2:$Y$301, MATCH(ROUND(MIN(300,MAX(1,D725)),0), FactorTable!$A$2:$A$301,0), Skills!M4+1)</f>
        <v/>
      </c>
      <c r="F725">
        <f>IF(Skills!N4=TRUE,(Skills!L4/10)*(E725/1000),Skills!L4/10)+Skills!O4</f>
        <v/>
      </c>
      <c r="G725">
        <f>Skills!G4*IF(Skills!H4&gt;0,Skills!I4/Skills!H4,1)</f>
        <v/>
      </c>
      <c r="H725">
        <f>1-(1-Skills!J4/100)^Skills!K4</f>
        <v/>
      </c>
      <c r="I725" t="inlineStr">
        <is>
          <t>1</t>
        </is>
      </c>
      <c r="J725">
        <f>((Inputs!$B$6*(1+Inputs!$B$7/100))+(((Inputs!$B$12*(1+Inputs!$B$13/100))-(Inputs!$B$12*(1+Inputs!$B$13/100)))+0.25*(Inputs!$B$14-Inputs!$B$14))*(1+Inputs!$B$7/100))*(F725/100)</f>
        <v/>
      </c>
      <c r="K725">
        <f>J725*(1+((Inputs!$B$12*(1+Inputs!$B$13/100))*0.01+Inputs!$B$14*0.0025)/100)*(1+Inputs!$B$15/100)*(1+Inputs!$B$16/100)*(5000/(6000+Inputs!$B$42*(1-(Inputs!$B$19+0)/100)))*(1+(Inputs!$B$24+((C747=TRUE)*(F747-Calc!F26))+B757)/100)*(1+1.0*IF(C737=TRUE,F737,0)/100)*(1+(IF(Skills!A4="EIGHT_LEGS_EASTON",Inputs!$B$17+((C744=TRUE)*(F744-Calc!F23))+((C748=TRUE)*(F748-Calc!F27)),Inputs!$B$18+0))/100)*((1+(((C738=TRUE)*F738)+((C745=TRUE)*(F745-Calc!F24)))/100)*I725)</f>
        <v/>
      </c>
      <c r="L725">
        <f>K725*(MIN(Inputs!$B$22+((C743=TRUE)*(F743-Calc!F22)),Inputs!$B$23+0)/100+(Inputs!$B$23+0)/100)/2</f>
        <v/>
      </c>
      <c r="M725">
        <f>L725*(1+(Inputs!$B$10+((C746=TRUE)*(F746-Calc!F25))+B756)/100)</f>
        <v/>
      </c>
      <c r="N725">
        <f>L725*(1-MIN((Inputs!$B$9+((C740=TRUE)*(F740-Calc!F19))+B751),100)/100)+M725*(MIN((Inputs!$B$9+((C740=TRUE)*(F740-Calc!F19))+B751),100)/100)</f>
        <v/>
      </c>
      <c r="O725">
        <f>(1-Summary!$B$55)*T725+Summary!$B$55*V725</f>
        <v/>
      </c>
      <c r="P725">
        <f>IF(B761=0,0,O725/B761)</f>
        <v/>
      </c>
      <c r="Q725">
        <f>IFERROR(1/IF(Inputs!$B$38="pvp",15,MAX(0.1,Skills!D4-IF(Skills!E4=TRUE,Inputs!$B$32,0))),0)</f>
        <v/>
      </c>
      <c r="R725">
        <f>IF(AND(Inputs!$B$38&lt;&gt;"pvp",Inputs!$B$43&gt;0),IF(MAX(0,Inputs!$B$43-B758)&lt;=0,0,(INT(MAX(0,Inputs!$B$43-B758)/IF(Inputs!$B$38="pvp",15,MAX(0.1,Skills!D4-IF(Skills!E4=TRUE,Inputs!$B$32,0))))+1)),0)</f>
        <v/>
      </c>
      <c r="S725">
        <f>IFERROR(O725/N725,0)</f>
        <v/>
      </c>
      <c r="T725">
        <f>IF(C725,(H725*N725*IF(AND(Inputs!$B$38&lt;&gt;"pvp",Inputs!$B$43&gt;0),((Skills!G4*((R725-1)*IF(Skills!H4&gt;0,Skills!I4/Skills!H4,1)+IF(Skills!H4&gt;0,MIN(Skills!I4,MAX(0,MAX(0,Inputs!$B$43-B758)-((R725-1)*IF(Inputs!$B$38="pvp",15,MAX(0.1,Skills!D4-IF(Skills!E4=TRUE,Inputs!$B$32,0))))))/Skills!H4,1)))/Inputs!$B$43),G725*Q725))*IF(Inputs!$B$38="pvp",1,1+(Inputs!$B$20+0+Skills!P4)/100),0)</f>
        <v/>
      </c>
      <c r="U725">
        <f>290*U724/1000</f>
        <v/>
      </c>
      <c r="V725">
        <f>IF(C725,(H725*N725*IF(AND(Inputs!$B$38&lt;&gt;"pvp",Inputs!$B$43&gt;0),((Skills!G4*((R725-1)*IF(Skills!H4&gt;0,Skills!I4/Skills!H4,1)+IF(Skills!H4&gt;0,MIN(Skills!I4,MAX(0,MAX(0,Inputs!$B$43-B758)-((R725-1)*IF(Inputs!$B$38="pvp",15,MAX(0.1,Skills!D4-IF(Skills!E4=TRUE,Inputs!$B$32,0))))))/Skills!H4,1)))/Inputs!$B$43),G725*Q725))*IF(Inputs!$B$38="pvp",1,(1+(Inputs!$B$21+Skills!Q4)/100)*(MIN(Skills!R4,Inputs!$B$37))),0)</f>
        <v/>
      </c>
    </row>
    <row r="726">
      <c r="A726">
        <f>Skills!A5</f>
        <v/>
      </c>
      <c r="B726">
        <f>Skills!B5</f>
        <v/>
      </c>
      <c r="C726">
        <f>Inputs!$B$3&gt;=45</f>
        <v/>
      </c>
      <c r="D726">
        <f>IF(Skills!C5=1,60+(Inputs!$B$25+1)+Inputs!$B$29,IF(Skills!C5=2,90+Inputs!$B$26+Inputs!$B$29,IF(Skills!C5=3,120+Inputs!$B$27+Inputs!$B$29,MAX(0,(Inputs!$B$3-100)*3)+Inputs!$B$28+Inputs!$B$29)))</f>
        <v/>
      </c>
      <c r="E726">
        <f>INDEX(FactorTable!$B$2:$Y$301, MATCH(ROUND(MIN(300,MAX(1,D726)),0), FactorTable!$A$2:$A$301,0), Skills!M5+1)</f>
        <v/>
      </c>
      <c r="F726">
        <f>IF(Skills!N5=TRUE,(Skills!L5/10)*(E726/1000),Skills!L5/10)+Skills!O5</f>
        <v/>
      </c>
      <c r="G726">
        <f>Skills!G5*IF(Skills!H5&gt;0,Skills!I5/Skills!H5,1)</f>
        <v/>
      </c>
      <c r="H726">
        <f>1-(1-Skills!J5/100)^Skills!K5</f>
        <v/>
      </c>
      <c r="I726" t="inlineStr">
        <is>
          <t>1</t>
        </is>
      </c>
      <c r="J726">
        <f>((Inputs!$B$6*(1+Inputs!$B$7/100))+(((Inputs!$B$12*(1+Inputs!$B$13/100))-(Inputs!$B$12*(1+Inputs!$B$13/100)))+0.25*(Inputs!$B$14-Inputs!$B$14))*(1+Inputs!$B$7/100))*(F726/100)</f>
        <v/>
      </c>
      <c r="K726">
        <f>J726*(1+((Inputs!$B$12*(1+Inputs!$B$13/100))*0.01+Inputs!$B$14*0.0025)/100)*(1+Inputs!$B$15/100)*(1+Inputs!$B$16/100)*(5000/(6000+Inputs!$B$42*(1-(Inputs!$B$19+0)/100)))*(1+(Inputs!$B$24+((C747=TRUE)*(F747-Calc!F26))+B757)/100)*(1+0.4*IF(C737=TRUE,F737,0)/100)*(1+(IF(Skills!A5="EIGHT_LEGS_EASTON",Inputs!$B$17+((C744=TRUE)*(F744-Calc!F23))+((C748=TRUE)*(F748-Calc!F27)),Inputs!$B$18+0))/100)*((1+(((C738=TRUE)*F738)+((C745=TRUE)*(F745-Calc!F24)))/100)*I726)</f>
        <v/>
      </c>
      <c r="L726">
        <f>K726*(MIN(Inputs!$B$22+((C743=TRUE)*(F743-Calc!F22)),Inputs!$B$23+0)/100+(Inputs!$B$23+0)/100)/2</f>
        <v/>
      </c>
      <c r="M726">
        <f>L726*(1+(Inputs!$B$10+((C746=TRUE)*(F746-Calc!F25))+B756)/100)</f>
        <v/>
      </c>
      <c r="N726">
        <f>L726*(1-MIN((Inputs!$B$9+((C740=TRUE)*(F740-Calc!F19))+B751),100)/100)+M726*(MIN((Inputs!$B$9+((C740=TRUE)*(F740-Calc!F19))+B751),100)/100)</f>
        <v/>
      </c>
      <c r="O726">
        <f>(1-Summary!$B$55)*T726+Summary!$B$55*V726</f>
        <v/>
      </c>
      <c r="P726">
        <f>IF(B761=0,0,O726/B761)</f>
        <v/>
      </c>
      <c r="Q726">
        <f>IFERROR(1/IF(Inputs!$B$38="pvp",15,MAX(0.1,Skills!D5-IF(Skills!E5=TRUE,Inputs!$B$32,0))),0)</f>
        <v/>
      </c>
      <c r="R726">
        <f>IF(AND(Inputs!$B$38&lt;&gt;"pvp",Inputs!$B$43&gt;0),IF(MAX(0,Inputs!$B$43-B758)&lt;=0,0,(INT(MAX(0,Inputs!$B$43-B758)/IF(Inputs!$B$38="pvp",15,MAX(0.1,Skills!D5-IF(Skills!E5=TRUE,Inputs!$B$32,0))))+1)),0)</f>
        <v/>
      </c>
      <c r="S726">
        <f>IFERROR(O726/N726,0)</f>
        <v/>
      </c>
      <c r="T726">
        <f>IF(C726,(H726*N726*IF(AND(Inputs!$B$38&lt;&gt;"pvp",Inputs!$B$43&gt;0),((Skills!G5*((R726-1)*IF(Skills!H5&gt;0,Skills!I5/Skills!H5,1)+IF(Skills!H5&gt;0,MIN(Skills!I5,MAX(0,MAX(0,Inputs!$B$43-B758)-((R726-1)*IF(Inputs!$B$38="pvp",15,MAX(0.1,Skills!D5-IF(Skills!E5=TRUE,Inputs!$B$32,0))))))/Skills!H5,1)))/Inputs!$B$43),G726*Q726))*IF(Inputs!$B$38="pvp",1,1+(Inputs!$B$20+0+Skills!P5)/100),0)</f>
        <v/>
      </c>
      <c r="V726">
        <f>IF(C726,(H726*N726*IF(AND(Inputs!$B$38&lt;&gt;"pvp",Inputs!$B$43&gt;0),((Skills!G5*((R726-1)*IF(Skills!H5&gt;0,Skills!I5/Skills!H5,1)+IF(Skills!H5&gt;0,MIN(Skills!I5,MAX(0,MAX(0,Inputs!$B$43-B758)-((R726-1)*IF(Inputs!$B$38="pvp",15,MAX(0.1,Skills!D5-IF(Skills!E5=TRUE,Inputs!$B$32,0))))))/Skills!H5,1)))/Inputs!$B$43),G726*Q726))*IF(Inputs!$B$38="pvp",1,(1+(Inputs!$B$21+Skills!Q5)/100)*(MIN(Skills!R5,Inputs!$B$37))),0)</f>
        <v/>
      </c>
    </row>
    <row r="727">
      <c r="A727">
        <f>Skills!A6</f>
        <v/>
      </c>
      <c r="B727">
        <f>Skills!B6</f>
        <v/>
      </c>
      <c r="C727">
        <f>Inputs!$B$3&gt;=63</f>
        <v/>
      </c>
      <c r="D727">
        <f>IF(Skills!C6=1,60+(Inputs!$B$25+1)+Inputs!$B$29,IF(Skills!C6=2,90+Inputs!$B$26+Inputs!$B$29,IF(Skills!C6=3,120+Inputs!$B$27+Inputs!$B$29,MAX(0,(Inputs!$B$3-100)*3)+Inputs!$B$28+Inputs!$B$29)))</f>
        <v/>
      </c>
      <c r="E727">
        <f>INDEX(FactorTable!$B$2:$Y$301, MATCH(ROUND(MIN(300,MAX(1,D727)),0), FactorTable!$A$2:$A$301,0), Skills!M6+1)</f>
        <v/>
      </c>
      <c r="F727">
        <f>IF(Skills!N6=TRUE,(Skills!L6/10)*(E727/1000),Skills!L6/10)+Skills!O6</f>
        <v/>
      </c>
      <c r="G727">
        <f>Skills!G6*IF(Skills!H6&gt;0,Skills!I6/Skills!H6,1)</f>
        <v/>
      </c>
      <c r="H727">
        <f>1-(1-Skills!J6/100)^Skills!K6</f>
        <v/>
      </c>
      <c r="I727" t="inlineStr">
        <is>
          <t>1</t>
        </is>
      </c>
      <c r="J727">
        <f>((Inputs!$B$6*(1+Inputs!$B$7/100))+(((Inputs!$B$12*(1+Inputs!$B$13/100))-(Inputs!$B$12*(1+Inputs!$B$13/100)))+0.25*(Inputs!$B$14-Inputs!$B$14))*(1+Inputs!$B$7/100))*(F727/100)</f>
        <v/>
      </c>
      <c r="K727">
        <f>J727*(1+((Inputs!$B$12*(1+Inputs!$B$13/100))*0.01+Inputs!$B$14*0.0025)/100)*(1+Inputs!$B$15/100)*(1+Inputs!$B$16/100)*(5000/(6000+Inputs!$B$42*(1-(Inputs!$B$19+0)/100)))*(1+(Inputs!$B$24+((C747=TRUE)*(F747-Calc!F26))+B757)/100)*(1+2.0*IF(C736=TRUE,F736,0)/100)*(1+(IF(Skills!A6="EIGHT_LEGS_EASTON",Inputs!$B$17+((C744=TRUE)*(F744-Calc!F23))+((C748=TRUE)*(F748-Calc!F27)),Inputs!$B$18+0))/100)*((1+(((C738=TRUE)*F738)+((C745=TRUE)*(F745-Calc!F24)))/100)*I727)</f>
        <v/>
      </c>
      <c r="L727">
        <f>K727*(MIN(Inputs!$B$22+((C743=TRUE)*(F743-Calc!F22)),Inputs!$B$23+0)/100+(Inputs!$B$23+0)/100)/2</f>
        <v/>
      </c>
      <c r="M727">
        <f>L727*(1+(Inputs!$B$10+((C746=TRUE)*(F746-Calc!F25))+B756)/100)</f>
        <v/>
      </c>
      <c r="N727">
        <f>L727*(1-MIN((Inputs!$B$9+((C740=TRUE)*(F740-Calc!F19))+B751),100)/100)+M727*(MIN((Inputs!$B$9+((C740=TRUE)*(F740-Calc!F19))+B751),100)/100)</f>
        <v/>
      </c>
      <c r="O727">
        <f>(1-Summary!$B$55)*T727+Summary!$B$55*V727</f>
        <v/>
      </c>
      <c r="P727">
        <f>IF(B761=0,0,O727/B761)</f>
        <v/>
      </c>
      <c r="Q727">
        <f>IFERROR(1/IF(Inputs!$B$38="pvp",15,MAX(0.1,Skills!D6-IF(Skills!E6=TRUE,Inputs!$B$32,0))),0)</f>
        <v/>
      </c>
      <c r="R727">
        <f>IF(AND(Inputs!$B$38&lt;&gt;"pvp",Inputs!$B$43&gt;0),IF(MAX(0,Inputs!$B$43-B758)&lt;=0,0,(INT(MAX(0,Inputs!$B$43-B758)/IF(Inputs!$B$38="pvp",15,MAX(0.1,Skills!D6-IF(Skills!E6=TRUE,Inputs!$B$32,0))))+1)),0)</f>
        <v/>
      </c>
      <c r="S727">
        <f>IFERROR(O727/N727,0)</f>
        <v/>
      </c>
      <c r="T727">
        <f>IF(C727,(H727*N727*IF(AND(Inputs!$B$38&lt;&gt;"pvp",Inputs!$B$43&gt;0),((Skills!G6*((R727-1)*IF(Skills!H6&gt;0,Skills!I6/Skills!H6,1)+IF(Skills!H6&gt;0,MIN(Skills!I6,MAX(0,MAX(0,Inputs!$B$43-B758)-((R727-1)*IF(Inputs!$B$38="pvp",15,MAX(0.1,Skills!D6-IF(Skills!E6=TRUE,Inputs!$B$32,0))))))/Skills!H6,1)))/Inputs!$B$43),G727*Q727))*IF(Inputs!$B$38="pvp",1,1+(Inputs!$B$20+0+Skills!P6)/100),0)</f>
        <v/>
      </c>
      <c r="V727">
        <f>IF(C727,(H727*N727*IF(AND(Inputs!$B$38&lt;&gt;"pvp",Inputs!$B$43&gt;0),((Skills!G6*((R727-1)*IF(Skills!H6&gt;0,Skills!I6/Skills!H6,1)+IF(Skills!H6&gt;0,MIN(Skills!I6,MAX(0,MAX(0,Inputs!$B$43-B758)-((R727-1)*IF(Inputs!$B$38="pvp",15,MAX(0.1,Skills!D6-IF(Skills!E6=TRUE,Inputs!$B$32,0))))))/Skills!H6,1)))/Inputs!$B$43),G727*Q727))*IF(Inputs!$B$38="pvp",1,(1+(Inputs!$B$21+Skills!Q6)/100)*(MIN(Skills!R6,Inputs!$B$37))),0)</f>
        <v/>
      </c>
    </row>
    <row r="728">
      <c r="A728">
        <f>Skills!A7</f>
        <v/>
      </c>
      <c r="B728">
        <f>Skills!B7</f>
        <v/>
      </c>
      <c r="C728">
        <f>Inputs!$B$3&gt;=66</f>
        <v/>
      </c>
      <c r="D728">
        <f>IF(Skills!C7=1,60+(Inputs!$B$25+1)+Inputs!$B$29,IF(Skills!C7=2,90+Inputs!$B$26+Inputs!$B$29,IF(Skills!C7=3,120+Inputs!$B$27+Inputs!$B$29,MAX(0,(Inputs!$B$3-100)*3)+Inputs!$B$28+Inputs!$B$29)))</f>
        <v/>
      </c>
      <c r="E728">
        <f>INDEX(FactorTable!$B$2:$Y$301, MATCH(ROUND(MIN(300,MAX(1,D728)),0), FactorTable!$A$2:$A$301,0), Skills!M7+1)</f>
        <v/>
      </c>
      <c r="F728">
        <f>IF(Skills!N7=TRUE,(Skills!L7/10)*(E728/1000),Skills!L7/10)+Skills!O7</f>
        <v/>
      </c>
      <c r="G728">
        <f>Skills!G7*IF(Skills!H7&gt;0,Skills!I7/Skills!H7,1)</f>
        <v/>
      </c>
      <c r="H728">
        <f>1-(1-Skills!J7/100)^Skills!K7</f>
        <v/>
      </c>
      <c r="I728" t="inlineStr">
        <is>
          <t>1</t>
        </is>
      </c>
      <c r="J728">
        <f>((Inputs!$B$6*(1+Inputs!$B$7/100))+(((Inputs!$B$12*(1+Inputs!$B$13/100))-(Inputs!$B$12*(1+Inputs!$B$13/100)))+0.25*(Inputs!$B$14-Inputs!$B$14))*(1+Inputs!$B$7/100))*(F728/100)</f>
        <v/>
      </c>
      <c r="K728">
        <f>J728*(1+((Inputs!$B$12*(1+Inputs!$B$13/100))*0.01+Inputs!$B$14*0.0025)/100)*(1+Inputs!$B$15/100)*(1+Inputs!$B$16/100)*(5000/(6000+Inputs!$B$42*(1-(Inputs!$B$19+0)/100)))*(1+(Inputs!$B$24+((C747=TRUE)*(F747-Calc!F26))+B757)/100)*(1+1.0*IF(C736=TRUE,F736,0)/100)*(1+(IF(Skills!A7="EIGHT_LEGS_EASTON",Inputs!$B$17+((C744=TRUE)*(F744-Calc!F23))+((C748=TRUE)*(F748-Calc!F27)),Inputs!$B$18+0))/100)*((1+(((C738=TRUE)*F738)+((C745=TRUE)*(F745-Calc!F24)))/100)*I728)</f>
        <v/>
      </c>
      <c r="L728">
        <f>K728*(MIN(Inputs!$B$22+((C743=TRUE)*(F743-Calc!F22)),Inputs!$B$23+0)/100+(Inputs!$B$23+0)/100)/2</f>
        <v/>
      </c>
      <c r="M728">
        <f>L728*(1+(Inputs!$B$10+((C746=TRUE)*(F746-Calc!F25))+B756)/100)</f>
        <v/>
      </c>
      <c r="N728">
        <f>L728*(1-MIN((Inputs!$B$9+((C740=TRUE)*(F740-Calc!F19))+B751),100)/100)+M728*(MIN((Inputs!$B$9+((C740=TRUE)*(F740-Calc!F19))+B751),100)/100)</f>
        <v/>
      </c>
      <c r="O728">
        <f>(1-Summary!$B$55)*T728+Summary!$B$55*V728</f>
        <v/>
      </c>
      <c r="P728">
        <f>IF(B761=0,0,O728/B761)</f>
        <v/>
      </c>
      <c r="Q728">
        <f>IFERROR(1/IF(Inputs!$B$38="pvp",15,MAX(0.1,Skills!D7-IF(Skills!E7=TRUE,Inputs!$B$32,0))),0)</f>
        <v/>
      </c>
      <c r="R728">
        <f>IF(AND(Inputs!$B$38&lt;&gt;"pvp",Inputs!$B$43&gt;0),IF(MAX(0,Inputs!$B$43-B758)&lt;=0,0,(INT(MAX(0,Inputs!$B$43-B758)/IF(Inputs!$B$38="pvp",15,MAX(0.1,Skills!D7-IF(Skills!E7=TRUE,Inputs!$B$32,0))))+1)),0)</f>
        <v/>
      </c>
      <c r="S728">
        <f>IFERROR(O728/N728,0)</f>
        <v/>
      </c>
      <c r="T728">
        <f>IF(C728,(H728*N728*IF(AND(Inputs!$B$38&lt;&gt;"pvp",Inputs!$B$43&gt;0),((Skills!G7*((R728-1)*IF(Skills!H7&gt;0,Skills!I7/Skills!H7,1)+IF(Skills!H7&gt;0,MIN(Skills!I7,MAX(0,MAX(0,Inputs!$B$43-B758)-((R728-1)*IF(Inputs!$B$38="pvp",15,MAX(0.1,Skills!D7-IF(Skills!E7=TRUE,Inputs!$B$32,0))))))/Skills!H7,1)))/Inputs!$B$43),G728*Q728))*IF(Inputs!$B$38="pvp",1,1+(Inputs!$B$20+0+Skills!P7)/100),0)</f>
        <v/>
      </c>
      <c r="V728">
        <f>IF(C728,(H728*N728*IF(AND(Inputs!$B$38&lt;&gt;"pvp",Inputs!$B$43&gt;0),((Skills!G7*((R728-1)*IF(Skills!H7&gt;0,Skills!I7/Skills!H7,1)+IF(Skills!H7&gt;0,MIN(Skills!I7,MAX(0,MAX(0,Inputs!$B$43-B758)-((R728-1)*IF(Inputs!$B$38="pvp",15,MAX(0.1,Skills!D7-IF(Skills!E7=TRUE,Inputs!$B$32,0))))))/Skills!H7,1)))/Inputs!$B$43),G728*Q728))*IF(Inputs!$B$38="pvp",1,(1+(Inputs!$B$21+Skills!Q7)/100)*(MIN(Skills!R7,Inputs!$B$37))),0)</f>
        <v/>
      </c>
    </row>
    <row r="729">
      <c r="A729">
        <f>Skills!A8</f>
        <v/>
      </c>
      <c r="B729">
        <f>Skills!B8</f>
        <v/>
      </c>
      <c r="C729">
        <f>Inputs!$B$3&gt;=100</f>
        <v/>
      </c>
      <c r="D729">
        <f>IF(Skills!C8=1,60+(Inputs!$B$25+1)+Inputs!$B$29,IF(Skills!C8=2,90+Inputs!$B$26+Inputs!$B$29,IF(Skills!C8=3,120+Inputs!$B$27+Inputs!$B$29,MAX(0,(Inputs!$B$3-100)*3)+Inputs!$B$28+Inputs!$B$29)))</f>
        <v/>
      </c>
      <c r="E729">
        <f>INDEX(FactorTable!$B$2:$Y$301, MATCH(ROUND(MIN(300,MAX(1,D729)),0), FactorTable!$A$2:$A$301,0), Skills!M8+1)</f>
        <v/>
      </c>
      <c r="F729">
        <f>IF(Skills!N8=TRUE,(Skills!L8/10)*(E729/1000),Skills!L8/10)+Skills!O8</f>
        <v/>
      </c>
      <c r="G729">
        <f>Skills!G8*IF(Skills!H8&gt;0,Skills!I8/Skills!H8,1)</f>
        <v/>
      </c>
      <c r="H729">
        <f>1-(1-Skills!J8/100)^Skills!K8</f>
        <v/>
      </c>
      <c r="I729" t="inlineStr">
        <is>
          <t>1</t>
        </is>
      </c>
      <c r="J729">
        <f>((Inputs!$B$6*(1+Inputs!$B$7/100))+(((Inputs!$B$12*(1+Inputs!$B$13/100))-(Inputs!$B$12*(1+Inputs!$B$13/100)))+0.25*(Inputs!$B$14-Inputs!$B$14))*(1+Inputs!$B$7/100))*(F729/100)</f>
        <v/>
      </c>
      <c r="K729">
        <f>J729*(1+((Inputs!$B$12*(1+Inputs!$B$13/100))*0.01+Inputs!$B$14*0.0025)/100)*(1+Inputs!$B$15/100)*(1+Inputs!$B$16/100)*(5000/(6000+Inputs!$B$42*(1-(Inputs!$B$19+0)/100)))*(1+(Inputs!$B$24+((C747=TRUE)*(F747-Calc!F26))+B757)/100)*(1+(IF(Skills!A8="EIGHT_LEGS_EASTON",Inputs!$B$17+((C744=TRUE)*(F744-Calc!F23))+((C748=TRUE)*(F748-Calc!F27)),Inputs!$B$18+0))/100)*((1+(((C738=TRUE)*F738)+((C745=TRUE)*(F745-Calc!F24)))/100)*I729)</f>
        <v/>
      </c>
      <c r="L729">
        <f>K729*(MIN(Inputs!$B$22+((C743=TRUE)*(F743-Calc!F22)),Inputs!$B$23+0)/100+(Inputs!$B$23+0)/100)/2</f>
        <v/>
      </c>
      <c r="M729">
        <f>L729*(1+(Inputs!$B$10+((C746=TRUE)*(F746-Calc!F25))+B756)/100)</f>
        <v/>
      </c>
      <c r="N729">
        <f>L729*(1-MIN((Inputs!$B$9+((C740=TRUE)*(F740-Calc!F19))+B751),100)/100)+M729*(MIN((Inputs!$B$9+((C740=TRUE)*(F740-Calc!F19))+B751),100)/100)</f>
        <v/>
      </c>
      <c r="O729">
        <f>(1-Summary!$B$55)*T729+Summary!$B$55*V729</f>
        <v/>
      </c>
      <c r="P729">
        <f>IF(B761=0,0,O729/B761)</f>
        <v/>
      </c>
      <c r="Q729">
        <f>IFERROR(1/IF(Inputs!$B$38="pvp",15,MAX(0.1,Skills!D8-IF(Skills!E8=TRUE,Inputs!$B$32,0))),0)</f>
        <v/>
      </c>
      <c r="R729">
        <f>IF(AND(Inputs!$B$38&lt;&gt;"pvp",Inputs!$B$43&gt;0),IF(MAX(0,Inputs!$B$43-B758)&lt;=0,0,(INT(MAX(0,Inputs!$B$43-B758)/IF(Inputs!$B$38="pvp",15,MAX(0.1,Skills!D8-IF(Skills!E8=TRUE,Inputs!$B$32,0))))+1)),0)</f>
        <v/>
      </c>
      <c r="S729">
        <f>IFERROR(O729/N729,0)</f>
        <v/>
      </c>
      <c r="T729">
        <f>IF(C729,(H729*N729*IF(AND(Inputs!$B$38&lt;&gt;"pvp",Inputs!$B$43&gt;0),((Skills!G8*((R729-1)*IF(Skills!H8&gt;0,Skills!I8/Skills!H8,1)+IF(Skills!H8&gt;0,MIN(Skills!I8,MAX(0,MAX(0,Inputs!$B$43-B758)-((R729-1)*IF(Inputs!$B$38="pvp",15,MAX(0.1,Skills!D8-IF(Skills!E8=TRUE,Inputs!$B$32,0))))))/Skills!H8,1)))/Inputs!$B$43),G729*Q729))*IF(Inputs!$B$38="pvp",1,1+(Inputs!$B$20+0+Skills!P8)/100),0)</f>
        <v/>
      </c>
      <c r="V729">
        <f>IF(C729,(H729*N729*IF(AND(Inputs!$B$38&lt;&gt;"pvp",Inputs!$B$43&gt;0),((Skills!G8*((R729-1)*IF(Skills!H8&gt;0,Skills!I8/Skills!H8,1)+IF(Skills!H8&gt;0,MIN(Skills!I8,MAX(0,MAX(0,Inputs!$B$43-B758)-((R729-1)*IF(Inputs!$B$38="pvp",15,MAX(0.1,Skills!D8-IF(Skills!E8=TRUE,Inputs!$B$32,0))))))/Skills!H8,1)))/Inputs!$B$43),G729*Q729))*IF(Inputs!$B$38="pvp",1,(1+(Inputs!$B$21+Skills!Q8)/100)*(MIN(Skills!R8,Inputs!$B$37))),0)</f>
        <v/>
      </c>
    </row>
    <row r="730">
      <c r="A730">
        <f>Skills!A9</f>
        <v/>
      </c>
      <c r="B730">
        <f>Skills!B9</f>
        <v/>
      </c>
      <c r="C730">
        <f>Inputs!$B$3&gt;=103</f>
        <v/>
      </c>
      <c r="D730">
        <f>IF(Skills!C9=1,60+(Inputs!$B$25+1)+Inputs!$B$29,IF(Skills!C9=2,90+Inputs!$B$26+Inputs!$B$29,IF(Skills!C9=3,120+Inputs!$B$27+Inputs!$B$29,MAX(0,(Inputs!$B$3-100)*3)+Inputs!$B$28+Inputs!$B$29)))</f>
        <v/>
      </c>
      <c r="E730">
        <f>INDEX(FactorTable!$B$2:$Y$301, MATCH(ROUND(MIN(300,MAX(1,D730)),0), FactorTable!$A$2:$A$301,0), Skills!M9+1)</f>
        <v/>
      </c>
      <c r="F730">
        <f>IF(Skills!N9=TRUE,(Skills!L9/10)*(E730/1000),Skills!L9/10)+Skills!O9</f>
        <v/>
      </c>
      <c r="G730">
        <f>Skills!G9*IF(Skills!H9&gt;0,Skills!I9/Skills!H9,1)</f>
        <v/>
      </c>
      <c r="H730">
        <f>1-(1-Skills!J9/100)^Skills!K9</f>
        <v/>
      </c>
      <c r="I730" t="inlineStr">
        <is>
          <t>1</t>
        </is>
      </c>
      <c r="J730">
        <f>((Inputs!$B$6*(1+Inputs!$B$7/100))+(((Inputs!$B$12*(1+Inputs!$B$13/100))-(Inputs!$B$12*(1+Inputs!$B$13/100)))+0.25*(Inputs!$B$14-Inputs!$B$14))*(1+Inputs!$B$7/100))*(F730/100)</f>
        <v/>
      </c>
      <c r="K730">
        <f>J730*(1+((Inputs!$B$12*(1+Inputs!$B$13/100))*0.01+Inputs!$B$14*0.0025)/100)*(1+Inputs!$B$15/100)*(1+Inputs!$B$16/100)*(5000/(6000+Inputs!$B$42*(1-(Inputs!$B$19+0)/100)))*(1+(Inputs!$B$24+((C747=TRUE)*(F747-Calc!F26))+B757)/100)*(1+(IF(Skills!A9="EIGHT_LEGS_EASTON",Inputs!$B$17+((C744=TRUE)*(F744-Calc!F23))+((C748=TRUE)*(F748-Calc!F27)),Inputs!$B$18+0))/100)*((1+(((C738=TRUE)*F738)+((C745=TRUE)*(F745-Calc!F24)))/100)*I730)</f>
        <v/>
      </c>
      <c r="L730">
        <f>K730*(MIN(Inputs!$B$22+((C743=TRUE)*(F743-Calc!F22)),Inputs!$B$23+0)/100+(Inputs!$B$23+0)/100)/2</f>
        <v/>
      </c>
      <c r="M730">
        <f>L730*(1+(Inputs!$B$10+((C746=TRUE)*(F746-Calc!F25))+B756)/100)</f>
        <v/>
      </c>
      <c r="N730">
        <f>L730*(1-MIN((Inputs!$B$9+((C740=TRUE)*(F740-Calc!F19))+B751),100)/100)+M730*(MIN((Inputs!$B$9+((C740=TRUE)*(F740-Calc!F19))+B751),100)/100)</f>
        <v/>
      </c>
      <c r="O730">
        <f>(1-Summary!$B$55)*T730+Summary!$B$55*V730</f>
        <v/>
      </c>
      <c r="P730">
        <f>IF(B761=0,0,O730/B761)</f>
        <v/>
      </c>
      <c r="Q730">
        <f>IFERROR(1/IF(Inputs!$B$38="pvp",15,MAX(0.1,Skills!D9-IF(Skills!E9=TRUE,Inputs!$B$32,0))),0)</f>
        <v/>
      </c>
      <c r="R730">
        <f>IF(AND(Inputs!$B$38&lt;&gt;"pvp",Inputs!$B$43&gt;0),IF(MAX(0,Inputs!$B$43-B758)&lt;=0,0,(INT(MAX(0,Inputs!$B$43-B758)/IF(Inputs!$B$38="pvp",15,MAX(0.1,Skills!D9-IF(Skills!E9=TRUE,Inputs!$B$32,0))))+1)),0)</f>
        <v/>
      </c>
      <c r="S730">
        <f>IFERROR(O730/N730,0)</f>
        <v/>
      </c>
      <c r="T730">
        <f>IF(C730,(H730*N730*IF(AND(Inputs!$B$38&lt;&gt;"pvp",Inputs!$B$43&gt;0),((Skills!G9*((R730-1)*IF(Skills!H9&gt;0,Skills!I9/Skills!H9,1)+IF(Skills!H9&gt;0,MIN(Skills!I9,MAX(0,MAX(0,Inputs!$B$43-B758)-((R730-1)*IF(Inputs!$B$38="pvp",15,MAX(0.1,Skills!D9-IF(Skills!E9=TRUE,Inputs!$B$32,0))))))/Skills!H9,1)))/Inputs!$B$43),G730*Q730))*IF(Inputs!$B$38="pvp",1,1+(Inputs!$B$20+0+Skills!P9)/100),0)</f>
        <v/>
      </c>
      <c r="V730">
        <f>IF(C730,(H730*N730*IF(AND(Inputs!$B$38&lt;&gt;"pvp",Inputs!$B$43&gt;0),((Skills!G9*((R730-1)*IF(Skills!H9&gt;0,Skills!I9/Skills!H9,1)+IF(Skills!H9&gt;0,MIN(Skills!I9,MAX(0,MAX(0,Inputs!$B$43-B758)-((R730-1)*IF(Inputs!$B$38="pvp",15,MAX(0.1,Skills!D9-IF(Skills!E9=TRUE,Inputs!$B$32,0))))))/Skills!H9,1)))/Inputs!$B$43),G730*Q730))*IF(Inputs!$B$38="pvp",1,(1+(Inputs!$B$21+Skills!Q9)/100)*(MIN(Skills!R9,Inputs!$B$37))),0)</f>
        <v/>
      </c>
    </row>
    <row r="731">
      <c r="A731">
        <f>Skills!A10</f>
        <v/>
      </c>
      <c r="B731">
        <f>Skills!B10</f>
        <v/>
      </c>
      <c r="C731">
        <f>Inputs!$B$3&gt;=113</f>
        <v/>
      </c>
      <c r="D731">
        <f>IF(Skills!C10=1,60+(Inputs!$B$25+1)+Inputs!$B$29,IF(Skills!C10=2,90+Inputs!$B$26+Inputs!$B$29,IF(Skills!C10=3,120+Inputs!$B$27+Inputs!$B$29,MAX(0,(Inputs!$B$3-100)*3)+Inputs!$B$28+Inputs!$B$29)))</f>
        <v/>
      </c>
      <c r="E731">
        <f>INDEX(FactorTable!$B$2:$Y$301, MATCH(ROUND(MIN(300,MAX(1,D731)),0), FactorTable!$A$2:$A$301,0), Skills!M10+1)</f>
        <v/>
      </c>
      <c r="F731">
        <f>IF(Skills!N10=TRUE,(Skills!L10/10)*(E731/1000),Skills!L10/10)+Skills!O10</f>
        <v/>
      </c>
      <c r="G731">
        <f>Skills!G10*IF(Skills!H10&gt;0,Skills!I10/Skills!H10,1)</f>
        <v/>
      </c>
      <c r="H731">
        <f>1-(1-Skills!J10/100)^Skills!K10</f>
        <v/>
      </c>
      <c r="I731" t="inlineStr">
        <is>
          <t>1</t>
        </is>
      </c>
      <c r="J731">
        <f>((Inputs!$B$6*(1+Inputs!$B$7/100))+(((Inputs!$B$12*(1+Inputs!$B$13/100))-(Inputs!$B$12*(1+Inputs!$B$13/100)))+0.25*(Inputs!$B$14-Inputs!$B$14))*(1+Inputs!$B$7/100))*(F731/100)</f>
        <v/>
      </c>
      <c r="K731">
        <f>J731*(1+((Inputs!$B$12*(1+Inputs!$B$13/100))*0.01+Inputs!$B$14*0.0025)/100)*(1+Inputs!$B$15/100)*(1+Inputs!$B$16/100)*(5000/(6000+Inputs!$B$42*(1-(Inputs!$B$19+0)/100)))*(1+(Inputs!$B$24+((C747=TRUE)*(F747-Calc!F26))+B757)/100)*(1+(IF(Skills!A10="EIGHT_LEGS_EASTON",Inputs!$B$17+((C744=TRUE)*(F744-Calc!F23))+((C748=TRUE)*(F748-Calc!F27)),Inputs!$B$18+0))/100)*((1+(((C738=TRUE)*F738)+((C745=TRUE)*(F745-Calc!F24)))/100)*I731)</f>
        <v/>
      </c>
      <c r="L731">
        <f>K731*(MIN(Inputs!$B$22+((C743=TRUE)*(F743-Calc!F22)),Inputs!$B$23+0)/100+(Inputs!$B$23+0)/100)/2</f>
        <v/>
      </c>
      <c r="M731">
        <f>L731*(1+(Inputs!$B$10+((C746=TRUE)*(F746-Calc!F25))+B756)/100)</f>
        <v/>
      </c>
      <c r="N731">
        <f>L731*(1-MIN((Inputs!$B$9+((C740=TRUE)*(F740-Calc!F19))+B751),100)/100)+M731*(MIN((Inputs!$B$9+((C740=TRUE)*(F740-Calc!F19))+B751),100)/100)</f>
        <v/>
      </c>
      <c r="O731">
        <f>(1-Summary!$B$55)*T731+Summary!$B$55*V731</f>
        <v/>
      </c>
      <c r="P731">
        <f>IF(B761=0,0,O731/B761)</f>
        <v/>
      </c>
      <c r="Q731">
        <f>IFERROR(1/IF(Inputs!$B$38="pvp",15,MAX(0.1,Skills!D10-IF(Skills!E10=TRUE,Inputs!$B$32,0))),0)</f>
        <v/>
      </c>
      <c r="R731">
        <f>IF(AND(Inputs!$B$38&lt;&gt;"pvp",Inputs!$B$43&gt;0),IF(MAX(0,Inputs!$B$43-B758)&lt;=0,0,(INT(MAX(0,Inputs!$B$43-B758)/IF(Inputs!$B$38="pvp",15,MAX(0.1,Skills!D10-IF(Skills!E10=TRUE,Inputs!$B$32,0))))+1)),0)</f>
        <v/>
      </c>
      <c r="S731">
        <f>IFERROR(O731/N731,0)</f>
        <v/>
      </c>
      <c r="T731">
        <f>IF(C731,(H731*N731*IF(AND(Inputs!$B$38&lt;&gt;"pvp",Inputs!$B$43&gt;0),((Skills!G10*((R731-1)*IF(Skills!H10&gt;0,Skills!I10/Skills!H10,1)+IF(Skills!H10&gt;0,MIN(Skills!I10,MAX(0,MAX(0,Inputs!$B$43-B758)-((R731-1)*IF(Inputs!$B$38="pvp",15,MAX(0.1,Skills!D10-IF(Skills!E10=TRUE,Inputs!$B$32,0))))))/Skills!H10,1)))/Inputs!$B$43),G731*Q731))*IF(Inputs!$B$38="pvp",1,1+(Inputs!$B$20+0+Skills!P10)/100),0)</f>
        <v/>
      </c>
      <c r="V731">
        <f>IF(C731,(H731*N731*IF(AND(Inputs!$B$38&lt;&gt;"pvp",Inputs!$B$43&gt;0),((Skills!G10*((R731-1)*IF(Skills!H10&gt;0,Skills!I10/Skills!H10,1)+IF(Skills!H10&gt;0,MIN(Skills!I10,MAX(0,MAX(0,Inputs!$B$43-B758)-((R731-1)*IF(Inputs!$B$38="pvp",15,MAX(0.1,Skills!D10-IF(Skills!E10=TRUE,Inputs!$B$32,0))))))/Skills!H10,1)))/Inputs!$B$43),G731*Q731))*IF(Inputs!$B$38="pvp",1,(1+(Inputs!$B$21+Skills!Q10)/100)*(MIN(Skills!R10,Inputs!$B$37))),0)</f>
        <v/>
      </c>
    </row>
    <row r="732">
      <c r="A732">
        <f>Skills!A11</f>
        <v/>
      </c>
      <c r="B732">
        <f>Skills!B11</f>
        <v/>
      </c>
      <c r="C732">
        <f>Inputs!$B$3&gt;=107</f>
        <v/>
      </c>
      <c r="D732">
        <f>IF(Skills!C11=1,60+(Inputs!$B$25+1)+Inputs!$B$29,IF(Skills!C11=2,90+Inputs!$B$26+Inputs!$B$29,IF(Skills!C11=3,120+Inputs!$B$27+Inputs!$B$29,MAX(0,(Inputs!$B$3-100)*3)+Inputs!$B$28+Inputs!$B$29)))</f>
        <v/>
      </c>
      <c r="E732">
        <f>INDEX(FactorTable!$B$2:$Y$301, MATCH(ROUND(MIN(300,MAX(1,D732)),0), FactorTable!$A$2:$A$301,0), Skills!M11+1)</f>
        <v/>
      </c>
      <c r="F732">
        <f>IF(Skills!N11=TRUE,(Skills!L11/10)*(E732/1000),Skills!L11/10)+Skills!O11</f>
        <v/>
      </c>
      <c r="G732">
        <f>Skills!G11*IF(Skills!H11&gt;0,Skills!I11/Skills!H11,1)</f>
        <v/>
      </c>
      <c r="H732">
        <f>1-(1-Skills!J11/100)^Skills!K11</f>
        <v/>
      </c>
      <c r="I732" t="inlineStr">
        <is>
          <t>1</t>
        </is>
      </c>
      <c r="J732">
        <f>((Inputs!$B$6*(1+Inputs!$B$7/100))+(((Inputs!$B$12*(1+Inputs!$B$13/100))-(Inputs!$B$12*(1+Inputs!$B$13/100)))+0.25*(Inputs!$B$14-Inputs!$B$14))*(1+Inputs!$B$7/100))*(F732/100)</f>
        <v/>
      </c>
      <c r="K732">
        <f>J732*(1+((Inputs!$B$12*(1+Inputs!$B$13/100))*0.01+Inputs!$B$14*0.0025)/100)*(1+Inputs!$B$15/100)*(1+Inputs!$B$16/100)*(5000/(6000+Inputs!$B$42*(1-(Inputs!$B$19+0)/100)))*(1+(Inputs!$B$24+((C747=TRUE)*(F747-Calc!F26))+B757)/100)*(1+(IF(Skills!A11="EIGHT_LEGS_EASTON",Inputs!$B$17+((C744=TRUE)*(F744-Calc!F23))+((C748=TRUE)*(F748-Calc!F27)),Inputs!$B$18+0))/100)*((1+(((C738=TRUE)*F738)+((C745=TRUE)*(F745-Calc!F24)))/100)*I732)</f>
        <v/>
      </c>
      <c r="L732">
        <f>K732*(MIN(Inputs!$B$22+((C743=TRUE)*(F743-Calc!F22)),Inputs!$B$23+0)/100+(Inputs!$B$23+0)/100)/2</f>
        <v/>
      </c>
      <c r="M732">
        <f>L732*(1+(Inputs!$B$10+((C746=TRUE)*(F746-Calc!F25))+B756)/100)</f>
        <v/>
      </c>
      <c r="N732">
        <f>L732*(1-MIN((Inputs!$B$9+((C740=TRUE)*(F740-Calc!F19))+B751),100)/100)+M732*(MIN((Inputs!$B$9+((C740=TRUE)*(F740-Calc!F19))+B751),100)/100)</f>
        <v/>
      </c>
      <c r="O732">
        <f>(1-Summary!$B$55)*T732+Summary!$B$55*V732</f>
        <v/>
      </c>
      <c r="P732">
        <f>IF(B761=0,0,O732/B761)</f>
        <v/>
      </c>
      <c r="Q732">
        <f>IFERROR(1/IF(Inputs!$B$38="pvp",15,MAX(0.1,Skills!D11-IF(Skills!E11=TRUE,Inputs!$B$32,0))),0)</f>
        <v/>
      </c>
      <c r="R732">
        <f>IF(AND(Inputs!$B$38&lt;&gt;"pvp",Inputs!$B$43&gt;0),IF(MAX(0,Inputs!$B$43-B758)&lt;=0,0,(INT(MAX(0,Inputs!$B$43-B758)/IF(Inputs!$B$38="pvp",15,MAX(0.1,Skills!D11-IF(Skills!E11=TRUE,Inputs!$B$32,0))))+1)),0)</f>
        <v/>
      </c>
      <c r="S732">
        <f>IFERROR(O732/N732,0)</f>
        <v/>
      </c>
      <c r="T732">
        <f>IF(C732,(H732*N732*IF(AND(Inputs!$B$38&lt;&gt;"pvp",Inputs!$B$43&gt;0),((Skills!G11*((R732-1)*IF(Skills!H11&gt;0,Skills!I11/Skills!H11,1)+IF(Skills!H11&gt;0,MIN(Skills!I11,MAX(0,MAX(0,Inputs!$B$43-B758)-((R732-1)*IF(Inputs!$B$38="pvp",15,MAX(0.1,Skills!D11-IF(Skills!E11=TRUE,Inputs!$B$32,0))))))/Skills!H11,1)))/Inputs!$B$43),G732*Q732))*IF(Inputs!$B$38="pvp",1,1+(Inputs!$B$20+0+Skills!P11)/100),0)</f>
        <v/>
      </c>
      <c r="V732">
        <f>IF(C732,(H732*N732*IF(AND(Inputs!$B$38&lt;&gt;"pvp",Inputs!$B$43&gt;0),((Skills!G11*((R732-1)*IF(Skills!H11&gt;0,Skills!I11/Skills!H11,1)+IF(Skills!H11&gt;0,MIN(Skills!I11,MAX(0,MAX(0,Inputs!$B$43-B758)-((R732-1)*IF(Inputs!$B$38="pvp",15,MAX(0.1,Skills!D11-IF(Skills!E11=TRUE,Inputs!$B$32,0))))))/Skills!H11,1)))/Inputs!$B$43),G732*Q732))*IF(Inputs!$B$38="pvp",1,(1+(Inputs!$B$21+Skills!Q11)/100)*(MIN(Skills!R11,Inputs!$B$37))),0)</f>
        <v/>
      </c>
    </row>
    <row r="733">
      <c r="A733">
        <f>Skills!A12</f>
        <v/>
      </c>
      <c r="B733">
        <f>Skills!B12</f>
        <v/>
      </c>
      <c r="C733">
        <f>Inputs!$B$3&gt;=110</f>
        <v/>
      </c>
      <c r="D733">
        <f>IF(Skills!C12=1,60+(Inputs!$B$25+1)+Inputs!$B$29,IF(Skills!C12=2,90+Inputs!$B$26+Inputs!$B$29,IF(Skills!C12=3,120+Inputs!$B$27+Inputs!$B$29,MAX(0,(Inputs!$B$3-100)*3)+Inputs!$B$28+Inputs!$B$29)))</f>
        <v/>
      </c>
      <c r="E733">
        <f>INDEX(FactorTable!$B$2:$Y$301, MATCH(ROUND(MIN(300,MAX(1,D733)),0), FactorTable!$A$2:$A$301,0), Skills!M12+1)</f>
        <v/>
      </c>
      <c r="F733">
        <f>IF(Skills!N12=TRUE,(Skills!L12/10)*(E733/1000),Skills!L12/10)+Skills!O12</f>
        <v/>
      </c>
      <c r="G733">
        <f>Skills!G12*IF(Skills!H12&gt;0,Skills!I12/Skills!H12,1)</f>
        <v/>
      </c>
      <c r="H733">
        <f>1-(1-Skills!J12/100)^Skills!K12</f>
        <v/>
      </c>
      <c r="I733" t="inlineStr">
        <is>
          <t>1</t>
        </is>
      </c>
      <c r="J733">
        <f>((Inputs!$B$6*(1+Inputs!$B$7/100))+(((Inputs!$B$12*(1+Inputs!$B$13/100))-(Inputs!$B$12*(1+Inputs!$B$13/100)))+0.25*(Inputs!$B$14-Inputs!$B$14))*(1+Inputs!$B$7/100))*(F733/100)</f>
        <v/>
      </c>
      <c r="K733">
        <f>J733*(1+((Inputs!$B$12*(1+Inputs!$B$13/100))*0.01+Inputs!$B$14*0.0025)/100)*(1+Inputs!$B$15/100)*(1+Inputs!$B$16/100)*(5000/(6000+Inputs!$B$42*(1-(Inputs!$B$19+0)/100)))*(1+(Inputs!$B$24+((C747=TRUE)*(F747-Calc!F26))+B757)/100)*(1+(IF(Skills!A12="EIGHT_LEGS_EASTON",Inputs!$B$17+((C744=TRUE)*(F744-Calc!F23))+((C748=TRUE)*(F748-Calc!F27)),Inputs!$B$18+0))/100)*((1+(((C738=TRUE)*F738)+((C745=TRUE)*(F745-Calc!F24)))/100)*I733)</f>
        <v/>
      </c>
      <c r="L733">
        <f>K733*(MIN(Inputs!$B$22+((C743=TRUE)*(F743-Calc!F22)),Inputs!$B$23+0)/100+(Inputs!$B$23+0)/100)/2</f>
        <v/>
      </c>
      <c r="M733">
        <f>L733*(1+(Inputs!$B$10+((C746=TRUE)*(F746-Calc!F25))+B756)/100)</f>
        <v/>
      </c>
      <c r="N733">
        <f>L733*(1-MIN((Inputs!$B$9+((C740=TRUE)*(F740-Calc!F19))+B751),100)/100)+M733*(MIN((Inputs!$B$9+((C740=TRUE)*(F740-Calc!F19))+B751),100)/100)</f>
        <v/>
      </c>
      <c r="O733">
        <f>(1-Summary!$B$55)*T733+Summary!$B$55*V733</f>
        <v/>
      </c>
      <c r="P733">
        <f>IF(B761=0,0,O733/B761)</f>
        <v/>
      </c>
      <c r="Q733">
        <f>IFERROR(1/IF(Inputs!$B$38="pvp",15,MAX(0.1,Skills!D12-IF(Skills!E12=TRUE,Inputs!$B$32,0))),0)</f>
        <v/>
      </c>
      <c r="R733">
        <f>IF(AND(Inputs!$B$38&lt;&gt;"pvp",Inputs!$B$43&gt;0),IF(MAX(0,Inputs!$B$43-B758)&lt;=0,0,(INT(MAX(0,Inputs!$B$43-B758)/IF(Inputs!$B$38="pvp",15,MAX(0.1,Skills!D12-IF(Skills!E12=TRUE,Inputs!$B$32,0))))+1)),0)</f>
        <v/>
      </c>
      <c r="S733">
        <f>IFERROR(O733/N733,0)</f>
        <v/>
      </c>
      <c r="T733">
        <f>IF(C733,(H733*N733*IF(AND(Inputs!$B$38&lt;&gt;"pvp",Inputs!$B$43&gt;0),((Skills!G12*((R733-1)*IF(Skills!H12&gt;0,Skills!I12/Skills!H12,1)+IF(Skills!H12&gt;0,MIN(Skills!I12,MAX(0,MAX(0,Inputs!$B$43-B758)-((R733-1)*IF(Inputs!$B$38="pvp",15,MAX(0.1,Skills!D12-IF(Skills!E12=TRUE,Inputs!$B$32,0))))))/Skills!H12,1)))/Inputs!$B$43),G733*Q733))*IF(Inputs!$B$38="pvp",1,1+(Inputs!$B$20+0+Skills!P12)/100),0)</f>
        <v/>
      </c>
      <c r="V733">
        <f>IF(C733,(H733*N733*IF(AND(Inputs!$B$38&lt;&gt;"pvp",Inputs!$B$43&gt;0),((Skills!G12*((R733-1)*IF(Skills!H12&gt;0,Skills!I12/Skills!H12,1)+IF(Skills!H12&gt;0,MIN(Skills!I12,MAX(0,MAX(0,Inputs!$B$43-B758)-((R733-1)*IF(Inputs!$B$38="pvp",15,MAX(0.1,Skills!D12-IF(Skills!E12=TRUE,Inputs!$B$32,0))))))/Skills!H12,1)))/Inputs!$B$43),G733*Q733))*IF(Inputs!$B$38="pvp",1,(1+(Inputs!$B$21+Skills!Q12)/100)*(MIN(Skills!R12,Inputs!$B$37))),0)</f>
        <v/>
      </c>
    </row>
    <row r="734">
      <c r="A734">
        <f>Skills!A13</f>
        <v/>
      </c>
      <c r="B734">
        <f>Skills!B13</f>
        <v/>
      </c>
      <c r="C734">
        <f>Inputs!$B$3&gt;=110</f>
        <v/>
      </c>
      <c r="D734">
        <f>IF(Skills!C13=1,60+(Inputs!$B$25+1)+Inputs!$B$29,IF(Skills!C13=2,90+Inputs!$B$26+Inputs!$B$29,IF(Skills!C13=3,120+Inputs!$B$27+Inputs!$B$29,MAX(0,(Inputs!$B$3-100)*3)+Inputs!$B$28+Inputs!$B$29)))</f>
        <v/>
      </c>
      <c r="E734">
        <f>INDEX(FactorTable!$B$2:$Y$301, MATCH(ROUND(MIN(300,MAX(1,D734)),0), FactorTable!$A$2:$A$301,0), Skills!M13+1)</f>
        <v/>
      </c>
      <c r="F734">
        <f>IF(Skills!N13=TRUE,(Skills!L13/10)*(E734/1000),Skills!L13/10)+Skills!O13</f>
        <v/>
      </c>
      <c r="G734">
        <f>Skills!G13*IF(Skills!H13&gt;0,Skills!I13/Skills!H13,1)</f>
        <v/>
      </c>
      <c r="H734">
        <f>1-(1-Skills!J13/100)^Skills!K13</f>
        <v/>
      </c>
      <c r="I734" t="inlineStr">
        <is>
          <t>1</t>
        </is>
      </c>
      <c r="J734">
        <f>((Inputs!$B$6*(1+Inputs!$B$7/100))+(((Inputs!$B$12*(1+Inputs!$B$13/100))-(Inputs!$B$12*(1+Inputs!$B$13/100)))+0.25*(Inputs!$B$14-Inputs!$B$14))*(1+Inputs!$B$7/100))*(F734/100)</f>
        <v/>
      </c>
      <c r="K734">
        <f>J734*(1+((Inputs!$B$12*(1+Inputs!$B$13/100))*0.01+Inputs!$B$14*0.0025)/100)*(1+Inputs!$B$15/100)*(1+Inputs!$B$16/100)*(5000/(6000+Inputs!$B$42*(1-(Inputs!$B$19+0)/100)))*(1+(Inputs!$B$24+((C747=TRUE)*(F747-Calc!F26))+B757)/100)*(1+(IF(Skills!A13="EIGHT_LEGS_EASTON",Inputs!$B$17+((C744=TRUE)*(F744-Calc!F23))+((C748=TRUE)*(F748-Calc!F27)),Inputs!$B$18+0))/100)*((1+(((C738=TRUE)*F738)+((C745=TRUE)*(F745-Calc!F24)))/100)*I734)</f>
        <v/>
      </c>
      <c r="L734">
        <f>K734*(MIN(Inputs!$B$22+((C743=TRUE)*(F743-Calc!F22)),Inputs!$B$23+0)/100+(Inputs!$B$23+0)/100)/2</f>
        <v/>
      </c>
      <c r="M734">
        <f>L734*(1+(Inputs!$B$10+((C746=TRUE)*(F746-Calc!F25))+B756)/100)</f>
        <v/>
      </c>
      <c r="N734">
        <f>L734*(1-MIN((Inputs!$B$9+((C740=TRUE)*(F740-Calc!F19))+B751),100)/100)+M734*(MIN((Inputs!$B$9+((C740=TRUE)*(F740-Calc!F19))+B751),100)/100)</f>
        <v/>
      </c>
      <c r="O734">
        <f>(1-Summary!$B$55)*T734+Summary!$B$55*V734</f>
        <v/>
      </c>
      <c r="P734">
        <f>IF(B761=0,0,O734/B761)</f>
        <v/>
      </c>
      <c r="Q734">
        <f>IFERROR(1/IF(Inputs!$B$38="pvp",15,MAX(0.1,Skills!D13-IF(Skills!E13=TRUE,Inputs!$B$32,0))),0)</f>
        <v/>
      </c>
      <c r="R734">
        <f>IF(AND(Inputs!$B$38&lt;&gt;"pvp",Inputs!$B$43&gt;0),IF(MAX(0,Inputs!$B$43-B758)&lt;=0,0,(INT(MAX(0,Inputs!$B$43-B758)/IF(Inputs!$B$38="pvp",15,MAX(0.1,Skills!D13-IF(Skills!E13=TRUE,Inputs!$B$32,0))))+1)),0)</f>
        <v/>
      </c>
      <c r="S734">
        <f>IFERROR(O734/N734,0)</f>
        <v/>
      </c>
      <c r="T734">
        <f>IF(C734,(H734*N734*IF(AND(Inputs!$B$38&lt;&gt;"pvp",Inputs!$B$43&gt;0),((Skills!G13*((R734-1)*IF(Skills!H13&gt;0,Skills!I13/Skills!H13,1)+IF(Skills!H13&gt;0,MIN(Skills!I13,MAX(0,MAX(0,Inputs!$B$43-B758)-((R734-1)*IF(Inputs!$B$38="pvp",15,MAX(0.1,Skills!D13-IF(Skills!E13=TRUE,Inputs!$B$32,0))))))/Skills!H13,1)))/Inputs!$B$43),G734*Q734))*IF(Inputs!$B$38="pvp",1,1+(Inputs!$B$20+0+Skills!P13)/100),0)</f>
        <v/>
      </c>
      <c r="V734">
        <f>IF(C734,(H734*N734*IF(AND(Inputs!$B$38&lt;&gt;"pvp",Inputs!$B$43&gt;0),((Skills!G13*((R734-1)*IF(Skills!H13&gt;0,Skills!I13/Skills!H13,1)+IF(Skills!H13&gt;0,MIN(Skills!I13,MAX(0,MAX(0,Inputs!$B$43-B758)-((R734-1)*IF(Inputs!$B$38="pvp",15,MAX(0.1,Skills!D13-IF(Skills!E13=TRUE,Inputs!$B$32,0))))))/Skills!H13,1)))/Inputs!$B$43),G734*Q734))*IF(Inputs!$B$38="pvp",1,(1+(Inputs!$B$21+Skills!Q13)/100)*(MIN(Skills!R13,Inputs!$B$37))),0)</f>
        <v/>
      </c>
    </row>
    <row r="735">
      <c r="A735">
        <f>Skills!A14</f>
        <v/>
      </c>
      <c r="B735">
        <f>Skills!B14</f>
        <v/>
      </c>
      <c r="C735">
        <f>Inputs!$B$3&gt;=125</f>
        <v/>
      </c>
      <c r="D735">
        <f>IF(Skills!C14=1,60+(Inputs!$B$25+1)+Inputs!$B$29,IF(Skills!C14=2,90+Inputs!$B$26+Inputs!$B$29,IF(Skills!C14=3,120+Inputs!$B$27+Inputs!$B$29,MAX(0,(Inputs!$B$3-100)*3)+Inputs!$B$28+Inputs!$B$29)))</f>
        <v/>
      </c>
      <c r="E735">
        <f>INDEX(FactorTable!$B$2:$Y$301, MATCH(ROUND(MIN(300,MAX(1,D735)),0), FactorTable!$A$2:$A$301,0), Skills!M14+1)</f>
        <v/>
      </c>
      <c r="F735">
        <f>IF(Skills!N14=TRUE,(Skills!L14/10)*(E735/1000),Skills!L14/10)+Skills!O14</f>
        <v/>
      </c>
      <c r="G735">
        <f>Skills!G14*IF(Skills!H14&gt;0,Skills!I14/Skills!H14,1)</f>
        <v/>
      </c>
      <c r="H735">
        <f>1-(1-Skills!J14/100)^Skills!K14</f>
        <v/>
      </c>
      <c r="I735" t="inlineStr">
        <is>
          <t>1</t>
        </is>
      </c>
      <c r="J735">
        <f>((Inputs!$B$6*(1+Inputs!$B$7/100))+(((Inputs!$B$12*(1+Inputs!$B$13/100))-(Inputs!$B$12*(1+Inputs!$B$13/100)))+0.25*(Inputs!$B$14-Inputs!$B$14))*(1+Inputs!$B$7/100))*(F735/100)</f>
        <v/>
      </c>
      <c r="K735">
        <f>J735*(1+((Inputs!$B$12*(1+Inputs!$B$13/100))*0.01+Inputs!$B$14*0.0025)/100)*(1+Inputs!$B$15/100)*(1+Inputs!$B$16/100)*(5000/(6000+Inputs!$B$42*(1-(Inputs!$B$19+0)/100)))*(1+(Inputs!$B$24+((C747=TRUE)*(F747-Calc!F26))+B757)/100)*(1+(IF(Skills!A14="EIGHT_LEGS_EASTON",Inputs!$B$17+((C744=TRUE)*(F744-Calc!F23))+((C748=TRUE)*(F748-Calc!F27)),Inputs!$B$18+0))/100)*((1+(((C738=TRUE)*F738)+((C745=TRUE)*(F745-Calc!F24)))/100)*I735)</f>
        <v/>
      </c>
      <c r="L735">
        <f>K735*(MIN(Inputs!$B$22+((C743=TRUE)*(F743-Calc!F22)),Inputs!$B$23+0)/100+(Inputs!$B$23+0)/100)/2</f>
        <v/>
      </c>
      <c r="M735">
        <f>L735*(1+(Inputs!$B$10+((C746=TRUE)*(F746-Calc!F25))+B756)/100)</f>
        <v/>
      </c>
      <c r="N735">
        <f>L735*(1-MIN((Inputs!$B$9+((C740=TRUE)*(F740-Calc!F19))+B751),100)/100)+M735*(MIN((Inputs!$B$9+((C740=TRUE)*(F740-Calc!F19))+B751),100)/100)</f>
        <v/>
      </c>
      <c r="O735">
        <f>(1-Summary!$B$55)*T735+Summary!$B$55*V735</f>
        <v/>
      </c>
      <c r="P735">
        <f>IF(B761=0,0,O735/B761)</f>
        <v/>
      </c>
      <c r="Q735" t="n">
        <v>0</v>
      </c>
      <c r="R735" t="n">
        <v>0</v>
      </c>
      <c r="S735">
        <f>IFERROR(O735/N735,0)</f>
        <v/>
      </c>
      <c r="T735">
        <f>IF(C735,(H735*N735*(B755+IF(AND(Inputs!$B$38&lt;&gt;"pvp",Inputs!$B$43&gt;0),((Skills!G8*((R729-1)*IF(Skills!H8&gt;0,Skills!I8/Skills!H8,1)+IF(Skills!H8&gt;0,MIN(Skills!I8,MAX(0,MAX(0,Inputs!$B$43-B758)-((R729-1)*IF(Inputs!$B$38="pvp",15,MAX(0.1,Skills!D8-IF(Skills!E8=TRUE,Inputs!$B$32,0))))))/Skills!H8,1)))/Inputs!$B$43),G729*Q729)+IF(AND(Inputs!$B$38&lt;&gt;"pvp",Inputs!$B$43&gt;0),((Skills!G11*((R732-1)*IF(Skills!H11&gt;0,Skills!I11/Skills!H11,1)+IF(Skills!H11&gt;0,MIN(Skills!I11,MAX(0,MAX(0,Inputs!$B$43-B758)-((R732-1)*IF(Inputs!$B$38="pvp",15,MAX(0.1,Skills!D11-IF(Skills!E11=TRUE,Inputs!$B$32,0))))))/Skills!H11,1)))/Inputs!$B$43),G732*Q732)))*IF(Inputs!$B$38="pvp",1,1+(Inputs!$B$20+0+Skills!P14)/100),0)</f>
        <v/>
      </c>
      <c r="V735">
        <f>IF(C735,(H735*N735*(B755+IF(AND(Inputs!$B$38&lt;&gt;"pvp",Inputs!$B$43&gt;0),((Skills!G8*((R729-1)*IF(Skills!H8&gt;0,Skills!I8/Skills!H8,1)+IF(Skills!H8&gt;0,MIN(Skills!I8,MAX(0,MAX(0,Inputs!$B$43-B758)-((R729-1)*IF(Inputs!$B$38="pvp",15,MAX(0.1,Skills!D8-IF(Skills!E8=TRUE,Inputs!$B$32,0))))))/Skills!H8,1)))/Inputs!$B$43),G729*Q729)+IF(AND(Inputs!$B$38&lt;&gt;"pvp",Inputs!$B$43&gt;0),((Skills!G11*((R732-1)*IF(Skills!H11&gt;0,Skills!I11/Skills!H11,1)+IF(Skills!H11&gt;0,MIN(Skills!I11,MAX(0,MAX(0,Inputs!$B$43-B758)-((R732-1)*IF(Inputs!$B$38="pvp",15,MAX(0.1,Skills!D11-IF(Skills!E11=TRUE,Inputs!$B$32,0))))))/Skills!H11,1)))/Inputs!$B$43),G732*Q732)))*IF(Inputs!$B$38="pvp",1,(1+(Inputs!$B$21+Skills!Q14)/100)*(MIN(Skills!R14,Inputs!$B$37))),0)</f>
        <v/>
      </c>
    </row>
    <row r="736">
      <c r="A736">
        <f>Skills!A15</f>
        <v/>
      </c>
      <c r="B736">
        <f>Skills!B15</f>
        <v/>
      </c>
      <c r="C736">
        <f>Inputs!$B$3&gt;=100</f>
        <v/>
      </c>
      <c r="D736">
        <f>IF(Skills!C15=1,60+(Inputs!$B$25+1)+Inputs!$B$29,IF(Skills!C15=2,90+Inputs!$B$26+Inputs!$B$29,IF(Skills!C15=3,120+Inputs!$B$27+Inputs!$B$29,MAX(0,(Inputs!$B$3-100)*3)+Inputs!$B$28+Inputs!$B$29)))</f>
        <v/>
      </c>
      <c r="E736">
        <f>INDEX(FactorTable!$B$2:$Y$301, MATCH(ROUND(MIN(300,MAX(1,D736)),0), FactorTable!$A$2:$A$301,0), Skills!M15+1)</f>
        <v/>
      </c>
      <c r="F736">
        <f>IF(Skills!N15=TRUE,(Skills!L15/10)*(E736/1000),Skills!L15/10)+Skills!O15</f>
        <v/>
      </c>
      <c r="G736" t="inlineStr"/>
      <c r="H736" t="inlineStr"/>
      <c r="I736" t="inlineStr">
        <is>
          <t>1</t>
        </is>
      </c>
      <c r="J736" t="inlineStr"/>
      <c r="K736" t="inlineStr"/>
      <c r="L736" t="inlineStr"/>
      <c r="M736" t="inlineStr"/>
      <c r="N736" t="inlineStr"/>
      <c r="O736" t="inlineStr"/>
      <c r="P736" t="inlineStr"/>
      <c r="Q736" t="inlineStr"/>
      <c r="R736" t="inlineStr"/>
      <c r="S736" t="inlineStr"/>
    </row>
    <row r="737">
      <c r="A737">
        <f>Skills!A16</f>
        <v/>
      </c>
      <c r="B737">
        <f>Skills!B16</f>
        <v/>
      </c>
      <c r="C737">
        <f>Inputs!$B$3&gt;=120</f>
        <v/>
      </c>
      <c r="D737">
        <f>IF(Skills!C16=1,60+(Inputs!$B$25+1)+Inputs!$B$29,IF(Skills!C16=2,90+Inputs!$B$26+Inputs!$B$29,IF(Skills!C16=3,120+Inputs!$B$27+Inputs!$B$29,MAX(0,(Inputs!$B$3-100)*3)+Inputs!$B$28+Inputs!$B$29)))</f>
        <v/>
      </c>
      <c r="E737">
        <f>INDEX(FactorTable!$B$2:$Y$301, MATCH(ROUND(MIN(300,MAX(1,D737)),0), FactorTable!$A$2:$A$301,0), Skills!M16+1)</f>
        <v/>
      </c>
      <c r="F737">
        <f>IF(Skills!N16=TRUE,(Skills!L16/10)*(E737/1000),Skills!L16/10)+Skills!O16</f>
        <v/>
      </c>
      <c r="G737" t="inlineStr"/>
      <c r="H737" t="inlineStr"/>
      <c r="I737" t="inlineStr">
        <is>
          <t>1</t>
        </is>
      </c>
      <c r="J737" t="inlineStr"/>
      <c r="K737" t="inlineStr"/>
      <c r="L737" t="inlineStr"/>
      <c r="M737" t="inlineStr"/>
      <c r="N737" t="inlineStr"/>
      <c r="O737" t="inlineStr"/>
      <c r="P737" t="inlineStr"/>
      <c r="Q737" t="inlineStr"/>
      <c r="R737" t="inlineStr"/>
      <c r="S737" t="inlineStr"/>
    </row>
    <row r="738">
      <c r="A738">
        <f>Skills!A17</f>
        <v/>
      </c>
      <c r="B738">
        <f>Skills!B17</f>
        <v/>
      </c>
      <c r="C738">
        <f>Inputs!$B$3&gt;=66</f>
        <v/>
      </c>
      <c r="D738">
        <f>IF(Skills!C17=1,60+(Inputs!$B$25+1)+Inputs!$B$29,IF(Skills!C17=2,90+Inputs!$B$26+Inputs!$B$29,IF(Skills!C17=3,120+Inputs!$B$27+Inputs!$B$29,MAX(0,(Inputs!$B$3-100)*3)+Inputs!$B$28+Inputs!$B$29)))</f>
        <v/>
      </c>
      <c r="E738">
        <f>INDEX(FactorTable!$B$2:$Y$301, MATCH(ROUND(MIN(300,MAX(1,D738)),0), FactorTable!$A$2:$A$301,0), Skills!M17+1)</f>
        <v/>
      </c>
      <c r="F738">
        <f>IF(Skills!N17=TRUE,(Skills!L17/10)*(E738/1000),Skills!L17/10)+Skills!O17</f>
        <v/>
      </c>
      <c r="G738">
        <f>Skills!G17*IF(Skills!H17&gt;0,Skills!I17/Skills!H17,1)</f>
        <v/>
      </c>
      <c r="H738">
        <f>1-(1-Skills!J17/100)^Skills!K17</f>
        <v/>
      </c>
      <c r="I738" t="inlineStr">
        <is>
          <t>1</t>
        </is>
      </c>
      <c r="J738" t="inlineStr"/>
      <c r="K738" t="inlineStr"/>
      <c r="L738" t="inlineStr"/>
      <c r="M738" t="inlineStr"/>
      <c r="N738" t="inlineStr"/>
      <c r="O738">
        <f>(1-Summary!$B$55)*T738+Summary!$B$55*V738</f>
        <v/>
      </c>
      <c r="P738">
        <f>IF(B761=0,0,O738/B761)</f>
        <v/>
      </c>
      <c r="Q738" t="n">
        <v>0</v>
      </c>
      <c r="R738" t="n">
        <v>0</v>
      </c>
      <c r="S738">
        <f>IFERROR(O738/N738,0)</f>
        <v/>
      </c>
      <c r="T738" t="n">
        <v>0</v>
      </c>
      <c r="V738" t="n">
        <v>0</v>
      </c>
    </row>
    <row r="739">
      <c r="A739">
        <f>Skills!A18</f>
        <v/>
      </c>
      <c r="B739">
        <f>Skills!B18</f>
        <v/>
      </c>
      <c r="C739">
        <f>Inputs!$B$3&gt;=115</f>
        <v/>
      </c>
      <c r="D739">
        <f>IF(Skills!C18=1,60+(Inputs!$B$25+1)+Inputs!$B$29,IF(Skills!C18=2,90+Inputs!$B$26+Inputs!$B$29,IF(Skills!C18=3,120+Inputs!$B$27+Inputs!$B$29,MAX(0,(Inputs!$B$3-100)*3)+Inputs!$B$28+Inputs!$B$29)))</f>
        <v/>
      </c>
      <c r="E739">
        <f>INDEX(FactorTable!$B$2:$Y$301, MATCH(ROUND(MIN(300,MAX(1,D739)),0), FactorTable!$A$2:$A$301,0), Skills!M18+1)</f>
        <v/>
      </c>
      <c r="F739">
        <f>IF(Skills!N18=TRUE,(Skills!L18/10)*(E739/1000),Skills!L18/10)+Skills!O18</f>
        <v/>
      </c>
      <c r="G739">
        <f>Skills!G18*IF(Skills!H18&gt;0,Skills!I18/Skills!H18,1)</f>
        <v/>
      </c>
      <c r="H739">
        <f>1-(1-Skills!J18/100)^Skills!K18</f>
        <v/>
      </c>
      <c r="I739" t="inlineStr">
        <is>
          <t>1</t>
        </is>
      </c>
      <c r="J739" t="inlineStr"/>
      <c r="K739" t="inlineStr"/>
      <c r="L739" t="inlineStr"/>
      <c r="M739" t="inlineStr"/>
      <c r="N739" t="inlineStr"/>
      <c r="O739">
        <f>(1-Summary!$B$55)*T739+Summary!$B$55*V739</f>
        <v/>
      </c>
      <c r="P739">
        <f>IF(B761=0,0,O739/B761)</f>
        <v/>
      </c>
      <c r="Q739" t="n">
        <v>0</v>
      </c>
      <c r="R739" t="n">
        <v>0</v>
      </c>
      <c r="S739">
        <f>IFERROR(O739/N739,0)</f>
        <v/>
      </c>
      <c r="T739" t="n">
        <v>0</v>
      </c>
      <c r="V739" t="n">
        <v>0</v>
      </c>
    </row>
    <row r="740">
      <c r="A740">
        <f>Skills!A19</f>
        <v/>
      </c>
      <c r="B740">
        <f>Skills!B19</f>
        <v/>
      </c>
      <c r="C740">
        <f>Inputs!$B$3&gt;=15</f>
        <v/>
      </c>
      <c r="D740">
        <f>IF(Skills!C19=1,60+(Inputs!$B$25+1)+Inputs!$B$29,IF(Skills!C19=2,90+Inputs!$B$26+Inputs!$B$29,IF(Skills!C19=3,120+Inputs!$B$27+Inputs!$B$29,MAX(0,(Inputs!$B$3-100)*3)+Inputs!$B$28+Inputs!$B$29)))</f>
        <v/>
      </c>
      <c r="E740">
        <f>INDEX(FactorTable!$B$2:$Y$301, MATCH(ROUND(MIN(300,MAX(1,D740)),0), FactorTable!$A$2:$A$301,0), Skills!M19+1)</f>
        <v/>
      </c>
      <c r="F740">
        <f>IF(Skills!N19=TRUE,(Skills!L19/10)*(E740/1000),Skills!L19/10)+Skills!O19</f>
        <v/>
      </c>
      <c r="G740">
        <f>Skills!G19*IF(Skills!H19&gt;0,Skills!I19/Skills!H19,1)</f>
        <v/>
      </c>
      <c r="H740">
        <f>1-(1-Skills!J19/100)^Skills!K19</f>
        <v/>
      </c>
      <c r="I740" t="inlineStr">
        <is>
          <t>1</t>
        </is>
      </c>
      <c r="J740" t="inlineStr"/>
      <c r="K740" t="inlineStr"/>
      <c r="L740" t="inlineStr"/>
      <c r="M740" t="inlineStr"/>
      <c r="N740" t="inlineStr"/>
      <c r="O740">
        <f>(1-Summary!$B$55)*T740+Summary!$B$55*V740</f>
        <v/>
      </c>
      <c r="P740">
        <f>IF(B761=0,0,O740/B761)</f>
        <v/>
      </c>
      <c r="Q740" t="n">
        <v>0</v>
      </c>
      <c r="R740" t="n">
        <v>0</v>
      </c>
      <c r="S740">
        <f>IFERROR(O740/N740,0)</f>
        <v/>
      </c>
      <c r="T740" t="n">
        <v>0</v>
      </c>
      <c r="V740" t="n">
        <v>0</v>
      </c>
    </row>
    <row r="741">
      <c r="A741">
        <f>Skills!A20</f>
        <v/>
      </c>
      <c r="B741">
        <f>Skills!B20</f>
        <v/>
      </c>
      <c r="C741">
        <f>Inputs!$B$3&gt;=10</f>
        <v/>
      </c>
      <c r="D741">
        <f>IF(Skills!C20=1,60+(Inputs!$B$25+1)+Inputs!$B$29,IF(Skills!C20=2,90+Inputs!$B$26+Inputs!$B$29,IF(Skills!C20=3,120+Inputs!$B$27+Inputs!$B$29,MAX(0,(Inputs!$B$3-100)*3)+Inputs!$B$28+Inputs!$B$29)))</f>
        <v/>
      </c>
      <c r="E741">
        <f>INDEX(FactorTable!$B$2:$Y$301, MATCH(ROUND(MIN(300,MAX(1,D741)),0), FactorTable!$A$2:$A$301,0), Skills!M20+1)</f>
        <v/>
      </c>
      <c r="F741">
        <f>IF(Skills!N20=TRUE,(Skills!L20/10)*(E741/1000),Skills!L20/10)+Skills!O20</f>
        <v/>
      </c>
      <c r="G741">
        <f>Skills!G20*IF(Skills!H20&gt;0,Skills!I20/Skills!H20,1)</f>
        <v/>
      </c>
      <c r="H741">
        <f>1-(1-Skills!J20/100)^Skills!K20</f>
        <v/>
      </c>
      <c r="I741" t="inlineStr">
        <is>
          <t>1</t>
        </is>
      </c>
      <c r="J741" t="inlineStr"/>
      <c r="K741" t="inlineStr"/>
      <c r="L741" t="inlineStr"/>
      <c r="M741" t="inlineStr"/>
      <c r="N741" t="inlineStr"/>
      <c r="O741">
        <f>(1-Summary!$B$55)*T741+Summary!$B$55*V741</f>
        <v/>
      </c>
      <c r="P741">
        <f>IF(B761=0,0,O741/B761)</f>
        <v/>
      </c>
      <c r="Q741" t="n">
        <v>0</v>
      </c>
      <c r="R741" t="n">
        <v>0</v>
      </c>
      <c r="S741">
        <f>IFERROR(O741/N741,0)</f>
        <v/>
      </c>
      <c r="T741" t="n">
        <v>0</v>
      </c>
      <c r="V741" t="n">
        <v>0</v>
      </c>
    </row>
    <row r="742">
      <c r="A742">
        <f>Skills!A21</f>
        <v/>
      </c>
      <c r="B742">
        <f>Skills!B21</f>
        <v/>
      </c>
      <c r="C742">
        <f>Inputs!$B$3&gt;=33</f>
        <v/>
      </c>
      <c r="D742">
        <f>IF(Skills!C21=1,60+(Inputs!$B$25+1)+Inputs!$B$29,IF(Skills!C21=2,90+Inputs!$B$26+Inputs!$B$29,IF(Skills!C21=3,120+Inputs!$B$27+Inputs!$B$29,MAX(0,(Inputs!$B$3-100)*3)+Inputs!$B$28+Inputs!$B$29)))</f>
        <v/>
      </c>
      <c r="E742">
        <f>INDEX(FactorTable!$B$2:$Y$301, MATCH(ROUND(MIN(300,MAX(1,D742)),0), FactorTable!$A$2:$A$301,0), Skills!M21+1)</f>
        <v/>
      </c>
      <c r="F742">
        <f>IF(Skills!N21=TRUE,(Skills!L21/10)*(E742/1000),Skills!L21/10)+Skills!O21</f>
        <v/>
      </c>
      <c r="G742">
        <f>Skills!G21*IF(Skills!H21&gt;0,Skills!I21/Skills!H21,1)</f>
        <v/>
      </c>
      <c r="H742">
        <f>1-(1-Skills!J21/100)^Skills!K21</f>
        <v/>
      </c>
      <c r="I742" t="inlineStr">
        <is>
          <t>1</t>
        </is>
      </c>
      <c r="J742" t="inlineStr"/>
      <c r="K742" t="inlineStr"/>
      <c r="L742" t="inlineStr"/>
      <c r="M742" t="inlineStr"/>
      <c r="N742" t="inlineStr"/>
      <c r="O742">
        <f>(1-Summary!$B$55)*T742+Summary!$B$55*V742</f>
        <v/>
      </c>
      <c r="P742">
        <f>IF(B761=0,0,O742/B761)</f>
        <v/>
      </c>
      <c r="Q742" t="n">
        <v>0</v>
      </c>
      <c r="R742" t="n">
        <v>0</v>
      </c>
      <c r="S742">
        <f>IFERROR(O742/N742,0)</f>
        <v/>
      </c>
      <c r="T742" t="n">
        <v>0</v>
      </c>
      <c r="V742" t="n">
        <v>0</v>
      </c>
    </row>
    <row r="743">
      <c r="A743">
        <f>Skills!A22</f>
        <v/>
      </c>
      <c r="B743">
        <f>Skills!B22</f>
        <v/>
      </c>
      <c r="C743">
        <f>Inputs!$B$3&gt;=43</f>
        <v/>
      </c>
      <c r="D743">
        <f>IF(Skills!C22=1,60+(Inputs!$B$25+1)+Inputs!$B$29,IF(Skills!C22=2,90+Inputs!$B$26+Inputs!$B$29,IF(Skills!C22=3,120+Inputs!$B$27+Inputs!$B$29,MAX(0,(Inputs!$B$3-100)*3)+Inputs!$B$28+Inputs!$B$29)))</f>
        <v/>
      </c>
      <c r="E743">
        <f>INDEX(FactorTable!$B$2:$Y$301, MATCH(ROUND(MIN(300,MAX(1,D743)),0), FactorTable!$A$2:$A$301,0), Skills!M22+1)</f>
        <v/>
      </c>
      <c r="F743">
        <f>IF(Skills!N22=TRUE,(Skills!L22/10)*(E743/1000),Skills!L22/10)+Skills!O22</f>
        <v/>
      </c>
      <c r="G743">
        <f>Skills!G22*IF(Skills!H22&gt;0,Skills!I22/Skills!H22,1)</f>
        <v/>
      </c>
      <c r="H743">
        <f>1-(1-Skills!J22/100)^Skills!K22</f>
        <v/>
      </c>
      <c r="I743" t="inlineStr">
        <is>
          <t>1</t>
        </is>
      </c>
      <c r="J743" t="inlineStr"/>
      <c r="K743" t="inlineStr"/>
      <c r="L743" t="inlineStr"/>
      <c r="M743" t="inlineStr"/>
      <c r="N743" t="inlineStr"/>
      <c r="O743">
        <f>(1-Summary!$B$55)*T743+Summary!$B$55*V743</f>
        <v/>
      </c>
      <c r="P743">
        <f>IF(B761=0,0,O743/B761)</f>
        <v/>
      </c>
      <c r="Q743" t="n">
        <v>0</v>
      </c>
      <c r="R743" t="n">
        <v>0</v>
      </c>
      <c r="S743">
        <f>IFERROR(O743/N743,0)</f>
        <v/>
      </c>
      <c r="T743" t="n">
        <v>0</v>
      </c>
      <c r="V743" t="n">
        <v>0</v>
      </c>
    </row>
    <row r="744">
      <c r="A744">
        <f>Skills!A23</f>
        <v/>
      </c>
      <c r="B744">
        <f>Skills!B23</f>
        <v/>
      </c>
      <c r="C744">
        <f>Inputs!$B$3&gt;=38</f>
        <v/>
      </c>
      <c r="D744">
        <f>IF(Skills!C23=1,60+(Inputs!$B$25+1)+Inputs!$B$29,IF(Skills!C23=2,90+Inputs!$B$26+Inputs!$B$29,IF(Skills!C23=3,120+Inputs!$B$27+Inputs!$B$29,MAX(0,(Inputs!$B$3-100)*3)+Inputs!$B$28+Inputs!$B$29)))</f>
        <v/>
      </c>
      <c r="E744">
        <f>INDEX(FactorTable!$B$2:$Y$301, MATCH(ROUND(MIN(300,MAX(1,D744)),0), FactorTable!$A$2:$A$301,0), Skills!M23+1)</f>
        <v/>
      </c>
      <c r="F744">
        <f>IF(Skills!N23=TRUE,(Skills!L23/10)*(E744/1000),Skills!L23/10)+Skills!O23</f>
        <v/>
      </c>
      <c r="G744">
        <f>Skills!G23*IF(Skills!H23&gt;0,Skills!I23/Skills!H23,1)</f>
        <v/>
      </c>
      <c r="H744">
        <f>1-(1-Skills!J23/100)^Skills!K23</f>
        <v/>
      </c>
      <c r="I744" t="inlineStr">
        <is>
          <t>1</t>
        </is>
      </c>
      <c r="J744" t="inlineStr"/>
      <c r="K744" t="inlineStr"/>
      <c r="L744" t="inlineStr"/>
      <c r="M744" t="inlineStr"/>
      <c r="N744" t="inlineStr"/>
      <c r="O744">
        <f>(1-Summary!$B$55)*T744+Summary!$B$55*V744</f>
        <v/>
      </c>
      <c r="P744">
        <f>IF(B761=0,0,O744/B761)</f>
        <v/>
      </c>
      <c r="Q744" t="n">
        <v>0</v>
      </c>
      <c r="R744" t="n">
        <v>0</v>
      </c>
      <c r="S744">
        <f>IFERROR(O744/N744,0)</f>
        <v/>
      </c>
      <c r="T744" t="n">
        <v>0</v>
      </c>
      <c r="V744" t="n">
        <v>0</v>
      </c>
    </row>
    <row r="745">
      <c r="A745">
        <f>Skills!A24</f>
        <v/>
      </c>
      <c r="B745">
        <f>Skills!B24</f>
        <v/>
      </c>
      <c r="C745">
        <f>Inputs!$B$3&gt;=40</f>
        <v/>
      </c>
      <c r="D745">
        <f>IF(Skills!C24=1,60+(Inputs!$B$25+1)+Inputs!$B$29,IF(Skills!C24=2,90+Inputs!$B$26+Inputs!$B$29,IF(Skills!C24=3,120+Inputs!$B$27+Inputs!$B$29,MAX(0,(Inputs!$B$3-100)*3)+Inputs!$B$28+Inputs!$B$29)))</f>
        <v/>
      </c>
      <c r="E745">
        <f>INDEX(FactorTable!$B$2:$Y$301, MATCH(ROUND(MIN(300,MAX(1,D745)),0), FactorTable!$A$2:$A$301,0), Skills!M24+1)</f>
        <v/>
      </c>
      <c r="F745">
        <f>IF(Skills!N24=TRUE,(Skills!L24/10)*(E745/1000),Skills!L24/10)+Skills!O24</f>
        <v/>
      </c>
      <c r="G745">
        <f>Skills!G24*IF(Skills!H24&gt;0,Skills!I24/Skills!H24,1)</f>
        <v/>
      </c>
      <c r="H745">
        <f>1-(1-Skills!J24/100)^Skills!K24</f>
        <v/>
      </c>
      <c r="I745" t="inlineStr">
        <is>
          <t>1</t>
        </is>
      </c>
      <c r="J745" t="inlineStr"/>
      <c r="K745" t="inlineStr"/>
      <c r="L745" t="inlineStr"/>
      <c r="M745" t="inlineStr"/>
      <c r="N745" t="inlineStr"/>
      <c r="O745">
        <f>(1-Summary!$B$55)*T745+Summary!$B$55*V745</f>
        <v/>
      </c>
      <c r="P745">
        <f>IF(B761=0,0,O745/B761)</f>
        <v/>
      </c>
      <c r="Q745" t="n">
        <v>0</v>
      </c>
      <c r="R745" t="n">
        <v>0</v>
      </c>
      <c r="S745">
        <f>IFERROR(O745/N745,0)</f>
        <v/>
      </c>
      <c r="T745" t="n">
        <v>0</v>
      </c>
      <c r="V745" t="n">
        <v>0</v>
      </c>
    </row>
    <row r="746">
      <c r="A746">
        <f>Skills!A25</f>
        <v/>
      </c>
      <c r="B746">
        <f>Skills!B25</f>
        <v/>
      </c>
      <c r="C746">
        <f>Inputs!$B$3&gt;=72</f>
        <v/>
      </c>
      <c r="D746">
        <f>IF(Skills!C25=1,60+(Inputs!$B$25+1)+Inputs!$B$29,IF(Skills!C25=2,90+Inputs!$B$26+Inputs!$B$29,IF(Skills!C25=3,120+Inputs!$B$27+Inputs!$B$29,MAX(0,(Inputs!$B$3-100)*3)+Inputs!$B$28+Inputs!$B$29)))</f>
        <v/>
      </c>
      <c r="E746">
        <f>INDEX(FactorTable!$B$2:$Y$301, MATCH(ROUND(MIN(300,MAX(1,D746)),0), FactorTable!$A$2:$A$301,0), Skills!M25+1)</f>
        <v/>
      </c>
      <c r="F746">
        <f>IF(Skills!N25=TRUE,(Skills!L25/10)*(E746/1000),Skills!L25/10)+Skills!O25</f>
        <v/>
      </c>
      <c r="G746">
        <f>Skills!G25*IF(Skills!H25&gt;0,Skills!I25/Skills!H25,1)</f>
        <v/>
      </c>
      <c r="H746">
        <f>1-(1-Skills!J25/100)^Skills!K25</f>
        <v/>
      </c>
      <c r="I746" t="inlineStr">
        <is>
          <t>1</t>
        </is>
      </c>
      <c r="J746" t="inlineStr"/>
      <c r="K746" t="inlineStr"/>
      <c r="L746" t="inlineStr"/>
      <c r="M746" t="inlineStr"/>
      <c r="N746" t="inlineStr"/>
      <c r="O746">
        <f>(1-Summary!$B$55)*T746+Summary!$B$55*V746</f>
        <v/>
      </c>
      <c r="P746">
        <f>IF(B761=0,0,O746/B761)</f>
        <v/>
      </c>
      <c r="Q746" t="n">
        <v>0</v>
      </c>
      <c r="R746" t="n">
        <v>0</v>
      </c>
      <c r="S746">
        <f>IFERROR(O746/N746,0)</f>
        <v/>
      </c>
      <c r="T746" t="n">
        <v>0</v>
      </c>
      <c r="V746" t="n">
        <v>0</v>
      </c>
    </row>
    <row r="747">
      <c r="A747">
        <f>Skills!A26</f>
        <v/>
      </c>
      <c r="B747">
        <f>Skills!B26</f>
        <v/>
      </c>
      <c r="C747">
        <f>Inputs!$B$3&gt;=75</f>
        <v/>
      </c>
      <c r="D747">
        <f>IF(Skills!C26=1,60+(Inputs!$B$25+1)+Inputs!$B$29,IF(Skills!C26=2,90+Inputs!$B$26+Inputs!$B$29,IF(Skills!C26=3,120+Inputs!$B$27+Inputs!$B$29,MAX(0,(Inputs!$B$3-100)*3)+Inputs!$B$28+Inputs!$B$29)))</f>
        <v/>
      </c>
      <c r="E747">
        <f>INDEX(FactorTable!$B$2:$Y$301, MATCH(ROUND(MIN(300,MAX(1,D747)),0), FactorTable!$A$2:$A$301,0), Skills!M26+1)</f>
        <v/>
      </c>
      <c r="F747">
        <f>IF(Skills!N26=TRUE,(Skills!L26/10)*(E747/1000),Skills!L26/10)+Skills!O26</f>
        <v/>
      </c>
      <c r="G747">
        <f>Skills!G26*IF(Skills!H26&gt;0,Skills!I26/Skills!H26,1)</f>
        <v/>
      </c>
      <c r="H747">
        <f>1-(1-Skills!J26/100)^Skills!K26</f>
        <v/>
      </c>
      <c r="I747" t="inlineStr">
        <is>
          <t>1</t>
        </is>
      </c>
      <c r="J747" t="inlineStr"/>
      <c r="K747" t="inlineStr"/>
      <c r="L747" t="inlineStr"/>
      <c r="M747" t="inlineStr"/>
      <c r="N747" t="inlineStr"/>
      <c r="O747">
        <f>(1-Summary!$B$55)*T747+Summary!$B$55*V747</f>
        <v/>
      </c>
      <c r="P747">
        <f>IF(B761=0,0,O747/B761)</f>
        <v/>
      </c>
      <c r="Q747" t="n">
        <v>0</v>
      </c>
      <c r="R747" t="n">
        <v>0</v>
      </c>
      <c r="S747">
        <f>IFERROR(O747/N747,0)</f>
        <v/>
      </c>
      <c r="T747" t="n">
        <v>0</v>
      </c>
      <c r="V747" t="n">
        <v>0</v>
      </c>
    </row>
    <row r="748">
      <c r="A748">
        <f>Skills!A27</f>
        <v/>
      </c>
      <c r="B748">
        <f>Skills!B27</f>
        <v/>
      </c>
      <c r="C748">
        <f>Inputs!$B$3&gt;=117</f>
        <v/>
      </c>
      <c r="D748">
        <f>IF(Skills!C27=1,60+(Inputs!$B$25+1)+Inputs!$B$29,IF(Skills!C27=2,90+Inputs!$B$26+Inputs!$B$29,IF(Skills!C27=3,120+Inputs!$B$27+Inputs!$B$29,MAX(0,(Inputs!$B$3-100)*3)+Inputs!$B$28+Inputs!$B$29)))</f>
        <v/>
      </c>
      <c r="E748">
        <f>INDEX(FactorTable!$B$2:$Y$301, MATCH(ROUND(MIN(300,MAX(1,D748)),0), FactorTable!$A$2:$A$301,0), Skills!M27+1)</f>
        <v/>
      </c>
      <c r="F748">
        <f>IF(Skills!N27=TRUE,(Skills!L27/10)*(E748/1000),Skills!L27/10)+Skills!O27</f>
        <v/>
      </c>
      <c r="G748">
        <f>Skills!G27*IF(Skills!H27&gt;0,Skills!I27/Skills!H27,1)</f>
        <v/>
      </c>
      <c r="H748">
        <f>1-(1-Skills!J27/100)^Skills!K27</f>
        <v/>
      </c>
      <c r="I748" t="inlineStr">
        <is>
          <t>1</t>
        </is>
      </c>
      <c r="J748" t="inlineStr"/>
      <c r="K748" t="inlineStr"/>
      <c r="L748" t="inlineStr"/>
      <c r="M748" t="inlineStr"/>
      <c r="N748" t="inlineStr"/>
      <c r="O748">
        <f>(1-Summary!$B$55)*T748+Summary!$B$55*V748</f>
        <v/>
      </c>
      <c r="P748">
        <f>IF(B761=0,0,O748/B761)</f>
        <v/>
      </c>
      <c r="Q748" t="n">
        <v>0</v>
      </c>
      <c r="R748" t="n">
        <v>0</v>
      </c>
      <c r="S748">
        <f>IFERROR(O748/N748,0)</f>
        <v/>
      </c>
      <c r="T748" t="n">
        <v>0</v>
      </c>
      <c r="V748" t="n">
        <v>0</v>
      </c>
    </row>
    <row r="750">
      <c r="A750" t="inlineStr">
        <is>
          <t>Attack% Bucket Multiplier</t>
        </is>
      </c>
      <c r="B750">
        <f>(1+(((C738=TRUE)*F738)+((C745=TRUE)*(F745-Calc!F24)))/100)</f>
        <v/>
      </c>
    </row>
    <row r="751">
      <c r="A751" t="inlineStr">
        <is>
          <t>Global Crit Rate Bonus %</t>
        </is>
      </c>
      <c r="B751" t="n">
        <v>0</v>
      </c>
    </row>
    <row r="752">
      <c r="A752" t="inlineStr">
        <is>
          <t>Attack Speed Buff Bonus % (unused)</t>
        </is>
      </c>
      <c r="B752" t="n">
        <v>0</v>
      </c>
    </row>
    <row r="753">
      <c r="A753" t="inlineStr">
        <is>
          <t>Actions Per Second</t>
        </is>
      </c>
      <c r="B753">
        <f>1+MIN(150,150*(1-(1-(Inputs!$B$11+((C741=TRUE)*(F741-Calc!F20))+((C742=TRUE)*(F742-Calc!F21)))/150)*(1-B752/150)))/100</f>
        <v/>
      </c>
    </row>
    <row r="754">
      <c r="A754" t="inlineStr">
        <is>
          <t>Skill + Buff Cast Rate</t>
        </is>
      </c>
      <c r="B754">
        <f>IF(AND(Inputs!$B$38&lt;&gt;"pvp",Inputs!$B$43&gt;0),SUMPRODUCT((Skills!E2:E27=TRUE)*(C723:C748=TRUE)*R723:R748*Skills!F2:F27)/Inputs!$B$43,SUMPRODUCT((Skills!E2:E27=TRUE)*(C723:C748=TRUE)*Q723:Q748*Skills!F2:F27))</f>
        <v/>
      </c>
    </row>
    <row r="755">
      <c r="A755" t="inlineStr">
        <is>
          <t>Eight-Legs Easton Casts Per Second</t>
        </is>
      </c>
      <c r="B755">
        <f>MAX(0,B753-B754)</f>
        <v/>
      </c>
    </row>
    <row r="756">
      <c r="A756" t="inlineStr">
        <is>
          <t>Global Critical Damage Bonus % (unused)</t>
        </is>
      </c>
      <c r="B756" t="n">
        <v>0</v>
      </c>
    </row>
    <row r="757">
      <c r="A757" t="inlineStr">
        <is>
          <t>Global Final Damage Bonus % (Jolly Roger only)</t>
        </is>
      </c>
      <c r="B757">
        <f>((C739=TRUE)*F739)</f>
        <v/>
      </c>
    </row>
    <row r="758">
      <c r="A758" t="inlineStr">
        <is>
          <t>Buff-Casting Startup Delay (s, fixed-duration only)</t>
        </is>
      </c>
      <c r="B758">
        <f>IF(AND(Inputs!$B$38&lt;&gt;"pvp",Inputs!$B$43&gt;0),SUMPRODUCT((Skills!T2:T27&gt;0)*(Skills!E2:E27=TRUE)*(C723:C748=TRUE))/B753,0)</f>
        <v/>
      </c>
    </row>
    <row r="759">
      <c r="A759" t="inlineStr">
        <is>
          <t>Boss-Only Total DPS (this block's swept value)</t>
        </is>
      </c>
      <c r="B759">
        <f>SUM(T723:T748)</f>
        <v/>
      </c>
    </row>
    <row r="760">
      <c r="A760" t="inlineStr">
        <is>
          <t>Normal-Only Total DPS (this block's swept value)</t>
        </is>
      </c>
      <c r="B760">
        <f>SUM(V723:V748)</f>
        <v/>
      </c>
    </row>
    <row r="761">
      <c r="A761" s="5" t="inlineStr">
        <is>
          <t>TOTAL DPS</t>
        </is>
      </c>
      <c r="B761" s="5">
        <f>SUM(O723:O748)</f>
        <v/>
      </c>
    </row>
    <row r="764">
      <c r="A764" s="5" t="inlineStr">
        <is>
          <t>Stat: Skill Level Bonus — 2nd Job</t>
        </is>
      </c>
    </row>
    <row r="765">
      <c r="A765" s="9" t="inlineStr">
        <is>
          <t>Key</t>
        </is>
      </c>
      <c r="B765" s="9" t="inlineStr">
        <is>
          <t>Name</t>
        </is>
      </c>
      <c r="C765" s="9" t="inlineStr">
        <is>
          <t>Unlocked</t>
        </is>
      </c>
      <c r="D765" s="9" t="inlineStr">
        <is>
          <t>InputLevel</t>
        </is>
      </c>
      <c r="E765" s="9" t="inlineStr">
        <is>
          <t>Factor</t>
        </is>
      </c>
      <c r="F765" s="9" t="inlineStr">
        <is>
          <t>CoefficientPercent</t>
        </is>
      </c>
      <c r="G765" s="9" t="inlineStr">
        <is>
          <t>EffectiveHits</t>
        </is>
      </c>
      <c r="H765" s="9" t="inlineStr">
        <is>
          <t>ProcProbability</t>
        </is>
      </c>
      <c r="I765" s="9" t="inlineStr">
        <is>
          <t>MapleHeroMultiplier</t>
        </is>
      </c>
      <c r="J765" s="9" t="inlineStr">
        <is>
          <t>BaseDamage</t>
        </is>
      </c>
      <c r="K765" s="9" t="inlineStr">
        <is>
          <t>BaseHitDamage</t>
        </is>
      </c>
      <c r="L765" s="9" t="inlineStr">
        <is>
          <t>NonCritAvg</t>
        </is>
      </c>
      <c r="M765" s="9" t="inlineStr">
        <is>
          <t>CritAvg</t>
        </is>
      </c>
      <c r="N765" s="9" t="inlineStr">
        <is>
          <t>ExpectedDamage(perHit)</t>
        </is>
      </c>
      <c r="O765" s="9" t="inlineStr">
        <is>
          <t>DPS</t>
        </is>
      </c>
      <c r="P765" s="9" t="inlineStr">
        <is>
          <t>% of Total</t>
        </is>
      </c>
      <c r="Q765" s="9" t="inlineStr">
        <is>
          <t>InvCooldown</t>
        </is>
      </c>
      <c r="R765" s="9" t="inlineStr">
        <is>
          <t>CastsInFight</t>
        </is>
      </c>
      <c r="S765" s="9" t="inlineStr">
        <is>
          <t>HitRate(perSec)</t>
        </is>
      </c>
      <c r="U765" t="inlineStr">
        <is>
          <t>helpers</t>
        </is>
      </c>
    </row>
    <row r="766">
      <c r="A766">
        <f>Skills!A2</f>
        <v/>
      </c>
      <c r="B766">
        <f>Skills!B2</f>
        <v/>
      </c>
      <c r="C766">
        <f>Inputs!$B$3&gt;=100</f>
        <v/>
      </c>
      <c r="D766" t="inlineStr"/>
      <c r="E766" t="inlineStr"/>
      <c r="F766">
        <f>U768+Skills!O2</f>
        <v/>
      </c>
      <c r="G766">
        <f>Skills!G2*IF(Skills!H2&gt;0,Skills!I2/Skills!H2,1)</f>
        <v/>
      </c>
      <c r="H766">
        <f>1-(1-Skills!J2/100)^Skills!K2</f>
        <v/>
      </c>
      <c r="I766" t="inlineStr">
        <is>
          <t>1</t>
        </is>
      </c>
      <c r="J766">
        <f>((Inputs!$B$6*(1+Inputs!$B$7/100))+(((Inputs!$B$12*(1+Inputs!$B$13/100))-(Inputs!$B$12*(1+Inputs!$B$13/100)))+0.25*(Inputs!$B$14-Inputs!$B$14))*(1+Inputs!$B$7/100))*(F766/100)</f>
        <v/>
      </c>
      <c r="K766">
        <f>J766*(1+((Inputs!$B$12*(1+Inputs!$B$13/100))*0.01+Inputs!$B$14*0.0025)/100)*(1+Inputs!$B$15/100)*(1+Inputs!$B$16/100)*(5000/(6000+Inputs!$B$42*(1-(Inputs!$B$19+0)/100)))*(1+(Inputs!$B$24+((C790=TRUE)*(F790-Calc!F26))+B800)/100)*(1+(IF(Skills!A2="EIGHT_LEGS_EASTON",Inputs!$B$17+((C787=TRUE)*(F787-Calc!F23))+((C791=TRUE)*(F791-Calc!F27)),Inputs!$B$18+0))/100)*((1+(((C781=TRUE)*F781)+((C788=TRUE)*(F788-Calc!F24)))/100)*I766)</f>
        <v/>
      </c>
      <c r="L766">
        <f>K766*(MIN(Inputs!$B$22+((C786=TRUE)*(F786-Calc!F22)),Inputs!$B$23+0)/100+(Inputs!$B$23+0)/100)/2</f>
        <v/>
      </c>
      <c r="M766">
        <f>L766*(1+(Inputs!$B$10+((C789=TRUE)*(F789-Calc!F25))+B799)/100)</f>
        <v/>
      </c>
      <c r="N766">
        <f>L766*(1-MIN((Inputs!$B$9+((C783=TRUE)*(F783-Calc!F19))+B794),100)/100)+M766*(MIN((Inputs!$B$9+((C783=TRUE)*(F783-Calc!F19))+B794),100)/100)</f>
        <v/>
      </c>
      <c r="O766">
        <f>(1-Summary!$B$55)*T766+Summary!$B$55*V766</f>
        <v/>
      </c>
      <c r="P766">
        <f>IF(B804=0,0,O766/B804)</f>
        <v/>
      </c>
      <c r="Q766" t="n">
        <v>0</v>
      </c>
      <c r="R766" t="n">
        <v>0</v>
      </c>
      <c r="S766">
        <f>IFERROR(O766/N766,0)</f>
        <v/>
      </c>
      <c r="T766">
        <f>IF(C766,(Skills!G2*N766*B798)*IF(Inputs!$B$38="pvp",1,1+(Inputs!$B$20+0+Skills!P2)/100),0)</f>
        <v/>
      </c>
      <c r="U766">
        <f>MAX(0,(Inputs!$B$3-100)*3)+Inputs!$B$28+Inputs!$B$29</f>
        <v/>
      </c>
      <c r="V766">
        <f>IF(C766,(Skills!G2*N766*B798)*IF(Inputs!$B$38="pvp",1,(1+(Inputs!$B$21+Skills!Q2)/100)*(MIN((6+Inputs!$B$33),Inputs!$B$37))),0)</f>
        <v/>
      </c>
    </row>
    <row r="767">
      <c r="A767">
        <f>Skills!A3</f>
        <v/>
      </c>
      <c r="B767">
        <f>Skills!B3</f>
        <v/>
      </c>
      <c r="C767">
        <f>Inputs!$B$3&gt;=35</f>
        <v/>
      </c>
      <c r="D767">
        <f>IF(Skills!C3=1,60+Inputs!$B$25+Inputs!$B$29,IF(Skills!C3=2,90+(Inputs!$B$26+1)+Inputs!$B$29,IF(Skills!C3=3,120+Inputs!$B$27+Inputs!$B$29,MAX(0,(Inputs!$B$3-100)*3)+Inputs!$B$28+Inputs!$B$29)))</f>
        <v/>
      </c>
      <c r="E767">
        <f>INDEX(FactorTable!$B$2:$Y$301, MATCH(ROUND(MIN(300,MAX(1,D767)),0), FactorTable!$A$2:$A$301,0), Skills!M3+1)</f>
        <v/>
      </c>
      <c r="F767">
        <f>IF(Skills!N3=TRUE,(Skills!L3/10)*(E767/1000),Skills!L3/10)+Skills!O3</f>
        <v/>
      </c>
      <c r="G767">
        <f>Skills!G3*IF(Skills!H3&gt;0,Skills!I3/Skills!H3,1)</f>
        <v/>
      </c>
      <c r="H767">
        <f>1-(1-Skills!J3/100)^Skills!K3</f>
        <v/>
      </c>
      <c r="I767" t="inlineStr">
        <is>
          <t>1</t>
        </is>
      </c>
      <c r="J767">
        <f>((Inputs!$B$6*(1+Inputs!$B$7/100))+(((Inputs!$B$12*(1+Inputs!$B$13/100))-(Inputs!$B$12*(1+Inputs!$B$13/100)))+0.25*(Inputs!$B$14-Inputs!$B$14))*(1+Inputs!$B$7/100))*(F767/100)</f>
        <v/>
      </c>
      <c r="K767">
        <f>J767*(1+((Inputs!$B$12*(1+Inputs!$B$13/100))*0.01+Inputs!$B$14*0.0025)/100)*(1+Inputs!$B$15/100)*(1+Inputs!$B$16/100)*(5000/(6000+Inputs!$B$42*(1-(Inputs!$B$19+0)/100)))*(1+(Inputs!$B$24+((C790=TRUE)*(F790-Calc!F26))+B800)/100)*(1+4.0*IF(C779=TRUE,F779,0)/100)*(1+(IF(Skills!A3="EIGHT_LEGS_EASTON",Inputs!$B$17+((C787=TRUE)*(F787-Calc!F23))+((C791=TRUE)*(F791-Calc!F27)),Inputs!$B$18+0))/100)*((1+(((C781=TRUE)*F781)+((C788=TRUE)*(F788-Calc!F24)))/100)*I767)</f>
        <v/>
      </c>
      <c r="L767">
        <f>K767*(MIN(Inputs!$B$22+((C786=TRUE)*(F786-Calc!F22)),Inputs!$B$23+0)/100+(Inputs!$B$23+0)/100)/2</f>
        <v/>
      </c>
      <c r="M767">
        <f>L767*(1+(Inputs!$B$10+((C789=TRUE)*(F789-Calc!F25))+B799)/100)</f>
        <v/>
      </c>
      <c r="N767">
        <f>L767*(1-MIN((Inputs!$B$9+((C783=TRUE)*(F783-Calc!F19))+B794),100)/100)+M767*(MIN((Inputs!$B$9+((C783=TRUE)*(F783-Calc!F19))+B794),100)/100)</f>
        <v/>
      </c>
      <c r="O767">
        <f>(1-Summary!$B$55)*T767+Summary!$B$55*V767</f>
        <v/>
      </c>
      <c r="P767">
        <f>IF(B804=0,0,O767/B804)</f>
        <v/>
      </c>
      <c r="Q767">
        <f>IFERROR(1/IF(Inputs!$B$38="pvp",15,MAX(0.1,Skills!D3-IF(Skills!E3=TRUE,Inputs!$B$32,0))),0)</f>
        <v/>
      </c>
      <c r="R767">
        <f>IF(AND(Inputs!$B$38&lt;&gt;"pvp",Inputs!$B$43&gt;0),IF(MAX(0,Inputs!$B$43-B801)&lt;=0,0,(INT(MAX(0,Inputs!$B$43-B801)/IF(Inputs!$B$38="pvp",15,MAX(0.1,Skills!D3-IF(Skills!E3=TRUE,Inputs!$B$32,0))))+1)),0)</f>
        <v/>
      </c>
      <c r="S767">
        <f>IFERROR(O767/N767,0)</f>
        <v/>
      </c>
      <c r="T767">
        <f>IF(C767,(H767*N767*IF(AND(Inputs!$B$38&lt;&gt;"pvp",Inputs!$B$43&gt;0),((Skills!G3*((R767-1)*IF(Skills!H3&gt;0,Skills!I3/Skills!H3,1)+IF(Skills!H3&gt;0,MIN(Skills!I3,MAX(0,MAX(0,Inputs!$B$43-B801)-((R767-1)*IF(Inputs!$B$38="pvp",15,MAX(0.1,Skills!D3-IF(Skills!E3=TRUE,Inputs!$B$32,0))))))/Skills!H3,1)))/Inputs!$B$43),G767*Q767))*IF(Inputs!$B$38="pvp",1,1+(Inputs!$B$20+0+Skills!P3)/100),0)</f>
        <v/>
      </c>
      <c r="U767">
        <f>INDEX(FactorTable!$B$2:$Y$301, MATCH(ROUND(MIN(300,MAX(1,U766)),0), FactorTable!$A$2:$A$301,0), 22)</f>
        <v/>
      </c>
      <c r="V767">
        <f>IF(C767,(H767*N767*IF(AND(Inputs!$B$38&lt;&gt;"pvp",Inputs!$B$43&gt;0),((Skills!G3*((R767-1)*IF(Skills!H3&gt;0,Skills!I3/Skills!H3,1)+IF(Skills!H3&gt;0,MIN(Skills!I3,MAX(0,MAX(0,Inputs!$B$43-B801)-((R767-1)*IF(Inputs!$B$38="pvp",15,MAX(0.1,Skills!D3-IF(Skills!E3=TRUE,Inputs!$B$32,0))))))/Skills!H3,1)))/Inputs!$B$43),G767*Q767))*IF(Inputs!$B$38="pvp",1,(1+(Inputs!$B$21+Skills!Q3)/100)*(MIN(Skills!R3,Inputs!$B$37))),0)</f>
        <v/>
      </c>
    </row>
    <row r="768">
      <c r="A768">
        <f>Skills!A4</f>
        <v/>
      </c>
      <c r="B768">
        <f>Skills!B4</f>
        <v/>
      </c>
      <c r="C768">
        <f>Inputs!$B$3&gt;=40</f>
        <v/>
      </c>
      <c r="D768">
        <f>IF(Skills!C4=1,60+Inputs!$B$25+Inputs!$B$29,IF(Skills!C4=2,90+(Inputs!$B$26+1)+Inputs!$B$29,IF(Skills!C4=3,120+Inputs!$B$27+Inputs!$B$29,MAX(0,(Inputs!$B$3-100)*3)+Inputs!$B$28+Inputs!$B$29)))</f>
        <v/>
      </c>
      <c r="E768">
        <f>INDEX(FactorTable!$B$2:$Y$301, MATCH(ROUND(MIN(300,MAX(1,D768)),0), FactorTable!$A$2:$A$301,0), Skills!M4+1)</f>
        <v/>
      </c>
      <c r="F768">
        <f>IF(Skills!N4=TRUE,(Skills!L4/10)*(E768/1000),Skills!L4/10)+Skills!O4</f>
        <v/>
      </c>
      <c r="G768">
        <f>Skills!G4*IF(Skills!H4&gt;0,Skills!I4/Skills!H4,1)</f>
        <v/>
      </c>
      <c r="H768">
        <f>1-(1-Skills!J4/100)^Skills!K4</f>
        <v/>
      </c>
      <c r="I768" t="inlineStr">
        <is>
          <t>1</t>
        </is>
      </c>
      <c r="J768">
        <f>((Inputs!$B$6*(1+Inputs!$B$7/100))+(((Inputs!$B$12*(1+Inputs!$B$13/100))-(Inputs!$B$12*(1+Inputs!$B$13/100)))+0.25*(Inputs!$B$14-Inputs!$B$14))*(1+Inputs!$B$7/100))*(F768/100)</f>
        <v/>
      </c>
      <c r="K768">
        <f>J768*(1+((Inputs!$B$12*(1+Inputs!$B$13/100))*0.01+Inputs!$B$14*0.0025)/100)*(1+Inputs!$B$15/100)*(1+Inputs!$B$16/100)*(5000/(6000+Inputs!$B$42*(1-(Inputs!$B$19+0)/100)))*(1+(Inputs!$B$24+((C790=TRUE)*(F790-Calc!F26))+B800)/100)*(1+1.0*IF(C780=TRUE,F780,0)/100)*(1+(IF(Skills!A4="EIGHT_LEGS_EASTON",Inputs!$B$17+((C787=TRUE)*(F787-Calc!F23))+((C791=TRUE)*(F791-Calc!F27)),Inputs!$B$18+0))/100)*((1+(((C781=TRUE)*F781)+((C788=TRUE)*(F788-Calc!F24)))/100)*I768)</f>
        <v/>
      </c>
      <c r="L768">
        <f>K768*(MIN(Inputs!$B$22+((C786=TRUE)*(F786-Calc!F22)),Inputs!$B$23+0)/100+(Inputs!$B$23+0)/100)/2</f>
        <v/>
      </c>
      <c r="M768">
        <f>L768*(1+(Inputs!$B$10+((C789=TRUE)*(F789-Calc!F25))+B799)/100)</f>
        <v/>
      </c>
      <c r="N768">
        <f>L768*(1-MIN((Inputs!$B$9+((C783=TRUE)*(F783-Calc!F19))+B794),100)/100)+M768*(MIN((Inputs!$B$9+((C783=TRUE)*(F783-Calc!F19))+B794),100)/100)</f>
        <v/>
      </c>
      <c r="O768">
        <f>(1-Summary!$B$55)*T768+Summary!$B$55*V768</f>
        <v/>
      </c>
      <c r="P768">
        <f>IF(B804=0,0,O768/B804)</f>
        <v/>
      </c>
      <c r="Q768">
        <f>IFERROR(1/IF(Inputs!$B$38="pvp",15,MAX(0.1,Skills!D4-IF(Skills!E4=TRUE,Inputs!$B$32,0))),0)</f>
        <v/>
      </c>
      <c r="R768">
        <f>IF(AND(Inputs!$B$38&lt;&gt;"pvp",Inputs!$B$43&gt;0),IF(MAX(0,Inputs!$B$43-B801)&lt;=0,0,(INT(MAX(0,Inputs!$B$43-B801)/IF(Inputs!$B$38="pvp",15,MAX(0.1,Skills!D4-IF(Skills!E4=TRUE,Inputs!$B$32,0))))+1)),0)</f>
        <v/>
      </c>
      <c r="S768">
        <f>IFERROR(O768/N768,0)</f>
        <v/>
      </c>
      <c r="T768">
        <f>IF(C768,(H768*N768*IF(AND(Inputs!$B$38&lt;&gt;"pvp",Inputs!$B$43&gt;0),((Skills!G4*((R768-1)*IF(Skills!H4&gt;0,Skills!I4/Skills!H4,1)+IF(Skills!H4&gt;0,MIN(Skills!I4,MAX(0,MAX(0,Inputs!$B$43-B801)-((R768-1)*IF(Inputs!$B$38="pvp",15,MAX(0.1,Skills!D4-IF(Skills!E4=TRUE,Inputs!$B$32,0))))))/Skills!H4,1)))/Inputs!$B$43),G768*Q768))*IF(Inputs!$B$38="pvp",1,1+(Inputs!$B$20+0+Skills!P4)/100),0)</f>
        <v/>
      </c>
      <c r="U768">
        <f>290*U767/1000</f>
        <v/>
      </c>
      <c r="V768">
        <f>IF(C768,(H768*N768*IF(AND(Inputs!$B$38&lt;&gt;"pvp",Inputs!$B$43&gt;0),((Skills!G4*((R768-1)*IF(Skills!H4&gt;0,Skills!I4/Skills!H4,1)+IF(Skills!H4&gt;0,MIN(Skills!I4,MAX(0,MAX(0,Inputs!$B$43-B801)-((R768-1)*IF(Inputs!$B$38="pvp",15,MAX(0.1,Skills!D4-IF(Skills!E4=TRUE,Inputs!$B$32,0))))))/Skills!H4,1)))/Inputs!$B$43),G768*Q768))*IF(Inputs!$B$38="pvp",1,(1+(Inputs!$B$21+Skills!Q4)/100)*(MIN(Skills!R4,Inputs!$B$37))),0)</f>
        <v/>
      </c>
    </row>
    <row r="769">
      <c r="A769">
        <f>Skills!A5</f>
        <v/>
      </c>
      <c r="B769">
        <f>Skills!B5</f>
        <v/>
      </c>
      <c r="C769">
        <f>Inputs!$B$3&gt;=45</f>
        <v/>
      </c>
      <c r="D769">
        <f>IF(Skills!C5=1,60+Inputs!$B$25+Inputs!$B$29,IF(Skills!C5=2,90+(Inputs!$B$26+1)+Inputs!$B$29,IF(Skills!C5=3,120+Inputs!$B$27+Inputs!$B$29,MAX(0,(Inputs!$B$3-100)*3)+Inputs!$B$28+Inputs!$B$29)))</f>
        <v/>
      </c>
      <c r="E769">
        <f>INDEX(FactorTable!$B$2:$Y$301, MATCH(ROUND(MIN(300,MAX(1,D769)),0), FactorTable!$A$2:$A$301,0), Skills!M5+1)</f>
        <v/>
      </c>
      <c r="F769">
        <f>IF(Skills!N5=TRUE,(Skills!L5/10)*(E769/1000),Skills!L5/10)+Skills!O5</f>
        <v/>
      </c>
      <c r="G769">
        <f>Skills!G5*IF(Skills!H5&gt;0,Skills!I5/Skills!H5,1)</f>
        <v/>
      </c>
      <c r="H769">
        <f>1-(1-Skills!J5/100)^Skills!K5</f>
        <v/>
      </c>
      <c r="I769" t="inlineStr">
        <is>
          <t>1</t>
        </is>
      </c>
      <c r="J769">
        <f>((Inputs!$B$6*(1+Inputs!$B$7/100))+(((Inputs!$B$12*(1+Inputs!$B$13/100))-(Inputs!$B$12*(1+Inputs!$B$13/100)))+0.25*(Inputs!$B$14-Inputs!$B$14))*(1+Inputs!$B$7/100))*(F769/100)</f>
        <v/>
      </c>
      <c r="K769">
        <f>J769*(1+((Inputs!$B$12*(1+Inputs!$B$13/100))*0.01+Inputs!$B$14*0.0025)/100)*(1+Inputs!$B$15/100)*(1+Inputs!$B$16/100)*(5000/(6000+Inputs!$B$42*(1-(Inputs!$B$19+0)/100)))*(1+(Inputs!$B$24+((C790=TRUE)*(F790-Calc!F26))+B800)/100)*(1+0.4*IF(C780=TRUE,F780,0)/100)*(1+(IF(Skills!A5="EIGHT_LEGS_EASTON",Inputs!$B$17+((C787=TRUE)*(F787-Calc!F23))+((C791=TRUE)*(F791-Calc!F27)),Inputs!$B$18+0))/100)*((1+(((C781=TRUE)*F781)+((C788=TRUE)*(F788-Calc!F24)))/100)*I769)</f>
        <v/>
      </c>
      <c r="L769">
        <f>K769*(MIN(Inputs!$B$22+((C786=TRUE)*(F786-Calc!F22)),Inputs!$B$23+0)/100+(Inputs!$B$23+0)/100)/2</f>
        <v/>
      </c>
      <c r="M769">
        <f>L769*(1+(Inputs!$B$10+((C789=TRUE)*(F789-Calc!F25))+B799)/100)</f>
        <v/>
      </c>
      <c r="N769">
        <f>L769*(1-MIN((Inputs!$B$9+((C783=TRUE)*(F783-Calc!F19))+B794),100)/100)+M769*(MIN((Inputs!$B$9+((C783=TRUE)*(F783-Calc!F19))+B794),100)/100)</f>
        <v/>
      </c>
      <c r="O769">
        <f>(1-Summary!$B$55)*T769+Summary!$B$55*V769</f>
        <v/>
      </c>
      <c r="P769">
        <f>IF(B804=0,0,O769/B804)</f>
        <v/>
      </c>
      <c r="Q769">
        <f>IFERROR(1/IF(Inputs!$B$38="pvp",15,MAX(0.1,Skills!D5-IF(Skills!E5=TRUE,Inputs!$B$32,0))),0)</f>
        <v/>
      </c>
      <c r="R769">
        <f>IF(AND(Inputs!$B$38&lt;&gt;"pvp",Inputs!$B$43&gt;0),IF(MAX(0,Inputs!$B$43-B801)&lt;=0,0,(INT(MAX(0,Inputs!$B$43-B801)/IF(Inputs!$B$38="pvp",15,MAX(0.1,Skills!D5-IF(Skills!E5=TRUE,Inputs!$B$32,0))))+1)),0)</f>
        <v/>
      </c>
      <c r="S769">
        <f>IFERROR(O769/N769,0)</f>
        <v/>
      </c>
      <c r="T769">
        <f>IF(C769,(H769*N769*IF(AND(Inputs!$B$38&lt;&gt;"pvp",Inputs!$B$43&gt;0),((Skills!G5*((R769-1)*IF(Skills!H5&gt;0,Skills!I5/Skills!H5,1)+IF(Skills!H5&gt;0,MIN(Skills!I5,MAX(0,MAX(0,Inputs!$B$43-B801)-((R769-1)*IF(Inputs!$B$38="pvp",15,MAX(0.1,Skills!D5-IF(Skills!E5=TRUE,Inputs!$B$32,0))))))/Skills!H5,1)))/Inputs!$B$43),G769*Q769))*IF(Inputs!$B$38="pvp",1,1+(Inputs!$B$20+0+Skills!P5)/100),0)</f>
        <v/>
      </c>
      <c r="V769">
        <f>IF(C769,(H769*N769*IF(AND(Inputs!$B$38&lt;&gt;"pvp",Inputs!$B$43&gt;0),((Skills!G5*((R769-1)*IF(Skills!H5&gt;0,Skills!I5/Skills!H5,1)+IF(Skills!H5&gt;0,MIN(Skills!I5,MAX(0,MAX(0,Inputs!$B$43-B801)-((R769-1)*IF(Inputs!$B$38="pvp",15,MAX(0.1,Skills!D5-IF(Skills!E5=TRUE,Inputs!$B$32,0))))))/Skills!H5,1)))/Inputs!$B$43),G769*Q769))*IF(Inputs!$B$38="pvp",1,(1+(Inputs!$B$21+Skills!Q5)/100)*(MIN(Skills!R5,Inputs!$B$37))),0)</f>
        <v/>
      </c>
    </row>
    <row r="770">
      <c r="A770">
        <f>Skills!A6</f>
        <v/>
      </c>
      <c r="B770">
        <f>Skills!B6</f>
        <v/>
      </c>
      <c r="C770">
        <f>Inputs!$B$3&gt;=63</f>
        <v/>
      </c>
      <c r="D770">
        <f>IF(Skills!C6=1,60+Inputs!$B$25+Inputs!$B$29,IF(Skills!C6=2,90+(Inputs!$B$26+1)+Inputs!$B$29,IF(Skills!C6=3,120+Inputs!$B$27+Inputs!$B$29,MAX(0,(Inputs!$B$3-100)*3)+Inputs!$B$28+Inputs!$B$29)))</f>
        <v/>
      </c>
      <c r="E770">
        <f>INDEX(FactorTable!$B$2:$Y$301, MATCH(ROUND(MIN(300,MAX(1,D770)),0), FactorTable!$A$2:$A$301,0), Skills!M6+1)</f>
        <v/>
      </c>
      <c r="F770">
        <f>IF(Skills!N6=TRUE,(Skills!L6/10)*(E770/1000),Skills!L6/10)+Skills!O6</f>
        <v/>
      </c>
      <c r="G770">
        <f>Skills!G6*IF(Skills!H6&gt;0,Skills!I6/Skills!H6,1)</f>
        <v/>
      </c>
      <c r="H770">
        <f>1-(1-Skills!J6/100)^Skills!K6</f>
        <v/>
      </c>
      <c r="I770" t="inlineStr">
        <is>
          <t>1</t>
        </is>
      </c>
      <c r="J770">
        <f>((Inputs!$B$6*(1+Inputs!$B$7/100))+(((Inputs!$B$12*(1+Inputs!$B$13/100))-(Inputs!$B$12*(1+Inputs!$B$13/100)))+0.25*(Inputs!$B$14-Inputs!$B$14))*(1+Inputs!$B$7/100))*(F770/100)</f>
        <v/>
      </c>
      <c r="K770">
        <f>J770*(1+((Inputs!$B$12*(1+Inputs!$B$13/100))*0.01+Inputs!$B$14*0.0025)/100)*(1+Inputs!$B$15/100)*(1+Inputs!$B$16/100)*(5000/(6000+Inputs!$B$42*(1-(Inputs!$B$19+0)/100)))*(1+(Inputs!$B$24+((C790=TRUE)*(F790-Calc!F26))+B800)/100)*(1+2.0*IF(C779=TRUE,F779,0)/100)*(1+(IF(Skills!A6="EIGHT_LEGS_EASTON",Inputs!$B$17+((C787=TRUE)*(F787-Calc!F23))+((C791=TRUE)*(F791-Calc!F27)),Inputs!$B$18+0))/100)*((1+(((C781=TRUE)*F781)+((C788=TRUE)*(F788-Calc!F24)))/100)*I770)</f>
        <v/>
      </c>
      <c r="L770">
        <f>K770*(MIN(Inputs!$B$22+((C786=TRUE)*(F786-Calc!F22)),Inputs!$B$23+0)/100+(Inputs!$B$23+0)/100)/2</f>
        <v/>
      </c>
      <c r="M770">
        <f>L770*(1+(Inputs!$B$10+((C789=TRUE)*(F789-Calc!F25))+B799)/100)</f>
        <v/>
      </c>
      <c r="N770">
        <f>L770*(1-MIN((Inputs!$B$9+((C783=TRUE)*(F783-Calc!F19))+B794),100)/100)+M770*(MIN((Inputs!$B$9+((C783=TRUE)*(F783-Calc!F19))+B794),100)/100)</f>
        <v/>
      </c>
      <c r="O770">
        <f>(1-Summary!$B$55)*T770+Summary!$B$55*V770</f>
        <v/>
      </c>
      <c r="P770">
        <f>IF(B804=0,0,O770/B804)</f>
        <v/>
      </c>
      <c r="Q770">
        <f>IFERROR(1/IF(Inputs!$B$38="pvp",15,MAX(0.1,Skills!D6-IF(Skills!E6=TRUE,Inputs!$B$32,0))),0)</f>
        <v/>
      </c>
      <c r="R770">
        <f>IF(AND(Inputs!$B$38&lt;&gt;"pvp",Inputs!$B$43&gt;0),IF(MAX(0,Inputs!$B$43-B801)&lt;=0,0,(INT(MAX(0,Inputs!$B$43-B801)/IF(Inputs!$B$38="pvp",15,MAX(0.1,Skills!D6-IF(Skills!E6=TRUE,Inputs!$B$32,0))))+1)),0)</f>
        <v/>
      </c>
      <c r="S770">
        <f>IFERROR(O770/N770,0)</f>
        <v/>
      </c>
      <c r="T770">
        <f>IF(C770,(H770*N770*IF(AND(Inputs!$B$38&lt;&gt;"pvp",Inputs!$B$43&gt;0),((Skills!G6*((R770-1)*IF(Skills!H6&gt;0,Skills!I6/Skills!H6,1)+IF(Skills!H6&gt;0,MIN(Skills!I6,MAX(0,MAX(0,Inputs!$B$43-B801)-((R770-1)*IF(Inputs!$B$38="pvp",15,MAX(0.1,Skills!D6-IF(Skills!E6=TRUE,Inputs!$B$32,0))))))/Skills!H6,1)))/Inputs!$B$43),G770*Q770))*IF(Inputs!$B$38="pvp",1,1+(Inputs!$B$20+0+Skills!P6)/100),0)</f>
        <v/>
      </c>
      <c r="V770">
        <f>IF(C770,(H770*N770*IF(AND(Inputs!$B$38&lt;&gt;"pvp",Inputs!$B$43&gt;0),((Skills!G6*((R770-1)*IF(Skills!H6&gt;0,Skills!I6/Skills!H6,1)+IF(Skills!H6&gt;0,MIN(Skills!I6,MAX(0,MAX(0,Inputs!$B$43-B801)-((R770-1)*IF(Inputs!$B$38="pvp",15,MAX(0.1,Skills!D6-IF(Skills!E6=TRUE,Inputs!$B$32,0))))))/Skills!H6,1)))/Inputs!$B$43),G770*Q770))*IF(Inputs!$B$38="pvp",1,(1+(Inputs!$B$21+Skills!Q6)/100)*(MIN(Skills!R6,Inputs!$B$37))),0)</f>
        <v/>
      </c>
    </row>
    <row r="771">
      <c r="A771">
        <f>Skills!A7</f>
        <v/>
      </c>
      <c r="B771">
        <f>Skills!B7</f>
        <v/>
      </c>
      <c r="C771">
        <f>Inputs!$B$3&gt;=66</f>
        <v/>
      </c>
      <c r="D771">
        <f>IF(Skills!C7=1,60+Inputs!$B$25+Inputs!$B$29,IF(Skills!C7=2,90+(Inputs!$B$26+1)+Inputs!$B$29,IF(Skills!C7=3,120+Inputs!$B$27+Inputs!$B$29,MAX(0,(Inputs!$B$3-100)*3)+Inputs!$B$28+Inputs!$B$29)))</f>
        <v/>
      </c>
      <c r="E771">
        <f>INDEX(FactorTable!$B$2:$Y$301, MATCH(ROUND(MIN(300,MAX(1,D771)),0), FactorTable!$A$2:$A$301,0), Skills!M7+1)</f>
        <v/>
      </c>
      <c r="F771">
        <f>IF(Skills!N7=TRUE,(Skills!L7/10)*(E771/1000),Skills!L7/10)+Skills!O7</f>
        <v/>
      </c>
      <c r="G771">
        <f>Skills!G7*IF(Skills!H7&gt;0,Skills!I7/Skills!H7,1)</f>
        <v/>
      </c>
      <c r="H771">
        <f>1-(1-Skills!J7/100)^Skills!K7</f>
        <v/>
      </c>
      <c r="I771" t="inlineStr">
        <is>
          <t>1</t>
        </is>
      </c>
      <c r="J771">
        <f>((Inputs!$B$6*(1+Inputs!$B$7/100))+(((Inputs!$B$12*(1+Inputs!$B$13/100))-(Inputs!$B$12*(1+Inputs!$B$13/100)))+0.25*(Inputs!$B$14-Inputs!$B$14))*(1+Inputs!$B$7/100))*(F771/100)</f>
        <v/>
      </c>
      <c r="K771">
        <f>J771*(1+((Inputs!$B$12*(1+Inputs!$B$13/100))*0.01+Inputs!$B$14*0.0025)/100)*(1+Inputs!$B$15/100)*(1+Inputs!$B$16/100)*(5000/(6000+Inputs!$B$42*(1-(Inputs!$B$19+0)/100)))*(1+(Inputs!$B$24+((C790=TRUE)*(F790-Calc!F26))+B800)/100)*(1+1.0*IF(C779=TRUE,F779,0)/100)*(1+(IF(Skills!A7="EIGHT_LEGS_EASTON",Inputs!$B$17+((C787=TRUE)*(F787-Calc!F23))+((C791=TRUE)*(F791-Calc!F27)),Inputs!$B$18+0))/100)*((1+(((C781=TRUE)*F781)+((C788=TRUE)*(F788-Calc!F24)))/100)*I771)</f>
        <v/>
      </c>
      <c r="L771">
        <f>K771*(MIN(Inputs!$B$22+((C786=TRUE)*(F786-Calc!F22)),Inputs!$B$23+0)/100+(Inputs!$B$23+0)/100)/2</f>
        <v/>
      </c>
      <c r="M771">
        <f>L771*(1+(Inputs!$B$10+((C789=TRUE)*(F789-Calc!F25))+B799)/100)</f>
        <v/>
      </c>
      <c r="N771">
        <f>L771*(1-MIN((Inputs!$B$9+((C783=TRUE)*(F783-Calc!F19))+B794),100)/100)+M771*(MIN((Inputs!$B$9+((C783=TRUE)*(F783-Calc!F19))+B794),100)/100)</f>
        <v/>
      </c>
      <c r="O771">
        <f>(1-Summary!$B$55)*T771+Summary!$B$55*V771</f>
        <v/>
      </c>
      <c r="P771">
        <f>IF(B804=0,0,O771/B804)</f>
        <v/>
      </c>
      <c r="Q771">
        <f>IFERROR(1/IF(Inputs!$B$38="pvp",15,MAX(0.1,Skills!D7-IF(Skills!E7=TRUE,Inputs!$B$32,0))),0)</f>
        <v/>
      </c>
      <c r="R771">
        <f>IF(AND(Inputs!$B$38&lt;&gt;"pvp",Inputs!$B$43&gt;0),IF(MAX(0,Inputs!$B$43-B801)&lt;=0,0,(INT(MAX(0,Inputs!$B$43-B801)/IF(Inputs!$B$38="pvp",15,MAX(0.1,Skills!D7-IF(Skills!E7=TRUE,Inputs!$B$32,0))))+1)),0)</f>
        <v/>
      </c>
      <c r="S771">
        <f>IFERROR(O771/N771,0)</f>
        <v/>
      </c>
      <c r="T771">
        <f>IF(C771,(H771*N771*IF(AND(Inputs!$B$38&lt;&gt;"pvp",Inputs!$B$43&gt;0),((Skills!G7*((R771-1)*IF(Skills!H7&gt;0,Skills!I7/Skills!H7,1)+IF(Skills!H7&gt;0,MIN(Skills!I7,MAX(0,MAX(0,Inputs!$B$43-B801)-((R771-1)*IF(Inputs!$B$38="pvp",15,MAX(0.1,Skills!D7-IF(Skills!E7=TRUE,Inputs!$B$32,0))))))/Skills!H7,1)))/Inputs!$B$43),G771*Q771))*IF(Inputs!$B$38="pvp",1,1+(Inputs!$B$20+0+Skills!P7)/100),0)</f>
        <v/>
      </c>
      <c r="V771">
        <f>IF(C771,(H771*N771*IF(AND(Inputs!$B$38&lt;&gt;"pvp",Inputs!$B$43&gt;0),((Skills!G7*((R771-1)*IF(Skills!H7&gt;0,Skills!I7/Skills!H7,1)+IF(Skills!H7&gt;0,MIN(Skills!I7,MAX(0,MAX(0,Inputs!$B$43-B801)-((R771-1)*IF(Inputs!$B$38="pvp",15,MAX(0.1,Skills!D7-IF(Skills!E7=TRUE,Inputs!$B$32,0))))))/Skills!H7,1)))/Inputs!$B$43),G771*Q771))*IF(Inputs!$B$38="pvp",1,(1+(Inputs!$B$21+Skills!Q7)/100)*(MIN(Skills!R7,Inputs!$B$37))),0)</f>
        <v/>
      </c>
    </row>
    <row r="772">
      <c r="A772">
        <f>Skills!A8</f>
        <v/>
      </c>
      <c r="B772">
        <f>Skills!B8</f>
        <v/>
      </c>
      <c r="C772">
        <f>Inputs!$B$3&gt;=100</f>
        <v/>
      </c>
      <c r="D772">
        <f>IF(Skills!C8=1,60+Inputs!$B$25+Inputs!$B$29,IF(Skills!C8=2,90+(Inputs!$B$26+1)+Inputs!$B$29,IF(Skills!C8=3,120+Inputs!$B$27+Inputs!$B$29,MAX(0,(Inputs!$B$3-100)*3)+Inputs!$B$28+Inputs!$B$29)))</f>
        <v/>
      </c>
      <c r="E772">
        <f>INDEX(FactorTable!$B$2:$Y$301, MATCH(ROUND(MIN(300,MAX(1,D772)),0), FactorTable!$A$2:$A$301,0), Skills!M8+1)</f>
        <v/>
      </c>
      <c r="F772">
        <f>IF(Skills!N8=TRUE,(Skills!L8/10)*(E772/1000),Skills!L8/10)+Skills!O8</f>
        <v/>
      </c>
      <c r="G772">
        <f>Skills!G8*IF(Skills!H8&gt;0,Skills!I8/Skills!H8,1)</f>
        <v/>
      </c>
      <c r="H772">
        <f>1-(1-Skills!J8/100)^Skills!K8</f>
        <v/>
      </c>
      <c r="I772" t="inlineStr">
        <is>
          <t>1</t>
        </is>
      </c>
      <c r="J772">
        <f>((Inputs!$B$6*(1+Inputs!$B$7/100))+(((Inputs!$B$12*(1+Inputs!$B$13/100))-(Inputs!$B$12*(1+Inputs!$B$13/100)))+0.25*(Inputs!$B$14-Inputs!$B$14))*(1+Inputs!$B$7/100))*(F772/100)</f>
        <v/>
      </c>
      <c r="K772">
        <f>J772*(1+((Inputs!$B$12*(1+Inputs!$B$13/100))*0.01+Inputs!$B$14*0.0025)/100)*(1+Inputs!$B$15/100)*(1+Inputs!$B$16/100)*(5000/(6000+Inputs!$B$42*(1-(Inputs!$B$19+0)/100)))*(1+(Inputs!$B$24+((C790=TRUE)*(F790-Calc!F26))+B800)/100)*(1+(IF(Skills!A8="EIGHT_LEGS_EASTON",Inputs!$B$17+((C787=TRUE)*(F787-Calc!F23))+((C791=TRUE)*(F791-Calc!F27)),Inputs!$B$18+0))/100)*((1+(((C781=TRUE)*F781)+((C788=TRUE)*(F788-Calc!F24)))/100)*I772)</f>
        <v/>
      </c>
      <c r="L772">
        <f>K772*(MIN(Inputs!$B$22+((C786=TRUE)*(F786-Calc!F22)),Inputs!$B$23+0)/100+(Inputs!$B$23+0)/100)/2</f>
        <v/>
      </c>
      <c r="M772">
        <f>L772*(1+(Inputs!$B$10+((C789=TRUE)*(F789-Calc!F25))+B799)/100)</f>
        <v/>
      </c>
      <c r="N772">
        <f>L772*(1-MIN((Inputs!$B$9+((C783=TRUE)*(F783-Calc!F19))+B794),100)/100)+M772*(MIN((Inputs!$B$9+((C783=TRUE)*(F783-Calc!F19))+B794),100)/100)</f>
        <v/>
      </c>
      <c r="O772">
        <f>(1-Summary!$B$55)*T772+Summary!$B$55*V772</f>
        <v/>
      </c>
      <c r="P772">
        <f>IF(B804=0,0,O772/B804)</f>
        <v/>
      </c>
      <c r="Q772">
        <f>IFERROR(1/IF(Inputs!$B$38="pvp",15,MAX(0.1,Skills!D8-IF(Skills!E8=TRUE,Inputs!$B$32,0))),0)</f>
        <v/>
      </c>
      <c r="R772">
        <f>IF(AND(Inputs!$B$38&lt;&gt;"pvp",Inputs!$B$43&gt;0),IF(MAX(0,Inputs!$B$43-B801)&lt;=0,0,(INT(MAX(0,Inputs!$B$43-B801)/IF(Inputs!$B$38="pvp",15,MAX(0.1,Skills!D8-IF(Skills!E8=TRUE,Inputs!$B$32,0))))+1)),0)</f>
        <v/>
      </c>
      <c r="S772">
        <f>IFERROR(O772/N772,0)</f>
        <v/>
      </c>
      <c r="T772">
        <f>IF(C772,(H772*N772*IF(AND(Inputs!$B$38&lt;&gt;"pvp",Inputs!$B$43&gt;0),((Skills!G8*((R772-1)*IF(Skills!H8&gt;0,Skills!I8/Skills!H8,1)+IF(Skills!H8&gt;0,MIN(Skills!I8,MAX(0,MAX(0,Inputs!$B$43-B801)-((R772-1)*IF(Inputs!$B$38="pvp",15,MAX(0.1,Skills!D8-IF(Skills!E8=TRUE,Inputs!$B$32,0))))))/Skills!H8,1)))/Inputs!$B$43),G772*Q772))*IF(Inputs!$B$38="pvp",1,1+(Inputs!$B$20+0+Skills!P8)/100),0)</f>
        <v/>
      </c>
      <c r="V772">
        <f>IF(C772,(H772*N772*IF(AND(Inputs!$B$38&lt;&gt;"pvp",Inputs!$B$43&gt;0),((Skills!G8*((R772-1)*IF(Skills!H8&gt;0,Skills!I8/Skills!H8,1)+IF(Skills!H8&gt;0,MIN(Skills!I8,MAX(0,MAX(0,Inputs!$B$43-B801)-((R772-1)*IF(Inputs!$B$38="pvp",15,MAX(0.1,Skills!D8-IF(Skills!E8=TRUE,Inputs!$B$32,0))))))/Skills!H8,1)))/Inputs!$B$43),G772*Q772))*IF(Inputs!$B$38="pvp",1,(1+(Inputs!$B$21+Skills!Q8)/100)*(MIN(Skills!R8,Inputs!$B$37))),0)</f>
        <v/>
      </c>
    </row>
    <row r="773">
      <c r="A773">
        <f>Skills!A9</f>
        <v/>
      </c>
      <c r="B773">
        <f>Skills!B9</f>
        <v/>
      </c>
      <c r="C773">
        <f>Inputs!$B$3&gt;=103</f>
        <v/>
      </c>
      <c r="D773">
        <f>IF(Skills!C9=1,60+Inputs!$B$25+Inputs!$B$29,IF(Skills!C9=2,90+(Inputs!$B$26+1)+Inputs!$B$29,IF(Skills!C9=3,120+Inputs!$B$27+Inputs!$B$29,MAX(0,(Inputs!$B$3-100)*3)+Inputs!$B$28+Inputs!$B$29)))</f>
        <v/>
      </c>
      <c r="E773">
        <f>INDEX(FactorTable!$B$2:$Y$301, MATCH(ROUND(MIN(300,MAX(1,D773)),0), FactorTable!$A$2:$A$301,0), Skills!M9+1)</f>
        <v/>
      </c>
      <c r="F773">
        <f>IF(Skills!N9=TRUE,(Skills!L9/10)*(E773/1000),Skills!L9/10)+Skills!O9</f>
        <v/>
      </c>
      <c r="G773">
        <f>Skills!G9*IF(Skills!H9&gt;0,Skills!I9/Skills!H9,1)</f>
        <v/>
      </c>
      <c r="H773">
        <f>1-(1-Skills!J9/100)^Skills!K9</f>
        <v/>
      </c>
      <c r="I773" t="inlineStr">
        <is>
          <t>1</t>
        </is>
      </c>
      <c r="J773">
        <f>((Inputs!$B$6*(1+Inputs!$B$7/100))+(((Inputs!$B$12*(1+Inputs!$B$13/100))-(Inputs!$B$12*(1+Inputs!$B$13/100)))+0.25*(Inputs!$B$14-Inputs!$B$14))*(1+Inputs!$B$7/100))*(F773/100)</f>
        <v/>
      </c>
      <c r="K773">
        <f>J773*(1+((Inputs!$B$12*(1+Inputs!$B$13/100))*0.01+Inputs!$B$14*0.0025)/100)*(1+Inputs!$B$15/100)*(1+Inputs!$B$16/100)*(5000/(6000+Inputs!$B$42*(1-(Inputs!$B$19+0)/100)))*(1+(Inputs!$B$24+((C790=TRUE)*(F790-Calc!F26))+B800)/100)*(1+(IF(Skills!A9="EIGHT_LEGS_EASTON",Inputs!$B$17+((C787=TRUE)*(F787-Calc!F23))+((C791=TRUE)*(F791-Calc!F27)),Inputs!$B$18+0))/100)*((1+(((C781=TRUE)*F781)+((C788=TRUE)*(F788-Calc!F24)))/100)*I773)</f>
        <v/>
      </c>
      <c r="L773">
        <f>K773*(MIN(Inputs!$B$22+((C786=TRUE)*(F786-Calc!F22)),Inputs!$B$23+0)/100+(Inputs!$B$23+0)/100)/2</f>
        <v/>
      </c>
      <c r="M773">
        <f>L773*(1+(Inputs!$B$10+((C789=TRUE)*(F789-Calc!F25))+B799)/100)</f>
        <v/>
      </c>
      <c r="N773">
        <f>L773*(1-MIN((Inputs!$B$9+((C783=TRUE)*(F783-Calc!F19))+B794),100)/100)+M773*(MIN((Inputs!$B$9+((C783=TRUE)*(F783-Calc!F19))+B794),100)/100)</f>
        <v/>
      </c>
      <c r="O773">
        <f>(1-Summary!$B$55)*T773+Summary!$B$55*V773</f>
        <v/>
      </c>
      <c r="P773">
        <f>IF(B804=0,0,O773/B804)</f>
        <v/>
      </c>
      <c r="Q773">
        <f>IFERROR(1/IF(Inputs!$B$38="pvp",15,MAX(0.1,Skills!D9-IF(Skills!E9=TRUE,Inputs!$B$32,0))),0)</f>
        <v/>
      </c>
      <c r="R773">
        <f>IF(AND(Inputs!$B$38&lt;&gt;"pvp",Inputs!$B$43&gt;0),IF(MAX(0,Inputs!$B$43-B801)&lt;=0,0,(INT(MAX(0,Inputs!$B$43-B801)/IF(Inputs!$B$38="pvp",15,MAX(0.1,Skills!D9-IF(Skills!E9=TRUE,Inputs!$B$32,0))))+1)),0)</f>
        <v/>
      </c>
      <c r="S773">
        <f>IFERROR(O773/N773,0)</f>
        <v/>
      </c>
      <c r="T773">
        <f>IF(C773,(H773*N773*IF(AND(Inputs!$B$38&lt;&gt;"pvp",Inputs!$B$43&gt;0),((Skills!G9*((R773-1)*IF(Skills!H9&gt;0,Skills!I9/Skills!H9,1)+IF(Skills!H9&gt;0,MIN(Skills!I9,MAX(0,MAX(0,Inputs!$B$43-B801)-((R773-1)*IF(Inputs!$B$38="pvp",15,MAX(0.1,Skills!D9-IF(Skills!E9=TRUE,Inputs!$B$32,0))))))/Skills!H9,1)))/Inputs!$B$43),G773*Q773))*IF(Inputs!$B$38="pvp",1,1+(Inputs!$B$20+0+Skills!P9)/100),0)</f>
        <v/>
      </c>
      <c r="V773">
        <f>IF(C773,(H773*N773*IF(AND(Inputs!$B$38&lt;&gt;"pvp",Inputs!$B$43&gt;0),((Skills!G9*((R773-1)*IF(Skills!H9&gt;0,Skills!I9/Skills!H9,1)+IF(Skills!H9&gt;0,MIN(Skills!I9,MAX(0,MAX(0,Inputs!$B$43-B801)-((R773-1)*IF(Inputs!$B$38="pvp",15,MAX(0.1,Skills!D9-IF(Skills!E9=TRUE,Inputs!$B$32,0))))))/Skills!H9,1)))/Inputs!$B$43),G773*Q773))*IF(Inputs!$B$38="pvp",1,(1+(Inputs!$B$21+Skills!Q9)/100)*(MIN(Skills!R9,Inputs!$B$37))),0)</f>
        <v/>
      </c>
    </row>
    <row r="774">
      <c r="A774">
        <f>Skills!A10</f>
        <v/>
      </c>
      <c r="B774">
        <f>Skills!B10</f>
        <v/>
      </c>
      <c r="C774">
        <f>Inputs!$B$3&gt;=113</f>
        <v/>
      </c>
      <c r="D774">
        <f>IF(Skills!C10=1,60+Inputs!$B$25+Inputs!$B$29,IF(Skills!C10=2,90+(Inputs!$B$26+1)+Inputs!$B$29,IF(Skills!C10=3,120+Inputs!$B$27+Inputs!$B$29,MAX(0,(Inputs!$B$3-100)*3)+Inputs!$B$28+Inputs!$B$29)))</f>
        <v/>
      </c>
      <c r="E774">
        <f>INDEX(FactorTable!$B$2:$Y$301, MATCH(ROUND(MIN(300,MAX(1,D774)),0), FactorTable!$A$2:$A$301,0), Skills!M10+1)</f>
        <v/>
      </c>
      <c r="F774">
        <f>IF(Skills!N10=TRUE,(Skills!L10/10)*(E774/1000),Skills!L10/10)+Skills!O10</f>
        <v/>
      </c>
      <c r="G774">
        <f>Skills!G10*IF(Skills!H10&gt;0,Skills!I10/Skills!H10,1)</f>
        <v/>
      </c>
      <c r="H774">
        <f>1-(1-Skills!J10/100)^Skills!K10</f>
        <v/>
      </c>
      <c r="I774" t="inlineStr">
        <is>
          <t>1</t>
        </is>
      </c>
      <c r="J774">
        <f>((Inputs!$B$6*(1+Inputs!$B$7/100))+(((Inputs!$B$12*(1+Inputs!$B$13/100))-(Inputs!$B$12*(1+Inputs!$B$13/100)))+0.25*(Inputs!$B$14-Inputs!$B$14))*(1+Inputs!$B$7/100))*(F774/100)</f>
        <v/>
      </c>
      <c r="K774">
        <f>J774*(1+((Inputs!$B$12*(1+Inputs!$B$13/100))*0.01+Inputs!$B$14*0.0025)/100)*(1+Inputs!$B$15/100)*(1+Inputs!$B$16/100)*(5000/(6000+Inputs!$B$42*(1-(Inputs!$B$19+0)/100)))*(1+(Inputs!$B$24+((C790=TRUE)*(F790-Calc!F26))+B800)/100)*(1+(IF(Skills!A10="EIGHT_LEGS_EASTON",Inputs!$B$17+((C787=TRUE)*(F787-Calc!F23))+((C791=TRUE)*(F791-Calc!F27)),Inputs!$B$18+0))/100)*((1+(((C781=TRUE)*F781)+((C788=TRUE)*(F788-Calc!F24)))/100)*I774)</f>
        <v/>
      </c>
      <c r="L774">
        <f>K774*(MIN(Inputs!$B$22+((C786=TRUE)*(F786-Calc!F22)),Inputs!$B$23+0)/100+(Inputs!$B$23+0)/100)/2</f>
        <v/>
      </c>
      <c r="M774">
        <f>L774*(1+(Inputs!$B$10+((C789=TRUE)*(F789-Calc!F25))+B799)/100)</f>
        <v/>
      </c>
      <c r="N774">
        <f>L774*(1-MIN((Inputs!$B$9+((C783=TRUE)*(F783-Calc!F19))+B794),100)/100)+M774*(MIN((Inputs!$B$9+((C783=TRUE)*(F783-Calc!F19))+B794),100)/100)</f>
        <v/>
      </c>
      <c r="O774">
        <f>(1-Summary!$B$55)*T774+Summary!$B$55*V774</f>
        <v/>
      </c>
      <c r="P774">
        <f>IF(B804=0,0,O774/B804)</f>
        <v/>
      </c>
      <c r="Q774">
        <f>IFERROR(1/IF(Inputs!$B$38="pvp",15,MAX(0.1,Skills!D10-IF(Skills!E10=TRUE,Inputs!$B$32,0))),0)</f>
        <v/>
      </c>
      <c r="R774">
        <f>IF(AND(Inputs!$B$38&lt;&gt;"pvp",Inputs!$B$43&gt;0),IF(MAX(0,Inputs!$B$43-B801)&lt;=0,0,(INT(MAX(0,Inputs!$B$43-B801)/IF(Inputs!$B$38="pvp",15,MAX(0.1,Skills!D10-IF(Skills!E10=TRUE,Inputs!$B$32,0))))+1)),0)</f>
        <v/>
      </c>
      <c r="S774">
        <f>IFERROR(O774/N774,0)</f>
        <v/>
      </c>
      <c r="T774">
        <f>IF(C774,(H774*N774*IF(AND(Inputs!$B$38&lt;&gt;"pvp",Inputs!$B$43&gt;0),((Skills!G10*((R774-1)*IF(Skills!H10&gt;0,Skills!I10/Skills!H10,1)+IF(Skills!H10&gt;0,MIN(Skills!I10,MAX(0,MAX(0,Inputs!$B$43-B801)-((R774-1)*IF(Inputs!$B$38="pvp",15,MAX(0.1,Skills!D10-IF(Skills!E10=TRUE,Inputs!$B$32,0))))))/Skills!H10,1)))/Inputs!$B$43),G774*Q774))*IF(Inputs!$B$38="pvp",1,1+(Inputs!$B$20+0+Skills!P10)/100),0)</f>
        <v/>
      </c>
      <c r="V774">
        <f>IF(C774,(H774*N774*IF(AND(Inputs!$B$38&lt;&gt;"pvp",Inputs!$B$43&gt;0),((Skills!G10*((R774-1)*IF(Skills!H10&gt;0,Skills!I10/Skills!H10,1)+IF(Skills!H10&gt;0,MIN(Skills!I10,MAX(0,MAX(0,Inputs!$B$43-B801)-((R774-1)*IF(Inputs!$B$38="pvp",15,MAX(0.1,Skills!D10-IF(Skills!E10=TRUE,Inputs!$B$32,0))))))/Skills!H10,1)))/Inputs!$B$43),G774*Q774))*IF(Inputs!$B$38="pvp",1,(1+(Inputs!$B$21+Skills!Q10)/100)*(MIN(Skills!R10,Inputs!$B$37))),0)</f>
        <v/>
      </c>
    </row>
    <row r="775">
      <c r="A775">
        <f>Skills!A11</f>
        <v/>
      </c>
      <c r="B775">
        <f>Skills!B11</f>
        <v/>
      </c>
      <c r="C775">
        <f>Inputs!$B$3&gt;=107</f>
        <v/>
      </c>
      <c r="D775">
        <f>IF(Skills!C11=1,60+Inputs!$B$25+Inputs!$B$29,IF(Skills!C11=2,90+(Inputs!$B$26+1)+Inputs!$B$29,IF(Skills!C11=3,120+Inputs!$B$27+Inputs!$B$29,MAX(0,(Inputs!$B$3-100)*3)+Inputs!$B$28+Inputs!$B$29)))</f>
        <v/>
      </c>
      <c r="E775">
        <f>INDEX(FactorTable!$B$2:$Y$301, MATCH(ROUND(MIN(300,MAX(1,D775)),0), FactorTable!$A$2:$A$301,0), Skills!M11+1)</f>
        <v/>
      </c>
      <c r="F775">
        <f>IF(Skills!N11=TRUE,(Skills!L11/10)*(E775/1000),Skills!L11/10)+Skills!O11</f>
        <v/>
      </c>
      <c r="G775">
        <f>Skills!G11*IF(Skills!H11&gt;0,Skills!I11/Skills!H11,1)</f>
        <v/>
      </c>
      <c r="H775">
        <f>1-(1-Skills!J11/100)^Skills!K11</f>
        <v/>
      </c>
      <c r="I775" t="inlineStr">
        <is>
          <t>1</t>
        </is>
      </c>
      <c r="J775">
        <f>((Inputs!$B$6*(1+Inputs!$B$7/100))+(((Inputs!$B$12*(1+Inputs!$B$13/100))-(Inputs!$B$12*(1+Inputs!$B$13/100)))+0.25*(Inputs!$B$14-Inputs!$B$14))*(1+Inputs!$B$7/100))*(F775/100)</f>
        <v/>
      </c>
      <c r="K775">
        <f>J775*(1+((Inputs!$B$12*(1+Inputs!$B$13/100))*0.01+Inputs!$B$14*0.0025)/100)*(1+Inputs!$B$15/100)*(1+Inputs!$B$16/100)*(5000/(6000+Inputs!$B$42*(1-(Inputs!$B$19+0)/100)))*(1+(Inputs!$B$24+((C790=TRUE)*(F790-Calc!F26))+B800)/100)*(1+(IF(Skills!A11="EIGHT_LEGS_EASTON",Inputs!$B$17+((C787=TRUE)*(F787-Calc!F23))+((C791=TRUE)*(F791-Calc!F27)),Inputs!$B$18+0))/100)*((1+(((C781=TRUE)*F781)+((C788=TRUE)*(F788-Calc!F24)))/100)*I775)</f>
        <v/>
      </c>
      <c r="L775">
        <f>K775*(MIN(Inputs!$B$22+((C786=TRUE)*(F786-Calc!F22)),Inputs!$B$23+0)/100+(Inputs!$B$23+0)/100)/2</f>
        <v/>
      </c>
      <c r="M775">
        <f>L775*(1+(Inputs!$B$10+((C789=TRUE)*(F789-Calc!F25))+B799)/100)</f>
        <v/>
      </c>
      <c r="N775">
        <f>L775*(1-MIN((Inputs!$B$9+((C783=TRUE)*(F783-Calc!F19))+B794),100)/100)+M775*(MIN((Inputs!$B$9+((C783=TRUE)*(F783-Calc!F19))+B794),100)/100)</f>
        <v/>
      </c>
      <c r="O775">
        <f>(1-Summary!$B$55)*T775+Summary!$B$55*V775</f>
        <v/>
      </c>
      <c r="P775">
        <f>IF(B804=0,0,O775/B804)</f>
        <v/>
      </c>
      <c r="Q775">
        <f>IFERROR(1/IF(Inputs!$B$38="pvp",15,MAX(0.1,Skills!D11-IF(Skills!E11=TRUE,Inputs!$B$32,0))),0)</f>
        <v/>
      </c>
      <c r="R775">
        <f>IF(AND(Inputs!$B$38&lt;&gt;"pvp",Inputs!$B$43&gt;0),IF(MAX(0,Inputs!$B$43-B801)&lt;=0,0,(INT(MAX(0,Inputs!$B$43-B801)/IF(Inputs!$B$38="pvp",15,MAX(0.1,Skills!D11-IF(Skills!E11=TRUE,Inputs!$B$32,0))))+1)),0)</f>
        <v/>
      </c>
      <c r="S775">
        <f>IFERROR(O775/N775,0)</f>
        <v/>
      </c>
      <c r="T775">
        <f>IF(C775,(H775*N775*IF(AND(Inputs!$B$38&lt;&gt;"pvp",Inputs!$B$43&gt;0),((Skills!G11*((R775-1)*IF(Skills!H11&gt;0,Skills!I11/Skills!H11,1)+IF(Skills!H11&gt;0,MIN(Skills!I11,MAX(0,MAX(0,Inputs!$B$43-B801)-((R775-1)*IF(Inputs!$B$38="pvp",15,MAX(0.1,Skills!D11-IF(Skills!E11=TRUE,Inputs!$B$32,0))))))/Skills!H11,1)))/Inputs!$B$43),G775*Q775))*IF(Inputs!$B$38="pvp",1,1+(Inputs!$B$20+0+Skills!P11)/100),0)</f>
        <v/>
      </c>
      <c r="V775">
        <f>IF(C775,(H775*N775*IF(AND(Inputs!$B$38&lt;&gt;"pvp",Inputs!$B$43&gt;0),((Skills!G11*((R775-1)*IF(Skills!H11&gt;0,Skills!I11/Skills!H11,1)+IF(Skills!H11&gt;0,MIN(Skills!I11,MAX(0,MAX(0,Inputs!$B$43-B801)-((R775-1)*IF(Inputs!$B$38="pvp",15,MAX(0.1,Skills!D11-IF(Skills!E11=TRUE,Inputs!$B$32,0))))))/Skills!H11,1)))/Inputs!$B$43),G775*Q775))*IF(Inputs!$B$38="pvp",1,(1+(Inputs!$B$21+Skills!Q11)/100)*(MIN(Skills!R11,Inputs!$B$37))),0)</f>
        <v/>
      </c>
    </row>
    <row r="776">
      <c r="A776">
        <f>Skills!A12</f>
        <v/>
      </c>
      <c r="B776">
        <f>Skills!B12</f>
        <v/>
      </c>
      <c r="C776">
        <f>Inputs!$B$3&gt;=110</f>
        <v/>
      </c>
      <c r="D776">
        <f>IF(Skills!C12=1,60+Inputs!$B$25+Inputs!$B$29,IF(Skills!C12=2,90+(Inputs!$B$26+1)+Inputs!$B$29,IF(Skills!C12=3,120+Inputs!$B$27+Inputs!$B$29,MAX(0,(Inputs!$B$3-100)*3)+Inputs!$B$28+Inputs!$B$29)))</f>
        <v/>
      </c>
      <c r="E776">
        <f>INDEX(FactorTable!$B$2:$Y$301, MATCH(ROUND(MIN(300,MAX(1,D776)),0), FactorTable!$A$2:$A$301,0), Skills!M12+1)</f>
        <v/>
      </c>
      <c r="F776">
        <f>IF(Skills!N12=TRUE,(Skills!L12/10)*(E776/1000),Skills!L12/10)+Skills!O12</f>
        <v/>
      </c>
      <c r="G776">
        <f>Skills!G12*IF(Skills!H12&gt;0,Skills!I12/Skills!H12,1)</f>
        <v/>
      </c>
      <c r="H776">
        <f>1-(1-Skills!J12/100)^Skills!K12</f>
        <v/>
      </c>
      <c r="I776" t="inlineStr">
        <is>
          <t>1</t>
        </is>
      </c>
      <c r="J776">
        <f>((Inputs!$B$6*(1+Inputs!$B$7/100))+(((Inputs!$B$12*(1+Inputs!$B$13/100))-(Inputs!$B$12*(1+Inputs!$B$13/100)))+0.25*(Inputs!$B$14-Inputs!$B$14))*(1+Inputs!$B$7/100))*(F776/100)</f>
        <v/>
      </c>
      <c r="K776">
        <f>J776*(1+((Inputs!$B$12*(1+Inputs!$B$13/100))*0.01+Inputs!$B$14*0.0025)/100)*(1+Inputs!$B$15/100)*(1+Inputs!$B$16/100)*(5000/(6000+Inputs!$B$42*(1-(Inputs!$B$19+0)/100)))*(1+(Inputs!$B$24+((C790=TRUE)*(F790-Calc!F26))+B800)/100)*(1+(IF(Skills!A12="EIGHT_LEGS_EASTON",Inputs!$B$17+((C787=TRUE)*(F787-Calc!F23))+((C791=TRUE)*(F791-Calc!F27)),Inputs!$B$18+0))/100)*((1+(((C781=TRUE)*F781)+((C788=TRUE)*(F788-Calc!F24)))/100)*I776)</f>
        <v/>
      </c>
      <c r="L776">
        <f>K776*(MIN(Inputs!$B$22+((C786=TRUE)*(F786-Calc!F22)),Inputs!$B$23+0)/100+(Inputs!$B$23+0)/100)/2</f>
        <v/>
      </c>
      <c r="M776">
        <f>L776*(1+(Inputs!$B$10+((C789=TRUE)*(F789-Calc!F25))+B799)/100)</f>
        <v/>
      </c>
      <c r="N776">
        <f>L776*(1-MIN((Inputs!$B$9+((C783=TRUE)*(F783-Calc!F19))+B794),100)/100)+M776*(MIN((Inputs!$B$9+((C783=TRUE)*(F783-Calc!F19))+B794),100)/100)</f>
        <v/>
      </c>
      <c r="O776">
        <f>(1-Summary!$B$55)*T776+Summary!$B$55*V776</f>
        <v/>
      </c>
      <c r="P776">
        <f>IF(B804=0,0,O776/B804)</f>
        <v/>
      </c>
      <c r="Q776">
        <f>IFERROR(1/IF(Inputs!$B$38="pvp",15,MAX(0.1,Skills!D12-IF(Skills!E12=TRUE,Inputs!$B$32,0))),0)</f>
        <v/>
      </c>
      <c r="R776">
        <f>IF(AND(Inputs!$B$38&lt;&gt;"pvp",Inputs!$B$43&gt;0),IF(MAX(0,Inputs!$B$43-B801)&lt;=0,0,(INT(MAX(0,Inputs!$B$43-B801)/IF(Inputs!$B$38="pvp",15,MAX(0.1,Skills!D12-IF(Skills!E12=TRUE,Inputs!$B$32,0))))+1)),0)</f>
        <v/>
      </c>
      <c r="S776">
        <f>IFERROR(O776/N776,0)</f>
        <v/>
      </c>
      <c r="T776">
        <f>IF(C776,(H776*N776*IF(AND(Inputs!$B$38&lt;&gt;"pvp",Inputs!$B$43&gt;0),((Skills!G12*((R776-1)*IF(Skills!H12&gt;0,Skills!I12/Skills!H12,1)+IF(Skills!H12&gt;0,MIN(Skills!I12,MAX(0,MAX(0,Inputs!$B$43-B801)-((R776-1)*IF(Inputs!$B$38="pvp",15,MAX(0.1,Skills!D12-IF(Skills!E12=TRUE,Inputs!$B$32,0))))))/Skills!H12,1)))/Inputs!$B$43),G776*Q776))*IF(Inputs!$B$38="pvp",1,1+(Inputs!$B$20+0+Skills!P12)/100),0)</f>
        <v/>
      </c>
      <c r="V776">
        <f>IF(C776,(H776*N776*IF(AND(Inputs!$B$38&lt;&gt;"pvp",Inputs!$B$43&gt;0),((Skills!G12*((R776-1)*IF(Skills!H12&gt;0,Skills!I12/Skills!H12,1)+IF(Skills!H12&gt;0,MIN(Skills!I12,MAX(0,MAX(0,Inputs!$B$43-B801)-((R776-1)*IF(Inputs!$B$38="pvp",15,MAX(0.1,Skills!D12-IF(Skills!E12=TRUE,Inputs!$B$32,0))))))/Skills!H12,1)))/Inputs!$B$43),G776*Q776))*IF(Inputs!$B$38="pvp",1,(1+(Inputs!$B$21+Skills!Q12)/100)*(MIN(Skills!R12,Inputs!$B$37))),0)</f>
        <v/>
      </c>
    </row>
    <row r="777">
      <c r="A777">
        <f>Skills!A13</f>
        <v/>
      </c>
      <c r="B777">
        <f>Skills!B13</f>
        <v/>
      </c>
      <c r="C777">
        <f>Inputs!$B$3&gt;=110</f>
        <v/>
      </c>
      <c r="D777">
        <f>IF(Skills!C13=1,60+Inputs!$B$25+Inputs!$B$29,IF(Skills!C13=2,90+(Inputs!$B$26+1)+Inputs!$B$29,IF(Skills!C13=3,120+Inputs!$B$27+Inputs!$B$29,MAX(0,(Inputs!$B$3-100)*3)+Inputs!$B$28+Inputs!$B$29)))</f>
        <v/>
      </c>
      <c r="E777">
        <f>INDEX(FactorTable!$B$2:$Y$301, MATCH(ROUND(MIN(300,MAX(1,D777)),0), FactorTable!$A$2:$A$301,0), Skills!M13+1)</f>
        <v/>
      </c>
      <c r="F777">
        <f>IF(Skills!N13=TRUE,(Skills!L13/10)*(E777/1000),Skills!L13/10)+Skills!O13</f>
        <v/>
      </c>
      <c r="G777">
        <f>Skills!G13*IF(Skills!H13&gt;0,Skills!I13/Skills!H13,1)</f>
        <v/>
      </c>
      <c r="H777">
        <f>1-(1-Skills!J13/100)^Skills!K13</f>
        <v/>
      </c>
      <c r="I777" t="inlineStr">
        <is>
          <t>1</t>
        </is>
      </c>
      <c r="J777">
        <f>((Inputs!$B$6*(1+Inputs!$B$7/100))+(((Inputs!$B$12*(1+Inputs!$B$13/100))-(Inputs!$B$12*(1+Inputs!$B$13/100)))+0.25*(Inputs!$B$14-Inputs!$B$14))*(1+Inputs!$B$7/100))*(F777/100)</f>
        <v/>
      </c>
      <c r="K777">
        <f>J777*(1+((Inputs!$B$12*(1+Inputs!$B$13/100))*0.01+Inputs!$B$14*0.0025)/100)*(1+Inputs!$B$15/100)*(1+Inputs!$B$16/100)*(5000/(6000+Inputs!$B$42*(1-(Inputs!$B$19+0)/100)))*(1+(Inputs!$B$24+((C790=TRUE)*(F790-Calc!F26))+B800)/100)*(1+(IF(Skills!A13="EIGHT_LEGS_EASTON",Inputs!$B$17+((C787=TRUE)*(F787-Calc!F23))+((C791=TRUE)*(F791-Calc!F27)),Inputs!$B$18+0))/100)*((1+(((C781=TRUE)*F781)+((C788=TRUE)*(F788-Calc!F24)))/100)*I777)</f>
        <v/>
      </c>
      <c r="L777">
        <f>K777*(MIN(Inputs!$B$22+((C786=TRUE)*(F786-Calc!F22)),Inputs!$B$23+0)/100+(Inputs!$B$23+0)/100)/2</f>
        <v/>
      </c>
      <c r="M777">
        <f>L777*(1+(Inputs!$B$10+((C789=TRUE)*(F789-Calc!F25))+B799)/100)</f>
        <v/>
      </c>
      <c r="N777">
        <f>L777*(1-MIN((Inputs!$B$9+((C783=TRUE)*(F783-Calc!F19))+B794),100)/100)+M777*(MIN((Inputs!$B$9+((C783=TRUE)*(F783-Calc!F19))+B794),100)/100)</f>
        <v/>
      </c>
      <c r="O777">
        <f>(1-Summary!$B$55)*T777+Summary!$B$55*V777</f>
        <v/>
      </c>
      <c r="P777">
        <f>IF(B804=0,0,O777/B804)</f>
        <v/>
      </c>
      <c r="Q777">
        <f>IFERROR(1/IF(Inputs!$B$38="pvp",15,MAX(0.1,Skills!D13-IF(Skills!E13=TRUE,Inputs!$B$32,0))),0)</f>
        <v/>
      </c>
      <c r="R777">
        <f>IF(AND(Inputs!$B$38&lt;&gt;"pvp",Inputs!$B$43&gt;0),IF(MAX(0,Inputs!$B$43-B801)&lt;=0,0,(INT(MAX(0,Inputs!$B$43-B801)/IF(Inputs!$B$38="pvp",15,MAX(0.1,Skills!D13-IF(Skills!E13=TRUE,Inputs!$B$32,0))))+1)),0)</f>
        <v/>
      </c>
      <c r="S777">
        <f>IFERROR(O777/N777,0)</f>
        <v/>
      </c>
      <c r="T777">
        <f>IF(C777,(H777*N777*IF(AND(Inputs!$B$38&lt;&gt;"pvp",Inputs!$B$43&gt;0),((Skills!G13*((R777-1)*IF(Skills!H13&gt;0,Skills!I13/Skills!H13,1)+IF(Skills!H13&gt;0,MIN(Skills!I13,MAX(0,MAX(0,Inputs!$B$43-B801)-((R777-1)*IF(Inputs!$B$38="pvp",15,MAX(0.1,Skills!D13-IF(Skills!E13=TRUE,Inputs!$B$32,0))))))/Skills!H13,1)))/Inputs!$B$43),G777*Q777))*IF(Inputs!$B$38="pvp",1,1+(Inputs!$B$20+0+Skills!P13)/100),0)</f>
        <v/>
      </c>
      <c r="V777">
        <f>IF(C777,(H777*N777*IF(AND(Inputs!$B$38&lt;&gt;"pvp",Inputs!$B$43&gt;0),((Skills!G13*((R777-1)*IF(Skills!H13&gt;0,Skills!I13/Skills!H13,1)+IF(Skills!H13&gt;0,MIN(Skills!I13,MAX(0,MAX(0,Inputs!$B$43-B801)-((R777-1)*IF(Inputs!$B$38="pvp",15,MAX(0.1,Skills!D13-IF(Skills!E13=TRUE,Inputs!$B$32,0))))))/Skills!H13,1)))/Inputs!$B$43),G777*Q777))*IF(Inputs!$B$38="pvp",1,(1+(Inputs!$B$21+Skills!Q13)/100)*(MIN(Skills!R13,Inputs!$B$37))),0)</f>
        <v/>
      </c>
    </row>
    <row r="778">
      <c r="A778">
        <f>Skills!A14</f>
        <v/>
      </c>
      <c r="B778">
        <f>Skills!B14</f>
        <v/>
      </c>
      <c r="C778">
        <f>Inputs!$B$3&gt;=125</f>
        <v/>
      </c>
      <c r="D778">
        <f>IF(Skills!C14=1,60+Inputs!$B$25+Inputs!$B$29,IF(Skills!C14=2,90+(Inputs!$B$26+1)+Inputs!$B$29,IF(Skills!C14=3,120+Inputs!$B$27+Inputs!$B$29,MAX(0,(Inputs!$B$3-100)*3)+Inputs!$B$28+Inputs!$B$29)))</f>
        <v/>
      </c>
      <c r="E778">
        <f>INDEX(FactorTable!$B$2:$Y$301, MATCH(ROUND(MIN(300,MAX(1,D778)),0), FactorTable!$A$2:$A$301,0), Skills!M14+1)</f>
        <v/>
      </c>
      <c r="F778">
        <f>IF(Skills!N14=TRUE,(Skills!L14/10)*(E778/1000),Skills!L14/10)+Skills!O14</f>
        <v/>
      </c>
      <c r="G778">
        <f>Skills!G14*IF(Skills!H14&gt;0,Skills!I14/Skills!H14,1)</f>
        <v/>
      </c>
      <c r="H778">
        <f>1-(1-Skills!J14/100)^Skills!K14</f>
        <v/>
      </c>
      <c r="I778" t="inlineStr">
        <is>
          <t>1</t>
        </is>
      </c>
      <c r="J778">
        <f>((Inputs!$B$6*(1+Inputs!$B$7/100))+(((Inputs!$B$12*(1+Inputs!$B$13/100))-(Inputs!$B$12*(1+Inputs!$B$13/100)))+0.25*(Inputs!$B$14-Inputs!$B$14))*(1+Inputs!$B$7/100))*(F778/100)</f>
        <v/>
      </c>
      <c r="K778">
        <f>J778*(1+((Inputs!$B$12*(1+Inputs!$B$13/100))*0.01+Inputs!$B$14*0.0025)/100)*(1+Inputs!$B$15/100)*(1+Inputs!$B$16/100)*(5000/(6000+Inputs!$B$42*(1-(Inputs!$B$19+0)/100)))*(1+(Inputs!$B$24+((C790=TRUE)*(F790-Calc!F26))+B800)/100)*(1+(IF(Skills!A14="EIGHT_LEGS_EASTON",Inputs!$B$17+((C787=TRUE)*(F787-Calc!F23))+((C791=TRUE)*(F791-Calc!F27)),Inputs!$B$18+0))/100)*((1+(((C781=TRUE)*F781)+((C788=TRUE)*(F788-Calc!F24)))/100)*I778)</f>
        <v/>
      </c>
      <c r="L778">
        <f>K778*(MIN(Inputs!$B$22+((C786=TRUE)*(F786-Calc!F22)),Inputs!$B$23+0)/100+(Inputs!$B$23+0)/100)/2</f>
        <v/>
      </c>
      <c r="M778">
        <f>L778*(1+(Inputs!$B$10+((C789=TRUE)*(F789-Calc!F25))+B799)/100)</f>
        <v/>
      </c>
      <c r="N778">
        <f>L778*(1-MIN((Inputs!$B$9+((C783=TRUE)*(F783-Calc!F19))+B794),100)/100)+M778*(MIN((Inputs!$B$9+((C783=TRUE)*(F783-Calc!F19))+B794),100)/100)</f>
        <v/>
      </c>
      <c r="O778">
        <f>(1-Summary!$B$55)*T778+Summary!$B$55*V778</f>
        <v/>
      </c>
      <c r="P778">
        <f>IF(B804=0,0,O778/B804)</f>
        <v/>
      </c>
      <c r="Q778" t="n">
        <v>0</v>
      </c>
      <c r="R778" t="n">
        <v>0</v>
      </c>
      <c r="S778">
        <f>IFERROR(O778/N778,0)</f>
        <v/>
      </c>
      <c r="T778">
        <f>IF(C778,(H778*N778*(B798+IF(AND(Inputs!$B$38&lt;&gt;"pvp",Inputs!$B$43&gt;0),((Skills!G8*((R772-1)*IF(Skills!H8&gt;0,Skills!I8/Skills!H8,1)+IF(Skills!H8&gt;0,MIN(Skills!I8,MAX(0,MAX(0,Inputs!$B$43-B801)-((R772-1)*IF(Inputs!$B$38="pvp",15,MAX(0.1,Skills!D8-IF(Skills!E8=TRUE,Inputs!$B$32,0))))))/Skills!H8,1)))/Inputs!$B$43),G772*Q772)+IF(AND(Inputs!$B$38&lt;&gt;"pvp",Inputs!$B$43&gt;0),((Skills!G11*((R775-1)*IF(Skills!H11&gt;0,Skills!I11/Skills!H11,1)+IF(Skills!H11&gt;0,MIN(Skills!I11,MAX(0,MAX(0,Inputs!$B$43-B801)-((R775-1)*IF(Inputs!$B$38="pvp",15,MAX(0.1,Skills!D11-IF(Skills!E11=TRUE,Inputs!$B$32,0))))))/Skills!H11,1)))/Inputs!$B$43),G775*Q775)))*IF(Inputs!$B$38="pvp",1,1+(Inputs!$B$20+0+Skills!P14)/100),0)</f>
        <v/>
      </c>
      <c r="V778">
        <f>IF(C778,(H778*N778*(B798+IF(AND(Inputs!$B$38&lt;&gt;"pvp",Inputs!$B$43&gt;0),((Skills!G8*((R772-1)*IF(Skills!H8&gt;0,Skills!I8/Skills!H8,1)+IF(Skills!H8&gt;0,MIN(Skills!I8,MAX(0,MAX(0,Inputs!$B$43-B801)-((R772-1)*IF(Inputs!$B$38="pvp",15,MAX(0.1,Skills!D8-IF(Skills!E8=TRUE,Inputs!$B$32,0))))))/Skills!H8,1)))/Inputs!$B$43),G772*Q772)+IF(AND(Inputs!$B$38&lt;&gt;"pvp",Inputs!$B$43&gt;0),((Skills!G11*((R775-1)*IF(Skills!H11&gt;0,Skills!I11/Skills!H11,1)+IF(Skills!H11&gt;0,MIN(Skills!I11,MAX(0,MAX(0,Inputs!$B$43-B801)-((R775-1)*IF(Inputs!$B$38="pvp",15,MAX(0.1,Skills!D11-IF(Skills!E11=TRUE,Inputs!$B$32,0))))))/Skills!H11,1)))/Inputs!$B$43),G775*Q775)))*IF(Inputs!$B$38="pvp",1,(1+(Inputs!$B$21+Skills!Q14)/100)*(MIN(Skills!R14,Inputs!$B$37))),0)</f>
        <v/>
      </c>
    </row>
    <row r="779">
      <c r="A779">
        <f>Skills!A15</f>
        <v/>
      </c>
      <c r="B779">
        <f>Skills!B15</f>
        <v/>
      </c>
      <c r="C779">
        <f>Inputs!$B$3&gt;=100</f>
        <v/>
      </c>
      <c r="D779">
        <f>IF(Skills!C15=1,60+Inputs!$B$25+Inputs!$B$29,IF(Skills!C15=2,90+(Inputs!$B$26+1)+Inputs!$B$29,IF(Skills!C15=3,120+Inputs!$B$27+Inputs!$B$29,MAX(0,(Inputs!$B$3-100)*3)+Inputs!$B$28+Inputs!$B$29)))</f>
        <v/>
      </c>
      <c r="E779">
        <f>INDEX(FactorTable!$B$2:$Y$301, MATCH(ROUND(MIN(300,MAX(1,D779)),0), FactorTable!$A$2:$A$301,0), Skills!M15+1)</f>
        <v/>
      </c>
      <c r="F779">
        <f>IF(Skills!N15=TRUE,(Skills!L15/10)*(E779/1000),Skills!L15/10)+Skills!O15</f>
        <v/>
      </c>
      <c r="G779" t="inlineStr"/>
      <c r="H779" t="inlineStr"/>
      <c r="I779" t="inlineStr">
        <is>
          <t>1</t>
        </is>
      </c>
      <c r="J779" t="inlineStr"/>
      <c r="K779" t="inlineStr"/>
      <c r="L779" t="inlineStr"/>
      <c r="M779" t="inlineStr"/>
      <c r="N779" t="inlineStr"/>
      <c r="O779" t="inlineStr"/>
      <c r="P779" t="inlineStr"/>
      <c r="Q779" t="inlineStr"/>
      <c r="R779" t="inlineStr"/>
      <c r="S779" t="inlineStr"/>
    </row>
    <row r="780">
      <c r="A780">
        <f>Skills!A16</f>
        <v/>
      </c>
      <c r="B780">
        <f>Skills!B16</f>
        <v/>
      </c>
      <c r="C780">
        <f>Inputs!$B$3&gt;=120</f>
        <v/>
      </c>
      <c r="D780">
        <f>IF(Skills!C16=1,60+Inputs!$B$25+Inputs!$B$29,IF(Skills!C16=2,90+(Inputs!$B$26+1)+Inputs!$B$29,IF(Skills!C16=3,120+Inputs!$B$27+Inputs!$B$29,MAX(0,(Inputs!$B$3-100)*3)+Inputs!$B$28+Inputs!$B$29)))</f>
        <v/>
      </c>
      <c r="E780">
        <f>INDEX(FactorTable!$B$2:$Y$301, MATCH(ROUND(MIN(300,MAX(1,D780)),0), FactorTable!$A$2:$A$301,0), Skills!M16+1)</f>
        <v/>
      </c>
      <c r="F780">
        <f>IF(Skills!N16=TRUE,(Skills!L16/10)*(E780/1000),Skills!L16/10)+Skills!O16</f>
        <v/>
      </c>
      <c r="G780" t="inlineStr"/>
      <c r="H780" t="inlineStr"/>
      <c r="I780" t="inlineStr">
        <is>
          <t>1</t>
        </is>
      </c>
      <c r="J780" t="inlineStr"/>
      <c r="K780" t="inlineStr"/>
      <c r="L780" t="inlineStr"/>
      <c r="M780" t="inlineStr"/>
      <c r="N780" t="inlineStr"/>
      <c r="O780" t="inlineStr"/>
      <c r="P780" t="inlineStr"/>
      <c r="Q780" t="inlineStr"/>
      <c r="R780" t="inlineStr"/>
      <c r="S780" t="inlineStr"/>
    </row>
    <row r="781">
      <c r="A781">
        <f>Skills!A17</f>
        <v/>
      </c>
      <c r="B781">
        <f>Skills!B17</f>
        <v/>
      </c>
      <c r="C781">
        <f>Inputs!$B$3&gt;=66</f>
        <v/>
      </c>
      <c r="D781">
        <f>IF(Skills!C17=1,60+Inputs!$B$25+Inputs!$B$29,IF(Skills!C17=2,90+(Inputs!$B$26+1)+Inputs!$B$29,IF(Skills!C17=3,120+Inputs!$B$27+Inputs!$B$29,MAX(0,(Inputs!$B$3-100)*3)+Inputs!$B$28+Inputs!$B$29)))</f>
        <v/>
      </c>
      <c r="E781">
        <f>INDEX(FactorTable!$B$2:$Y$301, MATCH(ROUND(MIN(300,MAX(1,D781)),0), FactorTable!$A$2:$A$301,0), Skills!M17+1)</f>
        <v/>
      </c>
      <c r="F781">
        <f>IF(Skills!N17=TRUE,(Skills!L17/10)*(E781/1000),Skills!L17/10)+Skills!O17</f>
        <v/>
      </c>
      <c r="G781">
        <f>Skills!G17*IF(Skills!H17&gt;0,Skills!I17/Skills!H17,1)</f>
        <v/>
      </c>
      <c r="H781">
        <f>1-(1-Skills!J17/100)^Skills!K17</f>
        <v/>
      </c>
      <c r="I781" t="inlineStr">
        <is>
          <t>1</t>
        </is>
      </c>
      <c r="J781" t="inlineStr"/>
      <c r="K781" t="inlineStr"/>
      <c r="L781" t="inlineStr"/>
      <c r="M781" t="inlineStr"/>
      <c r="N781" t="inlineStr"/>
      <c r="O781">
        <f>(1-Summary!$B$55)*T781+Summary!$B$55*V781</f>
        <v/>
      </c>
      <c r="P781">
        <f>IF(B804=0,0,O781/B804)</f>
        <v/>
      </c>
      <c r="Q781" t="n">
        <v>0</v>
      </c>
      <c r="R781" t="n">
        <v>0</v>
      </c>
      <c r="S781">
        <f>IFERROR(O781/N781,0)</f>
        <v/>
      </c>
      <c r="T781" t="n">
        <v>0</v>
      </c>
      <c r="V781" t="n">
        <v>0</v>
      </c>
    </row>
    <row r="782">
      <c r="A782">
        <f>Skills!A18</f>
        <v/>
      </c>
      <c r="B782">
        <f>Skills!B18</f>
        <v/>
      </c>
      <c r="C782">
        <f>Inputs!$B$3&gt;=115</f>
        <v/>
      </c>
      <c r="D782">
        <f>IF(Skills!C18=1,60+Inputs!$B$25+Inputs!$B$29,IF(Skills!C18=2,90+(Inputs!$B$26+1)+Inputs!$B$29,IF(Skills!C18=3,120+Inputs!$B$27+Inputs!$B$29,MAX(0,(Inputs!$B$3-100)*3)+Inputs!$B$28+Inputs!$B$29)))</f>
        <v/>
      </c>
      <c r="E782">
        <f>INDEX(FactorTable!$B$2:$Y$301, MATCH(ROUND(MIN(300,MAX(1,D782)),0), FactorTable!$A$2:$A$301,0), Skills!M18+1)</f>
        <v/>
      </c>
      <c r="F782">
        <f>IF(Skills!N18=TRUE,(Skills!L18/10)*(E782/1000),Skills!L18/10)+Skills!O18</f>
        <v/>
      </c>
      <c r="G782">
        <f>Skills!G18*IF(Skills!H18&gt;0,Skills!I18/Skills!H18,1)</f>
        <v/>
      </c>
      <c r="H782">
        <f>1-(1-Skills!J18/100)^Skills!K18</f>
        <v/>
      </c>
      <c r="I782" t="inlineStr">
        <is>
          <t>1</t>
        </is>
      </c>
      <c r="J782" t="inlineStr"/>
      <c r="K782" t="inlineStr"/>
      <c r="L782" t="inlineStr"/>
      <c r="M782" t="inlineStr"/>
      <c r="N782" t="inlineStr"/>
      <c r="O782">
        <f>(1-Summary!$B$55)*T782+Summary!$B$55*V782</f>
        <v/>
      </c>
      <c r="P782">
        <f>IF(B804=0,0,O782/B804)</f>
        <v/>
      </c>
      <c r="Q782" t="n">
        <v>0</v>
      </c>
      <c r="R782" t="n">
        <v>0</v>
      </c>
      <c r="S782">
        <f>IFERROR(O782/N782,0)</f>
        <v/>
      </c>
      <c r="T782" t="n">
        <v>0</v>
      </c>
      <c r="V782" t="n">
        <v>0</v>
      </c>
    </row>
    <row r="783">
      <c r="A783">
        <f>Skills!A19</f>
        <v/>
      </c>
      <c r="B783">
        <f>Skills!B19</f>
        <v/>
      </c>
      <c r="C783">
        <f>Inputs!$B$3&gt;=15</f>
        <v/>
      </c>
      <c r="D783">
        <f>IF(Skills!C19=1,60+Inputs!$B$25+Inputs!$B$29,IF(Skills!C19=2,90+(Inputs!$B$26+1)+Inputs!$B$29,IF(Skills!C19=3,120+Inputs!$B$27+Inputs!$B$29,MAX(0,(Inputs!$B$3-100)*3)+Inputs!$B$28+Inputs!$B$29)))</f>
        <v/>
      </c>
      <c r="E783">
        <f>INDEX(FactorTable!$B$2:$Y$301, MATCH(ROUND(MIN(300,MAX(1,D783)),0), FactorTable!$A$2:$A$301,0), Skills!M19+1)</f>
        <v/>
      </c>
      <c r="F783">
        <f>IF(Skills!N19=TRUE,(Skills!L19/10)*(E783/1000),Skills!L19/10)+Skills!O19</f>
        <v/>
      </c>
      <c r="G783">
        <f>Skills!G19*IF(Skills!H19&gt;0,Skills!I19/Skills!H19,1)</f>
        <v/>
      </c>
      <c r="H783">
        <f>1-(1-Skills!J19/100)^Skills!K19</f>
        <v/>
      </c>
      <c r="I783" t="inlineStr">
        <is>
          <t>1</t>
        </is>
      </c>
      <c r="J783" t="inlineStr"/>
      <c r="K783" t="inlineStr"/>
      <c r="L783" t="inlineStr"/>
      <c r="M783" t="inlineStr"/>
      <c r="N783" t="inlineStr"/>
      <c r="O783">
        <f>(1-Summary!$B$55)*T783+Summary!$B$55*V783</f>
        <v/>
      </c>
      <c r="P783">
        <f>IF(B804=0,0,O783/B804)</f>
        <v/>
      </c>
      <c r="Q783" t="n">
        <v>0</v>
      </c>
      <c r="R783" t="n">
        <v>0</v>
      </c>
      <c r="S783">
        <f>IFERROR(O783/N783,0)</f>
        <v/>
      </c>
      <c r="T783" t="n">
        <v>0</v>
      </c>
      <c r="V783" t="n">
        <v>0</v>
      </c>
    </row>
    <row r="784">
      <c r="A784">
        <f>Skills!A20</f>
        <v/>
      </c>
      <c r="B784">
        <f>Skills!B20</f>
        <v/>
      </c>
      <c r="C784">
        <f>Inputs!$B$3&gt;=10</f>
        <v/>
      </c>
      <c r="D784">
        <f>IF(Skills!C20=1,60+Inputs!$B$25+Inputs!$B$29,IF(Skills!C20=2,90+(Inputs!$B$26+1)+Inputs!$B$29,IF(Skills!C20=3,120+Inputs!$B$27+Inputs!$B$29,MAX(0,(Inputs!$B$3-100)*3)+Inputs!$B$28+Inputs!$B$29)))</f>
        <v/>
      </c>
      <c r="E784">
        <f>INDEX(FactorTable!$B$2:$Y$301, MATCH(ROUND(MIN(300,MAX(1,D784)),0), FactorTable!$A$2:$A$301,0), Skills!M20+1)</f>
        <v/>
      </c>
      <c r="F784">
        <f>IF(Skills!N20=TRUE,(Skills!L20/10)*(E784/1000),Skills!L20/10)+Skills!O20</f>
        <v/>
      </c>
      <c r="G784">
        <f>Skills!G20*IF(Skills!H20&gt;0,Skills!I20/Skills!H20,1)</f>
        <v/>
      </c>
      <c r="H784">
        <f>1-(1-Skills!J20/100)^Skills!K20</f>
        <v/>
      </c>
      <c r="I784" t="inlineStr">
        <is>
          <t>1</t>
        </is>
      </c>
      <c r="J784" t="inlineStr"/>
      <c r="K784" t="inlineStr"/>
      <c r="L784" t="inlineStr"/>
      <c r="M784" t="inlineStr"/>
      <c r="N784" t="inlineStr"/>
      <c r="O784">
        <f>(1-Summary!$B$55)*T784+Summary!$B$55*V784</f>
        <v/>
      </c>
      <c r="P784">
        <f>IF(B804=0,0,O784/B804)</f>
        <v/>
      </c>
      <c r="Q784" t="n">
        <v>0</v>
      </c>
      <c r="R784" t="n">
        <v>0</v>
      </c>
      <c r="S784">
        <f>IFERROR(O784/N784,0)</f>
        <v/>
      </c>
      <c r="T784" t="n">
        <v>0</v>
      </c>
      <c r="V784" t="n">
        <v>0</v>
      </c>
    </row>
    <row r="785">
      <c r="A785">
        <f>Skills!A21</f>
        <v/>
      </c>
      <c r="B785">
        <f>Skills!B21</f>
        <v/>
      </c>
      <c r="C785">
        <f>Inputs!$B$3&gt;=33</f>
        <v/>
      </c>
      <c r="D785">
        <f>IF(Skills!C21=1,60+Inputs!$B$25+Inputs!$B$29,IF(Skills!C21=2,90+(Inputs!$B$26+1)+Inputs!$B$29,IF(Skills!C21=3,120+Inputs!$B$27+Inputs!$B$29,MAX(0,(Inputs!$B$3-100)*3)+Inputs!$B$28+Inputs!$B$29)))</f>
        <v/>
      </c>
      <c r="E785">
        <f>INDEX(FactorTable!$B$2:$Y$301, MATCH(ROUND(MIN(300,MAX(1,D785)),0), FactorTable!$A$2:$A$301,0), Skills!M21+1)</f>
        <v/>
      </c>
      <c r="F785">
        <f>IF(Skills!N21=TRUE,(Skills!L21/10)*(E785/1000),Skills!L21/10)+Skills!O21</f>
        <v/>
      </c>
      <c r="G785">
        <f>Skills!G21*IF(Skills!H21&gt;0,Skills!I21/Skills!H21,1)</f>
        <v/>
      </c>
      <c r="H785">
        <f>1-(1-Skills!J21/100)^Skills!K21</f>
        <v/>
      </c>
      <c r="I785" t="inlineStr">
        <is>
          <t>1</t>
        </is>
      </c>
      <c r="J785" t="inlineStr"/>
      <c r="K785" t="inlineStr"/>
      <c r="L785" t="inlineStr"/>
      <c r="M785" t="inlineStr"/>
      <c r="N785" t="inlineStr"/>
      <c r="O785">
        <f>(1-Summary!$B$55)*T785+Summary!$B$55*V785</f>
        <v/>
      </c>
      <c r="P785">
        <f>IF(B804=0,0,O785/B804)</f>
        <v/>
      </c>
      <c r="Q785" t="n">
        <v>0</v>
      </c>
      <c r="R785" t="n">
        <v>0</v>
      </c>
      <c r="S785">
        <f>IFERROR(O785/N785,0)</f>
        <v/>
      </c>
      <c r="T785" t="n">
        <v>0</v>
      </c>
      <c r="V785" t="n">
        <v>0</v>
      </c>
    </row>
    <row r="786">
      <c r="A786">
        <f>Skills!A22</f>
        <v/>
      </c>
      <c r="B786">
        <f>Skills!B22</f>
        <v/>
      </c>
      <c r="C786">
        <f>Inputs!$B$3&gt;=43</f>
        <v/>
      </c>
      <c r="D786">
        <f>IF(Skills!C22=1,60+Inputs!$B$25+Inputs!$B$29,IF(Skills!C22=2,90+(Inputs!$B$26+1)+Inputs!$B$29,IF(Skills!C22=3,120+Inputs!$B$27+Inputs!$B$29,MAX(0,(Inputs!$B$3-100)*3)+Inputs!$B$28+Inputs!$B$29)))</f>
        <v/>
      </c>
      <c r="E786">
        <f>INDEX(FactorTable!$B$2:$Y$301, MATCH(ROUND(MIN(300,MAX(1,D786)),0), FactorTable!$A$2:$A$301,0), Skills!M22+1)</f>
        <v/>
      </c>
      <c r="F786">
        <f>IF(Skills!N22=TRUE,(Skills!L22/10)*(E786/1000),Skills!L22/10)+Skills!O22</f>
        <v/>
      </c>
      <c r="G786">
        <f>Skills!G22*IF(Skills!H22&gt;0,Skills!I22/Skills!H22,1)</f>
        <v/>
      </c>
      <c r="H786">
        <f>1-(1-Skills!J22/100)^Skills!K22</f>
        <v/>
      </c>
      <c r="I786" t="inlineStr">
        <is>
          <t>1</t>
        </is>
      </c>
      <c r="J786" t="inlineStr"/>
      <c r="K786" t="inlineStr"/>
      <c r="L786" t="inlineStr"/>
      <c r="M786" t="inlineStr"/>
      <c r="N786" t="inlineStr"/>
      <c r="O786">
        <f>(1-Summary!$B$55)*T786+Summary!$B$55*V786</f>
        <v/>
      </c>
      <c r="P786">
        <f>IF(B804=0,0,O786/B804)</f>
        <v/>
      </c>
      <c r="Q786" t="n">
        <v>0</v>
      </c>
      <c r="R786" t="n">
        <v>0</v>
      </c>
      <c r="S786">
        <f>IFERROR(O786/N786,0)</f>
        <v/>
      </c>
      <c r="T786" t="n">
        <v>0</v>
      </c>
      <c r="V786" t="n">
        <v>0</v>
      </c>
    </row>
    <row r="787">
      <c r="A787">
        <f>Skills!A23</f>
        <v/>
      </c>
      <c r="B787">
        <f>Skills!B23</f>
        <v/>
      </c>
      <c r="C787">
        <f>Inputs!$B$3&gt;=38</f>
        <v/>
      </c>
      <c r="D787">
        <f>IF(Skills!C23=1,60+Inputs!$B$25+Inputs!$B$29,IF(Skills!C23=2,90+(Inputs!$B$26+1)+Inputs!$B$29,IF(Skills!C23=3,120+Inputs!$B$27+Inputs!$B$29,MAX(0,(Inputs!$B$3-100)*3)+Inputs!$B$28+Inputs!$B$29)))</f>
        <v/>
      </c>
      <c r="E787">
        <f>INDEX(FactorTable!$B$2:$Y$301, MATCH(ROUND(MIN(300,MAX(1,D787)),0), FactorTable!$A$2:$A$301,0), Skills!M23+1)</f>
        <v/>
      </c>
      <c r="F787">
        <f>IF(Skills!N23=TRUE,(Skills!L23/10)*(E787/1000),Skills!L23/10)+Skills!O23</f>
        <v/>
      </c>
      <c r="G787">
        <f>Skills!G23*IF(Skills!H23&gt;0,Skills!I23/Skills!H23,1)</f>
        <v/>
      </c>
      <c r="H787">
        <f>1-(1-Skills!J23/100)^Skills!K23</f>
        <v/>
      </c>
      <c r="I787" t="inlineStr">
        <is>
          <t>1</t>
        </is>
      </c>
      <c r="J787" t="inlineStr"/>
      <c r="K787" t="inlineStr"/>
      <c r="L787" t="inlineStr"/>
      <c r="M787" t="inlineStr"/>
      <c r="N787" t="inlineStr"/>
      <c r="O787">
        <f>(1-Summary!$B$55)*T787+Summary!$B$55*V787</f>
        <v/>
      </c>
      <c r="P787">
        <f>IF(B804=0,0,O787/B804)</f>
        <v/>
      </c>
      <c r="Q787" t="n">
        <v>0</v>
      </c>
      <c r="R787" t="n">
        <v>0</v>
      </c>
      <c r="S787">
        <f>IFERROR(O787/N787,0)</f>
        <v/>
      </c>
      <c r="T787" t="n">
        <v>0</v>
      </c>
      <c r="V787" t="n">
        <v>0</v>
      </c>
    </row>
    <row r="788">
      <c r="A788">
        <f>Skills!A24</f>
        <v/>
      </c>
      <c r="B788">
        <f>Skills!B24</f>
        <v/>
      </c>
      <c r="C788">
        <f>Inputs!$B$3&gt;=40</f>
        <v/>
      </c>
      <c r="D788">
        <f>IF(Skills!C24=1,60+Inputs!$B$25+Inputs!$B$29,IF(Skills!C24=2,90+(Inputs!$B$26+1)+Inputs!$B$29,IF(Skills!C24=3,120+Inputs!$B$27+Inputs!$B$29,MAX(0,(Inputs!$B$3-100)*3)+Inputs!$B$28+Inputs!$B$29)))</f>
        <v/>
      </c>
      <c r="E788">
        <f>INDEX(FactorTable!$B$2:$Y$301, MATCH(ROUND(MIN(300,MAX(1,D788)),0), FactorTable!$A$2:$A$301,0), Skills!M24+1)</f>
        <v/>
      </c>
      <c r="F788">
        <f>IF(Skills!N24=TRUE,(Skills!L24/10)*(E788/1000),Skills!L24/10)+Skills!O24</f>
        <v/>
      </c>
      <c r="G788">
        <f>Skills!G24*IF(Skills!H24&gt;0,Skills!I24/Skills!H24,1)</f>
        <v/>
      </c>
      <c r="H788">
        <f>1-(1-Skills!J24/100)^Skills!K24</f>
        <v/>
      </c>
      <c r="I788" t="inlineStr">
        <is>
          <t>1</t>
        </is>
      </c>
      <c r="J788" t="inlineStr"/>
      <c r="K788" t="inlineStr"/>
      <c r="L788" t="inlineStr"/>
      <c r="M788" t="inlineStr"/>
      <c r="N788" t="inlineStr"/>
      <c r="O788">
        <f>(1-Summary!$B$55)*T788+Summary!$B$55*V788</f>
        <v/>
      </c>
      <c r="P788">
        <f>IF(B804=0,0,O788/B804)</f>
        <v/>
      </c>
      <c r="Q788" t="n">
        <v>0</v>
      </c>
      <c r="R788" t="n">
        <v>0</v>
      </c>
      <c r="S788">
        <f>IFERROR(O788/N788,0)</f>
        <v/>
      </c>
      <c r="T788" t="n">
        <v>0</v>
      </c>
      <c r="V788" t="n">
        <v>0</v>
      </c>
    </row>
    <row r="789">
      <c r="A789">
        <f>Skills!A25</f>
        <v/>
      </c>
      <c r="B789">
        <f>Skills!B25</f>
        <v/>
      </c>
      <c r="C789">
        <f>Inputs!$B$3&gt;=72</f>
        <v/>
      </c>
      <c r="D789">
        <f>IF(Skills!C25=1,60+Inputs!$B$25+Inputs!$B$29,IF(Skills!C25=2,90+(Inputs!$B$26+1)+Inputs!$B$29,IF(Skills!C25=3,120+Inputs!$B$27+Inputs!$B$29,MAX(0,(Inputs!$B$3-100)*3)+Inputs!$B$28+Inputs!$B$29)))</f>
        <v/>
      </c>
      <c r="E789">
        <f>INDEX(FactorTable!$B$2:$Y$301, MATCH(ROUND(MIN(300,MAX(1,D789)),0), FactorTable!$A$2:$A$301,0), Skills!M25+1)</f>
        <v/>
      </c>
      <c r="F789">
        <f>IF(Skills!N25=TRUE,(Skills!L25/10)*(E789/1000),Skills!L25/10)+Skills!O25</f>
        <v/>
      </c>
      <c r="G789">
        <f>Skills!G25*IF(Skills!H25&gt;0,Skills!I25/Skills!H25,1)</f>
        <v/>
      </c>
      <c r="H789">
        <f>1-(1-Skills!J25/100)^Skills!K25</f>
        <v/>
      </c>
      <c r="I789" t="inlineStr">
        <is>
          <t>1</t>
        </is>
      </c>
      <c r="J789" t="inlineStr"/>
      <c r="K789" t="inlineStr"/>
      <c r="L789" t="inlineStr"/>
      <c r="M789" t="inlineStr"/>
      <c r="N789" t="inlineStr"/>
      <c r="O789">
        <f>(1-Summary!$B$55)*T789+Summary!$B$55*V789</f>
        <v/>
      </c>
      <c r="P789">
        <f>IF(B804=0,0,O789/B804)</f>
        <v/>
      </c>
      <c r="Q789" t="n">
        <v>0</v>
      </c>
      <c r="R789" t="n">
        <v>0</v>
      </c>
      <c r="S789">
        <f>IFERROR(O789/N789,0)</f>
        <v/>
      </c>
      <c r="T789" t="n">
        <v>0</v>
      </c>
      <c r="V789" t="n">
        <v>0</v>
      </c>
    </row>
    <row r="790">
      <c r="A790">
        <f>Skills!A26</f>
        <v/>
      </c>
      <c r="B790">
        <f>Skills!B26</f>
        <v/>
      </c>
      <c r="C790">
        <f>Inputs!$B$3&gt;=75</f>
        <v/>
      </c>
      <c r="D790">
        <f>IF(Skills!C26=1,60+Inputs!$B$25+Inputs!$B$29,IF(Skills!C26=2,90+(Inputs!$B$26+1)+Inputs!$B$29,IF(Skills!C26=3,120+Inputs!$B$27+Inputs!$B$29,MAX(0,(Inputs!$B$3-100)*3)+Inputs!$B$28+Inputs!$B$29)))</f>
        <v/>
      </c>
      <c r="E790">
        <f>INDEX(FactorTable!$B$2:$Y$301, MATCH(ROUND(MIN(300,MAX(1,D790)),0), FactorTable!$A$2:$A$301,0), Skills!M26+1)</f>
        <v/>
      </c>
      <c r="F790">
        <f>IF(Skills!N26=TRUE,(Skills!L26/10)*(E790/1000),Skills!L26/10)+Skills!O26</f>
        <v/>
      </c>
      <c r="G790">
        <f>Skills!G26*IF(Skills!H26&gt;0,Skills!I26/Skills!H26,1)</f>
        <v/>
      </c>
      <c r="H790">
        <f>1-(1-Skills!J26/100)^Skills!K26</f>
        <v/>
      </c>
      <c r="I790" t="inlineStr">
        <is>
          <t>1</t>
        </is>
      </c>
      <c r="J790" t="inlineStr"/>
      <c r="K790" t="inlineStr"/>
      <c r="L790" t="inlineStr"/>
      <c r="M790" t="inlineStr"/>
      <c r="N790" t="inlineStr"/>
      <c r="O790">
        <f>(1-Summary!$B$55)*T790+Summary!$B$55*V790</f>
        <v/>
      </c>
      <c r="P790">
        <f>IF(B804=0,0,O790/B804)</f>
        <v/>
      </c>
      <c r="Q790" t="n">
        <v>0</v>
      </c>
      <c r="R790" t="n">
        <v>0</v>
      </c>
      <c r="S790">
        <f>IFERROR(O790/N790,0)</f>
        <v/>
      </c>
      <c r="T790" t="n">
        <v>0</v>
      </c>
      <c r="V790" t="n">
        <v>0</v>
      </c>
    </row>
    <row r="791">
      <c r="A791">
        <f>Skills!A27</f>
        <v/>
      </c>
      <c r="B791">
        <f>Skills!B27</f>
        <v/>
      </c>
      <c r="C791">
        <f>Inputs!$B$3&gt;=117</f>
        <v/>
      </c>
      <c r="D791">
        <f>IF(Skills!C27=1,60+Inputs!$B$25+Inputs!$B$29,IF(Skills!C27=2,90+(Inputs!$B$26+1)+Inputs!$B$29,IF(Skills!C27=3,120+Inputs!$B$27+Inputs!$B$29,MAX(0,(Inputs!$B$3-100)*3)+Inputs!$B$28+Inputs!$B$29)))</f>
        <v/>
      </c>
      <c r="E791">
        <f>INDEX(FactorTable!$B$2:$Y$301, MATCH(ROUND(MIN(300,MAX(1,D791)),0), FactorTable!$A$2:$A$301,0), Skills!M27+1)</f>
        <v/>
      </c>
      <c r="F791">
        <f>IF(Skills!N27=TRUE,(Skills!L27/10)*(E791/1000),Skills!L27/10)+Skills!O27</f>
        <v/>
      </c>
      <c r="G791">
        <f>Skills!G27*IF(Skills!H27&gt;0,Skills!I27/Skills!H27,1)</f>
        <v/>
      </c>
      <c r="H791">
        <f>1-(1-Skills!J27/100)^Skills!K27</f>
        <v/>
      </c>
      <c r="I791" t="inlineStr">
        <is>
          <t>1</t>
        </is>
      </c>
      <c r="J791" t="inlineStr"/>
      <c r="K791" t="inlineStr"/>
      <c r="L791" t="inlineStr"/>
      <c r="M791" t="inlineStr"/>
      <c r="N791" t="inlineStr"/>
      <c r="O791">
        <f>(1-Summary!$B$55)*T791+Summary!$B$55*V791</f>
        <v/>
      </c>
      <c r="P791">
        <f>IF(B804=0,0,O791/B804)</f>
        <v/>
      </c>
      <c r="Q791" t="n">
        <v>0</v>
      </c>
      <c r="R791" t="n">
        <v>0</v>
      </c>
      <c r="S791">
        <f>IFERROR(O791/N791,0)</f>
        <v/>
      </c>
      <c r="T791" t="n">
        <v>0</v>
      </c>
      <c r="V791" t="n">
        <v>0</v>
      </c>
    </row>
    <row r="793">
      <c r="A793" t="inlineStr">
        <is>
          <t>Attack% Bucket Multiplier</t>
        </is>
      </c>
      <c r="B793">
        <f>(1+(((C781=TRUE)*F781)+((C788=TRUE)*(F788-Calc!F24)))/100)</f>
        <v/>
      </c>
    </row>
    <row r="794">
      <c r="A794" t="inlineStr">
        <is>
          <t>Global Crit Rate Bonus %</t>
        </is>
      </c>
      <c r="B794" t="n">
        <v>0</v>
      </c>
    </row>
    <row r="795">
      <c r="A795" t="inlineStr">
        <is>
          <t>Attack Speed Buff Bonus % (unused)</t>
        </is>
      </c>
      <c r="B795" t="n">
        <v>0</v>
      </c>
    </row>
    <row r="796">
      <c r="A796" t="inlineStr">
        <is>
          <t>Actions Per Second</t>
        </is>
      </c>
      <c r="B796">
        <f>1+MIN(150,150*(1-(1-(Inputs!$B$11+((C784=TRUE)*(F784-Calc!F20))+((C785=TRUE)*(F785-Calc!F21)))/150)*(1-B795/150)))/100</f>
        <v/>
      </c>
    </row>
    <row r="797">
      <c r="A797" t="inlineStr">
        <is>
          <t>Skill + Buff Cast Rate</t>
        </is>
      </c>
      <c r="B797">
        <f>IF(AND(Inputs!$B$38&lt;&gt;"pvp",Inputs!$B$43&gt;0),SUMPRODUCT((Skills!E2:E27=TRUE)*(C766:C791=TRUE)*R766:R791*Skills!F2:F27)/Inputs!$B$43,SUMPRODUCT((Skills!E2:E27=TRUE)*(C766:C791=TRUE)*Q766:Q791*Skills!F2:F27))</f>
        <v/>
      </c>
    </row>
    <row r="798">
      <c r="A798" t="inlineStr">
        <is>
          <t>Eight-Legs Easton Casts Per Second</t>
        </is>
      </c>
      <c r="B798">
        <f>MAX(0,B796-B797)</f>
        <v/>
      </c>
    </row>
    <row r="799">
      <c r="A799" t="inlineStr">
        <is>
          <t>Global Critical Damage Bonus % (unused)</t>
        </is>
      </c>
      <c r="B799" t="n">
        <v>0</v>
      </c>
    </row>
    <row r="800">
      <c r="A800" t="inlineStr">
        <is>
          <t>Global Final Damage Bonus % (Jolly Roger only)</t>
        </is>
      </c>
      <c r="B800">
        <f>((C782=TRUE)*F782)</f>
        <v/>
      </c>
    </row>
    <row r="801">
      <c r="A801" t="inlineStr">
        <is>
          <t>Buff-Casting Startup Delay (s, fixed-duration only)</t>
        </is>
      </c>
      <c r="B801">
        <f>IF(AND(Inputs!$B$38&lt;&gt;"pvp",Inputs!$B$43&gt;0),SUMPRODUCT((Skills!T2:T27&gt;0)*(Skills!E2:E27=TRUE)*(C766:C791=TRUE))/B796,0)</f>
        <v/>
      </c>
    </row>
    <row r="802">
      <c r="A802" t="inlineStr">
        <is>
          <t>Boss-Only Total DPS (this block's swept value)</t>
        </is>
      </c>
      <c r="B802">
        <f>SUM(T766:T791)</f>
        <v/>
      </c>
    </row>
    <row r="803">
      <c r="A803" t="inlineStr">
        <is>
          <t>Normal-Only Total DPS (this block's swept value)</t>
        </is>
      </c>
      <c r="B803">
        <f>SUM(V766:V791)</f>
        <v/>
      </c>
    </row>
    <row r="804">
      <c r="A804" s="5" t="inlineStr">
        <is>
          <t>TOTAL DPS</t>
        </is>
      </c>
      <c r="B804" s="5">
        <f>SUM(O766:O791)</f>
        <v/>
      </c>
    </row>
    <row r="807">
      <c r="A807" s="5" t="inlineStr">
        <is>
          <t>Stat: Skill Level Bonus — 3rd Job</t>
        </is>
      </c>
    </row>
    <row r="808">
      <c r="A808" s="9" t="inlineStr">
        <is>
          <t>Key</t>
        </is>
      </c>
      <c r="B808" s="9" t="inlineStr">
        <is>
          <t>Name</t>
        </is>
      </c>
      <c r="C808" s="9" t="inlineStr">
        <is>
          <t>Unlocked</t>
        </is>
      </c>
      <c r="D808" s="9" t="inlineStr">
        <is>
          <t>InputLevel</t>
        </is>
      </c>
      <c r="E808" s="9" t="inlineStr">
        <is>
          <t>Factor</t>
        </is>
      </c>
      <c r="F808" s="9" t="inlineStr">
        <is>
          <t>CoefficientPercent</t>
        </is>
      </c>
      <c r="G808" s="9" t="inlineStr">
        <is>
          <t>EffectiveHits</t>
        </is>
      </c>
      <c r="H808" s="9" t="inlineStr">
        <is>
          <t>ProcProbability</t>
        </is>
      </c>
      <c r="I808" s="9" t="inlineStr">
        <is>
          <t>MapleHeroMultiplier</t>
        </is>
      </c>
      <c r="J808" s="9" t="inlineStr">
        <is>
          <t>BaseDamage</t>
        </is>
      </c>
      <c r="K808" s="9" t="inlineStr">
        <is>
          <t>BaseHitDamage</t>
        </is>
      </c>
      <c r="L808" s="9" t="inlineStr">
        <is>
          <t>NonCritAvg</t>
        </is>
      </c>
      <c r="M808" s="9" t="inlineStr">
        <is>
          <t>CritAvg</t>
        </is>
      </c>
      <c r="N808" s="9" t="inlineStr">
        <is>
          <t>ExpectedDamage(perHit)</t>
        </is>
      </c>
      <c r="O808" s="9" t="inlineStr">
        <is>
          <t>DPS</t>
        </is>
      </c>
      <c r="P808" s="9" t="inlineStr">
        <is>
          <t>% of Total</t>
        </is>
      </c>
      <c r="Q808" s="9" t="inlineStr">
        <is>
          <t>InvCooldown</t>
        </is>
      </c>
      <c r="R808" s="9" t="inlineStr">
        <is>
          <t>CastsInFight</t>
        </is>
      </c>
      <c r="S808" s="9" t="inlineStr">
        <is>
          <t>HitRate(perSec)</t>
        </is>
      </c>
      <c r="U808" t="inlineStr">
        <is>
          <t>helpers</t>
        </is>
      </c>
    </row>
    <row r="809">
      <c r="A809">
        <f>Skills!A2</f>
        <v/>
      </c>
      <c r="B809">
        <f>Skills!B2</f>
        <v/>
      </c>
      <c r="C809">
        <f>Inputs!$B$3&gt;=100</f>
        <v/>
      </c>
      <c r="D809" t="inlineStr"/>
      <c r="E809" t="inlineStr"/>
      <c r="F809">
        <f>U811+Skills!O2</f>
        <v/>
      </c>
      <c r="G809">
        <f>Skills!G2*IF(Skills!H2&gt;0,Skills!I2/Skills!H2,1)</f>
        <v/>
      </c>
      <c r="H809">
        <f>1-(1-Skills!J2/100)^Skills!K2</f>
        <v/>
      </c>
      <c r="I809" t="inlineStr">
        <is>
          <t>1</t>
        </is>
      </c>
      <c r="J809">
        <f>((Inputs!$B$6*(1+Inputs!$B$7/100))+(((Inputs!$B$12*(1+Inputs!$B$13/100))-(Inputs!$B$12*(1+Inputs!$B$13/100)))+0.25*(Inputs!$B$14-Inputs!$B$14))*(1+Inputs!$B$7/100))*(F809/100)</f>
        <v/>
      </c>
      <c r="K809">
        <f>J809*(1+((Inputs!$B$12*(1+Inputs!$B$13/100))*0.01+Inputs!$B$14*0.0025)/100)*(1+Inputs!$B$15/100)*(1+Inputs!$B$16/100)*(5000/(6000+Inputs!$B$42*(1-(Inputs!$B$19+0)/100)))*(1+(Inputs!$B$24+((C833=TRUE)*(F833-Calc!F26))+B843)/100)*(1+(IF(Skills!A2="EIGHT_LEGS_EASTON",Inputs!$B$17+((C830=TRUE)*(F830-Calc!F23))+((C834=TRUE)*(F834-Calc!F27)),Inputs!$B$18+0))/100)*((1+(((C824=TRUE)*F824)+((C831=TRUE)*(F831-Calc!F24)))/100)*I809)</f>
        <v/>
      </c>
      <c r="L809">
        <f>K809*(MIN(Inputs!$B$22+((C829=TRUE)*(F829-Calc!F22)),Inputs!$B$23+0)/100+(Inputs!$B$23+0)/100)/2</f>
        <v/>
      </c>
      <c r="M809">
        <f>L809*(1+(Inputs!$B$10+((C832=TRUE)*(F832-Calc!F25))+B842)/100)</f>
        <v/>
      </c>
      <c r="N809">
        <f>L809*(1-MIN((Inputs!$B$9+((C826=TRUE)*(F826-Calc!F19))+B837),100)/100)+M809*(MIN((Inputs!$B$9+((C826=TRUE)*(F826-Calc!F19))+B837),100)/100)</f>
        <v/>
      </c>
      <c r="O809">
        <f>(1-Summary!$B$55)*T809+Summary!$B$55*V809</f>
        <v/>
      </c>
      <c r="P809">
        <f>IF(B847=0,0,O809/B847)</f>
        <v/>
      </c>
      <c r="Q809" t="n">
        <v>0</v>
      </c>
      <c r="R809" t="n">
        <v>0</v>
      </c>
      <c r="S809">
        <f>IFERROR(O809/N809,0)</f>
        <v/>
      </c>
      <c r="T809">
        <f>IF(C809,(Skills!G2*N809*B841)*IF(Inputs!$B$38="pvp",1,1+(Inputs!$B$20+0+Skills!P2)/100),0)</f>
        <v/>
      </c>
      <c r="U809">
        <f>MAX(0,(Inputs!$B$3-100)*3)+Inputs!$B$28+Inputs!$B$29</f>
        <v/>
      </c>
      <c r="V809">
        <f>IF(C809,(Skills!G2*N809*B841)*IF(Inputs!$B$38="pvp",1,(1+(Inputs!$B$21+Skills!Q2)/100)*(MIN((6+Inputs!$B$33),Inputs!$B$37))),0)</f>
        <v/>
      </c>
    </row>
    <row r="810">
      <c r="A810">
        <f>Skills!A3</f>
        <v/>
      </c>
      <c r="B810">
        <f>Skills!B3</f>
        <v/>
      </c>
      <c r="C810">
        <f>Inputs!$B$3&gt;=35</f>
        <v/>
      </c>
      <c r="D810">
        <f>IF(Skills!C3=1,60+Inputs!$B$25+Inputs!$B$29,IF(Skills!C3=2,90+Inputs!$B$26+Inputs!$B$29,IF(Skills!C3=3,120+(Inputs!$B$27+1)+Inputs!$B$29,MAX(0,(Inputs!$B$3-100)*3)+Inputs!$B$28+Inputs!$B$29)))</f>
        <v/>
      </c>
      <c r="E810">
        <f>INDEX(FactorTable!$B$2:$Y$301, MATCH(ROUND(MIN(300,MAX(1,D810)),0), FactorTable!$A$2:$A$301,0), Skills!M3+1)</f>
        <v/>
      </c>
      <c r="F810">
        <f>IF(Skills!N3=TRUE,(Skills!L3/10)*(E810/1000),Skills!L3/10)+Skills!O3</f>
        <v/>
      </c>
      <c r="G810">
        <f>Skills!G3*IF(Skills!H3&gt;0,Skills!I3/Skills!H3,1)</f>
        <v/>
      </c>
      <c r="H810">
        <f>1-(1-Skills!J3/100)^Skills!K3</f>
        <v/>
      </c>
      <c r="I810" t="inlineStr">
        <is>
          <t>1</t>
        </is>
      </c>
      <c r="J810">
        <f>((Inputs!$B$6*(1+Inputs!$B$7/100))+(((Inputs!$B$12*(1+Inputs!$B$13/100))-(Inputs!$B$12*(1+Inputs!$B$13/100)))+0.25*(Inputs!$B$14-Inputs!$B$14))*(1+Inputs!$B$7/100))*(F810/100)</f>
        <v/>
      </c>
      <c r="K810">
        <f>J810*(1+((Inputs!$B$12*(1+Inputs!$B$13/100))*0.01+Inputs!$B$14*0.0025)/100)*(1+Inputs!$B$15/100)*(1+Inputs!$B$16/100)*(5000/(6000+Inputs!$B$42*(1-(Inputs!$B$19+0)/100)))*(1+(Inputs!$B$24+((C833=TRUE)*(F833-Calc!F26))+B843)/100)*(1+4.0*IF(C822=TRUE,F822,0)/100)*(1+(IF(Skills!A3="EIGHT_LEGS_EASTON",Inputs!$B$17+((C830=TRUE)*(F830-Calc!F23))+((C834=TRUE)*(F834-Calc!F27)),Inputs!$B$18+0))/100)*((1+(((C824=TRUE)*F824)+((C831=TRUE)*(F831-Calc!F24)))/100)*I810)</f>
        <v/>
      </c>
      <c r="L810">
        <f>K810*(MIN(Inputs!$B$22+((C829=TRUE)*(F829-Calc!F22)),Inputs!$B$23+0)/100+(Inputs!$B$23+0)/100)/2</f>
        <v/>
      </c>
      <c r="M810">
        <f>L810*(1+(Inputs!$B$10+((C832=TRUE)*(F832-Calc!F25))+B842)/100)</f>
        <v/>
      </c>
      <c r="N810">
        <f>L810*(1-MIN((Inputs!$B$9+((C826=TRUE)*(F826-Calc!F19))+B837),100)/100)+M810*(MIN((Inputs!$B$9+((C826=TRUE)*(F826-Calc!F19))+B837),100)/100)</f>
        <v/>
      </c>
      <c r="O810">
        <f>(1-Summary!$B$55)*T810+Summary!$B$55*V810</f>
        <v/>
      </c>
      <c r="P810">
        <f>IF(B847=0,0,O810/B847)</f>
        <v/>
      </c>
      <c r="Q810">
        <f>IFERROR(1/IF(Inputs!$B$38="pvp",15,MAX(0.1,Skills!D3-IF(Skills!E3=TRUE,Inputs!$B$32,0))),0)</f>
        <v/>
      </c>
      <c r="R810">
        <f>IF(AND(Inputs!$B$38&lt;&gt;"pvp",Inputs!$B$43&gt;0),IF(MAX(0,Inputs!$B$43-B844)&lt;=0,0,(INT(MAX(0,Inputs!$B$43-B844)/IF(Inputs!$B$38="pvp",15,MAX(0.1,Skills!D3-IF(Skills!E3=TRUE,Inputs!$B$32,0))))+1)),0)</f>
        <v/>
      </c>
      <c r="S810">
        <f>IFERROR(O810/N810,0)</f>
        <v/>
      </c>
      <c r="T810">
        <f>IF(C810,(H810*N810*IF(AND(Inputs!$B$38&lt;&gt;"pvp",Inputs!$B$43&gt;0),((Skills!G3*((R810-1)*IF(Skills!H3&gt;0,Skills!I3/Skills!H3,1)+IF(Skills!H3&gt;0,MIN(Skills!I3,MAX(0,MAX(0,Inputs!$B$43-B844)-((R810-1)*IF(Inputs!$B$38="pvp",15,MAX(0.1,Skills!D3-IF(Skills!E3=TRUE,Inputs!$B$32,0))))))/Skills!H3,1)))/Inputs!$B$43),G810*Q810))*IF(Inputs!$B$38="pvp",1,1+(Inputs!$B$20+0+Skills!P3)/100),0)</f>
        <v/>
      </c>
      <c r="U810">
        <f>INDEX(FactorTable!$B$2:$Y$301, MATCH(ROUND(MIN(300,MAX(1,U809)),0), FactorTable!$A$2:$A$301,0), 22)</f>
        <v/>
      </c>
      <c r="V810">
        <f>IF(C810,(H810*N810*IF(AND(Inputs!$B$38&lt;&gt;"pvp",Inputs!$B$43&gt;0),((Skills!G3*((R810-1)*IF(Skills!H3&gt;0,Skills!I3/Skills!H3,1)+IF(Skills!H3&gt;0,MIN(Skills!I3,MAX(0,MAX(0,Inputs!$B$43-B844)-((R810-1)*IF(Inputs!$B$38="pvp",15,MAX(0.1,Skills!D3-IF(Skills!E3=TRUE,Inputs!$B$32,0))))))/Skills!H3,1)))/Inputs!$B$43),G810*Q810))*IF(Inputs!$B$38="pvp",1,(1+(Inputs!$B$21+Skills!Q3)/100)*(MIN(Skills!R3,Inputs!$B$37))),0)</f>
        <v/>
      </c>
    </row>
    <row r="811">
      <c r="A811">
        <f>Skills!A4</f>
        <v/>
      </c>
      <c r="B811">
        <f>Skills!B4</f>
        <v/>
      </c>
      <c r="C811">
        <f>Inputs!$B$3&gt;=40</f>
        <v/>
      </c>
      <c r="D811">
        <f>IF(Skills!C4=1,60+Inputs!$B$25+Inputs!$B$29,IF(Skills!C4=2,90+Inputs!$B$26+Inputs!$B$29,IF(Skills!C4=3,120+(Inputs!$B$27+1)+Inputs!$B$29,MAX(0,(Inputs!$B$3-100)*3)+Inputs!$B$28+Inputs!$B$29)))</f>
        <v/>
      </c>
      <c r="E811">
        <f>INDEX(FactorTable!$B$2:$Y$301, MATCH(ROUND(MIN(300,MAX(1,D811)),0), FactorTable!$A$2:$A$301,0), Skills!M4+1)</f>
        <v/>
      </c>
      <c r="F811">
        <f>IF(Skills!N4=TRUE,(Skills!L4/10)*(E811/1000),Skills!L4/10)+Skills!O4</f>
        <v/>
      </c>
      <c r="G811">
        <f>Skills!G4*IF(Skills!H4&gt;0,Skills!I4/Skills!H4,1)</f>
        <v/>
      </c>
      <c r="H811">
        <f>1-(1-Skills!J4/100)^Skills!K4</f>
        <v/>
      </c>
      <c r="I811" t="inlineStr">
        <is>
          <t>1</t>
        </is>
      </c>
      <c r="J811">
        <f>((Inputs!$B$6*(1+Inputs!$B$7/100))+(((Inputs!$B$12*(1+Inputs!$B$13/100))-(Inputs!$B$12*(1+Inputs!$B$13/100)))+0.25*(Inputs!$B$14-Inputs!$B$14))*(1+Inputs!$B$7/100))*(F811/100)</f>
        <v/>
      </c>
      <c r="K811">
        <f>J811*(1+((Inputs!$B$12*(1+Inputs!$B$13/100))*0.01+Inputs!$B$14*0.0025)/100)*(1+Inputs!$B$15/100)*(1+Inputs!$B$16/100)*(5000/(6000+Inputs!$B$42*(1-(Inputs!$B$19+0)/100)))*(1+(Inputs!$B$24+((C833=TRUE)*(F833-Calc!F26))+B843)/100)*(1+1.0*IF(C823=TRUE,F823,0)/100)*(1+(IF(Skills!A4="EIGHT_LEGS_EASTON",Inputs!$B$17+((C830=TRUE)*(F830-Calc!F23))+((C834=TRUE)*(F834-Calc!F27)),Inputs!$B$18+0))/100)*((1+(((C824=TRUE)*F824)+((C831=TRUE)*(F831-Calc!F24)))/100)*I811)</f>
        <v/>
      </c>
      <c r="L811">
        <f>K811*(MIN(Inputs!$B$22+((C829=TRUE)*(F829-Calc!F22)),Inputs!$B$23+0)/100+(Inputs!$B$23+0)/100)/2</f>
        <v/>
      </c>
      <c r="M811">
        <f>L811*(1+(Inputs!$B$10+((C832=TRUE)*(F832-Calc!F25))+B842)/100)</f>
        <v/>
      </c>
      <c r="N811">
        <f>L811*(1-MIN((Inputs!$B$9+((C826=TRUE)*(F826-Calc!F19))+B837),100)/100)+M811*(MIN((Inputs!$B$9+((C826=TRUE)*(F826-Calc!F19))+B837),100)/100)</f>
        <v/>
      </c>
      <c r="O811">
        <f>(1-Summary!$B$55)*T811+Summary!$B$55*V811</f>
        <v/>
      </c>
      <c r="P811">
        <f>IF(B847=0,0,O811/B847)</f>
        <v/>
      </c>
      <c r="Q811">
        <f>IFERROR(1/IF(Inputs!$B$38="pvp",15,MAX(0.1,Skills!D4-IF(Skills!E4=TRUE,Inputs!$B$32,0))),0)</f>
        <v/>
      </c>
      <c r="R811">
        <f>IF(AND(Inputs!$B$38&lt;&gt;"pvp",Inputs!$B$43&gt;0),IF(MAX(0,Inputs!$B$43-B844)&lt;=0,0,(INT(MAX(0,Inputs!$B$43-B844)/IF(Inputs!$B$38="pvp",15,MAX(0.1,Skills!D4-IF(Skills!E4=TRUE,Inputs!$B$32,0))))+1)),0)</f>
        <v/>
      </c>
      <c r="S811">
        <f>IFERROR(O811/N811,0)</f>
        <v/>
      </c>
      <c r="T811">
        <f>IF(C811,(H811*N811*IF(AND(Inputs!$B$38&lt;&gt;"pvp",Inputs!$B$43&gt;0),((Skills!G4*((R811-1)*IF(Skills!H4&gt;0,Skills!I4/Skills!H4,1)+IF(Skills!H4&gt;0,MIN(Skills!I4,MAX(0,MAX(0,Inputs!$B$43-B844)-((R811-1)*IF(Inputs!$B$38="pvp",15,MAX(0.1,Skills!D4-IF(Skills!E4=TRUE,Inputs!$B$32,0))))))/Skills!H4,1)))/Inputs!$B$43),G811*Q811))*IF(Inputs!$B$38="pvp",1,1+(Inputs!$B$20+0+Skills!P4)/100),0)</f>
        <v/>
      </c>
      <c r="U811">
        <f>290*U810/1000</f>
        <v/>
      </c>
      <c r="V811">
        <f>IF(C811,(H811*N811*IF(AND(Inputs!$B$38&lt;&gt;"pvp",Inputs!$B$43&gt;0),((Skills!G4*((R811-1)*IF(Skills!H4&gt;0,Skills!I4/Skills!H4,1)+IF(Skills!H4&gt;0,MIN(Skills!I4,MAX(0,MAX(0,Inputs!$B$43-B844)-((R811-1)*IF(Inputs!$B$38="pvp",15,MAX(0.1,Skills!D4-IF(Skills!E4=TRUE,Inputs!$B$32,0))))))/Skills!H4,1)))/Inputs!$B$43),G811*Q811))*IF(Inputs!$B$38="pvp",1,(1+(Inputs!$B$21+Skills!Q4)/100)*(MIN(Skills!R4,Inputs!$B$37))),0)</f>
        <v/>
      </c>
    </row>
    <row r="812">
      <c r="A812">
        <f>Skills!A5</f>
        <v/>
      </c>
      <c r="B812">
        <f>Skills!B5</f>
        <v/>
      </c>
      <c r="C812">
        <f>Inputs!$B$3&gt;=45</f>
        <v/>
      </c>
      <c r="D812">
        <f>IF(Skills!C5=1,60+Inputs!$B$25+Inputs!$B$29,IF(Skills!C5=2,90+Inputs!$B$26+Inputs!$B$29,IF(Skills!C5=3,120+(Inputs!$B$27+1)+Inputs!$B$29,MAX(0,(Inputs!$B$3-100)*3)+Inputs!$B$28+Inputs!$B$29)))</f>
        <v/>
      </c>
      <c r="E812">
        <f>INDEX(FactorTable!$B$2:$Y$301, MATCH(ROUND(MIN(300,MAX(1,D812)),0), FactorTable!$A$2:$A$301,0), Skills!M5+1)</f>
        <v/>
      </c>
      <c r="F812">
        <f>IF(Skills!N5=TRUE,(Skills!L5/10)*(E812/1000),Skills!L5/10)+Skills!O5</f>
        <v/>
      </c>
      <c r="G812">
        <f>Skills!G5*IF(Skills!H5&gt;0,Skills!I5/Skills!H5,1)</f>
        <v/>
      </c>
      <c r="H812">
        <f>1-(1-Skills!J5/100)^Skills!K5</f>
        <v/>
      </c>
      <c r="I812" t="inlineStr">
        <is>
          <t>1</t>
        </is>
      </c>
      <c r="J812">
        <f>((Inputs!$B$6*(1+Inputs!$B$7/100))+(((Inputs!$B$12*(1+Inputs!$B$13/100))-(Inputs!$B$12*(1+Inputs!$B$13/100)))+0.25*(Inputs!$B$14-Inputs!$B$14))*(1+Inputs!$B$7/100))*(F812/100)</f>
        <v/>
      </c>
      <c r="K812">
        <f>J812*(1+((Inputs!$B$12*(1+Inputs!$B$13/100))*0.01+Inputs!$B$14*0.0025)/100)*(1+Inputs!$B$15/100)*(1+Inputs!$B$16/100)*(5000/(6000+Inputs!$B$42*(1-(Inputs!$B$19+0)/100)))*(1+(Inputs!$B$24+((C833=TRUE)*(F833-Calc!F26))+B843)/100)*(1+0.4*IF(C823=TRUE,F823,0)/100)*(1+(IF(Skills!A5="EIGHT_LEGS_EASTON",Inputs!$B$17+((C830=TRUE)*(F830-Calc!F23))+((C834=TRUE)*(F834-Calc!F27)),Inputs!$B$18+0))/100)*((1+(((C824=TRUE)*F824)+((C831=TRUE)*(F831-Calc!F24)))/100)*I812)</f>
        <v/>
      </c>
      <c r="L812">
        <f>K812*(MIN(Inputs!$B$22+((C829=TRUE)*(F829-Calc!F22)),Inputs!$B$23+0)/100+(Inputs!$B$23+0)/100)/2</f>
        <v/>
      </c>
      <c r="M812">
        <f>L812*(1+(Inputs!$B$10+((C832=TRUE)*(F832-Calc!F25))+B842)/100)</f>
        <v/>
      </c>
      <c r="N812">
        <f>L812*(1-MIN((Inputs!$B$9+((C826=TRUE)*(F826-Calc!F19))+B837),100)/100)+M812*(MIN((Inputs!$B$9+((C826=TRUE)*(F826-Calc!F19))+B837),100)/100)</f>
        <v/>
      </c>
      <c r="O812">
        <f>(1-Summary!$B$55)*T812+Summary!$B$55*V812</f>
        <v/>
      </c>
      <c r="P812">
        <f>IF(B847=0,0,O812/B847)</f>
        <v/>
      </c>
      <c r="Q812">
        <f>IFERROR(1/IF(Inputs!$B$38="pvp",15,MAX(0.1,Skills!D5-IF(Skills!E5=TRUE,Inputs!$B$32,0))),0)</f>
        <v/>
      </c>
      <c r="R812">
        <f>IF(AND(Inputs!$B$38&lt;&gt;"pvp",Inputs!$B$43&gt;0),IF(MAX(0,Inputs!$B$43-B844)&lt;=0,0,(INT(MAX(0,Inputs!$B$43-B844)/IF(Inputs!$B$38="pvp",15,MAX(0.1,Skills!D5-IF(Skills!E5=TRUE,Inputs!$B$32,0))))+1)),0)</f>
        <v/>
      </c>
      <c r="S812">
        <f>IFERROR(O812/N812,0)</f>
        <v/>
      </c>
      <c r="T812">
        <f>IF(C812,(H812*N812*IF(AND(Inputs!$B$38&lt;&gt;"pvp",Inputs!$B$43&gt;0),((Skills!G5*((R812-1)*IF(Skills!H5&gt;0,Skills!I5/Skills!H5,1)+IF(Skills!H5&gt;0,MIN(Skills!I5,MAX(0,MAX(0,Inputs!$B$43-B844)-((R812-1)*IF(Inputs!$B$38="pvp",15,MAX(0.1,Skills!D5-IF(Skills!E5=TRUE,Inputs!$B$32,0))))))/Skills!H5,1)))/Inputs!$B$43),G812*Q812))*IF(Inputs!$B$38="pvp",1,1+(Inputs!$B$20+0+Skills!P5)/100),0)</f>
        <v/>
      </c>
      <c r="V812">
        <f>IF(C812,(H812*N812*IF(AND(Inputs!$B$38&lt;&gt;"pvp",Inputs!$B$43&gt;0),((Skills!G5*((R812-1)*IF(Skills!H5&gt;0,Skills!I5/Skills!H5,1)+IF(Skills!H5&gt;0,MIN(Skills!I5,MAX(0,MAX(0,Inputs!$B$43-B844)-((R812-1)*IF(Inputs!$B$38="pvp",15,MAX(0.1,Skills!D5-IF(Skills!E5=TRUE,Inputs!$B$32,0))))))/Skills!H5,1)))/Inputs!$B$43),G812*Q812))*IF(Inputs!$B$38="pvp",1,(1+(Inputs!$B$21+Skills!Q5)/100)*(MIN(Skills!R5,Inputs!$B$37))),0)</f>
        <v/>
      </c>
    </row>
    <row r="813">
      <c r="A813">
        <f>Skills!A6</f>
        <v/>
      </c>
      <c r="B813">
        <f>Skills!B6</f>
        <v/>
      </c>
      <c r="C813">
        <f>Inputs!$B$3&gt;=63</f>
        <v/>
      </c>
      <c r="D813">
        <f>IF(Skills!C6=1,60+Inputs!$B$25+Inputs!$B$29,IF(Skills!C6=2,90+Inputs!$B$26+Inputs!$B$29,IF(Skills!C6=3,120+(Inputs!$B$27+1)+Inputs!$B$29,MAX(0,(Inputs!$B$3-100)*3)+Inputs!$B$28+Inputs!$B$29)))</f>
        <v/>
      </c>
      <c r="E813">
        <f>INDEX(FactorTable!$B$2:$Y$301, MATCH(ROUND(MIN(300,MAX(1,D813)),0), FactorTable!$A$2:$A$301,0), Skills!M6+1)</f>
        <v/>
      </c>
      <c r="F813">
        <f>IF(Skills!N6=TRUE,(Skills!L6/10)*(E813/1000),Skills!L6/10)+Skills!O6</f>
        <v/>
      </c>
      <c r="G813">
        <f>Skills!G6*IF(Skills!H6&gt;0,Skills!I6/Skills!H6,1)</f>
        <v/>
      </c>
      <c r="H813">
        <f>1-(1-Skills!J6/100)^Skills!K6</f>
        <v/>
      </c>
      <c r="I813" t="inlineStr">
        <is>
          <t>1</t>
        </is>
      </c>
      <c r="J813">
        <f>((Inputs!$B$6*(1+Inputs!$B$7/100))+(((Inputs!$B$12*(1+Inputs!$B$13/100))-(Inputs!$B$12*(1+Inputs!$B$13/100)))+0.25*(Inputs!$B$14-Inputs!$B$14))*(1+Inputs!$B$7/100))*(F813/100)</f>
        <v/>
      </c>
      <c r="K813">
        <f>J813*(1+((Inputs!$B$12*(1+Inputs!$B$13/100))*0.01+Inputs!$B$14*0.0025)/100)*(1+Inputs!$B$15/100)*(1+Inputs!$B$16/100)*(5000/(6000+Inputs!$B$42*(1-(Inputs!$B$19+0)/100)))*(1+(Inputs!$B$24+((C833=TRUE)*(F833-Calc!F26))+B843)/100)*(1+2.0*IF(C822=TRUE,F822,0)/100)*(1+(IF(Skills!A6="EIGHT_LEGS_EASTON",Inputs!$B$17+((C830=TRUE)*(F830-Calc!F23))+((C834=TRUE)*(F834-Calc!F27)),Inputs!$B$18+0))/100)*((1+(((C824=TRUE)*F824)+((C831=TRUE)*(F831-Calc!F24)))/100)*I813)</f>
        <v/>
      </c>
      <c r="L813">
        <f>K813*(MIN(Inputs!$B$22+((C829=TRUE)*(F829-Calc!F22)),Inputs!$B$23+0)/100+(Inputs!$B$23+0)/100)/2</f>
        <v/>
      </c>
      <c r="M813">
        <f>L813*(1+(Inputs!$B$10+((C832=TRUE)*(F832-Calc!F25))+B842)/100)</f>
        <v/>
      </c>
      <c r="N813">
        <f>L813*(1-MIN((Inputs!$B$9+((C826=TRUE)*(F826-Calc!F19))+B837),100)/100)+M813*(MIN((Inputs!$B$9+((C826=TRUE)*(F826-Calc!F19))+B837),100)/100)</f>
        <v/>
      </c>
      <c r="O813">
        <f>(1-Summary!$B$55)*T813+Summary!$B$55*V813</f>
        <v/>
      </c>
      <c r="P813">
        <f>IF(B847=0,0,O813/B847)</f>
        <v/>
      </c>
      <c r="Q813">
        <f>IFERROR(1/IF(Inputs!$B$38="pvp",15,MAX(0.1,Skills!D6-IF(Skills!E6=TRUE,Inputs!$B$32,0))),0)</f>
        <v/>
      </c>
      <c r="R813">
        <f>IF(AND(Inputs!$B$38&lt;&gt;"pvp",Inputs!$B$43&gt;0),IF(MAX(0,Inputs!$B$43-B844)&lt;=0,0,(INT(MAX(0,Inputs!$B$43-B844)/IF(Inputs!$B$38="pvp",15,MAX(0.1,Skills!D6-IF(Skills!E6=TRUE,Inputs!$B$32,0))))+1)),0)</f>
        <v/>
      </c>
      <c r="S813">
        <f>IFERROR(O813/N813,0)</f>
        <v/>
      </c>
      <c r="T813">
        <f>IF(C813,(H813*N813*IF(AND(Inputs!$B$38&lt;&gt;"pvp",Inputs!$B$43&gt;0),((Skills!G6*((R813-1)*IF(Skills!H6&gt;0,Skills!I6/Skills!H6,1)+IF(Skills!H6&gt;0,MIN(Skills!I6,MAX(0,MAX(0,Inputs!$B$43-B844)-((R813-1)*IF(Inputs!$B$38="pvp",15,MAX(0.1,Skills!D6-IF(Skills!E6=TRUE,Inputs!$B$32,0))))))/Skills!H6,1)))/Inputs!$B$43),G813*Q813))*IF(Inputs!$B$38="pvp",1,1+(Inputs!$B$20+0+Skills!P6)/100),0)</f>
        <v/>
      </c>
      <c r="V813">
        <f>IF(C813,(H813*N813*IF(AND(Inputs!$B$38&lt;&gt;"pvp",Inputs!$B$43&gt;0),((Skills!G6*((R813-1)*IF(Skills!H6&gt;0,Skills!I6/Skills!H6,1)+IF(Skills!H6&gt;0,MIN(Skills!I6,MAX(0,MAX(0,Inputs!$B$43-B844)-((R813-1)*IF(Inputs!$B$38="pvp",15,MAX(0.1,Skills!D6-IF(Skills!E6=TRUE,Inputs!$B$32,0))))))/Skills!H6,1)))/Inputs!$B$43),G813*Q813))*IF(Inputs!$B$38="pvp",1,(1+(Inputs!$B$21+Skills!Q6)/100)*(MIN(Skills!R6,Inputs!$B$37))),0)</f>
        <v/>
      </c>
    </row>
    <row r="814">
      <c r="A814">
        <f>Skills!A7</f>
        <v/>
      </c>
      <c r="B814">
        <f>Skills!B7</f>
        <v/>
      </c>
      <c r="C814">
        <f>Inputs!$B$3&gt;=66</f>
        <v/>
      </c>
      <c r="D814">
        <f>IF(Skills!C7=1,60+Inputs!$B$25+Inputs!$B$29,IF(Skills!C7=2,90+Inputs!$B$26+Inputs!$B$29,IF(Skills!C7=3,120+(Inputs!$B$27+1)+Inputs!$B$29,MAX(0,(Inputs!$B$3-100)*3)+Inputs!$B$28+Inputs!$B$29)))</f>
        <v/>
      </c>
      <c r="E814">
        <f>INDEX(FactorTable!$B$2:$Y$301, MATCH(ROUND(MIN(300,MAX(1,D814)),0), FactorTable!$A$2:$A$301,0), Skills!M7+1)</f>
        <v/>
      </c>
      <c r="F814">
        <f>IF(Skills!N7=TRUE,(Skills!L7/10)*(E814/1000),Skills!L7/10)+Skills!O7</f>
        <v/>
      </c>
      <c r="G814">
        <f>Skills!G7*IF(Skills!H7&gt;0,Skills!I7/Skills!H7,1)</f>
        <v/>
      </c>
      <c r="H814">
        <f>1-(1-Skills!J7/100)^Skills!K7</f>
        <v/>
      </c>
      <c r="I814" t="inlineStr">
        <is>
          <t>1</t>
        </is>
      </c>
      <c r="J814">
        <f>((Inputs!$B$6*(1+Inputs!$B$7/100))+(((Inputs!$B$12*(1+Inputs!$B$13/100))-(Inputs!$B$12*(1+Inputs!$B$13/100)))+0.25*(Inputs!$B$14-Inputs!$B$14))*(1+Inputs!$B$7/100))*(F814/100)</f>
        <v/>
      </c>
      <c r="K814">
        <f>J814*(1+((Inputs!$B$12*(1+Inputs!$B$13/100))*0.01+Inputs!$B$14*0.0025)/100)*(1+Inputs!$B$15/100)*(1+Inputs!$B$16/100)*(5000/(6000+Inputs!$B$42*(1-(Inputs!$B$19+0)/100)))*(1+(Inputs!$B$24+((C833=TRUE)*(F833-Calc!F26))+B843)/100)*(1+1.0*IF(C822=TRUE,F822,0)/100)*(1+(IF(Skills!A7="EIGHT_LEGS_EASTON",Inputs!$B$17+((C830=TRUE)*(F830-Calc!F23))+((C834=TRUE)*(F834-Calc!F27)),Inputs!$B$18+0))/100)*((1+(((C824=TRUE)*F824)+((C831=TRUE)*(F831-Calc!F24)))/100)*I814)</f>
        <v/>
      </c>
      <c r="L814">
        <f>K814*(MIN(Inputs!$B$22+((C829=TRUE)*(F829-Calc!F22)),Inputs!$B$23+0)/100+(Inputs!$B$23+0)/100)/2</f>
        <v/>
      </c>
      <c r="M814">
        <f>L814*(1+(Inputs!$B$10+((C832=TRUE)*(F832-Calc!F25))+B842)/100)</f>
        <v/>
      </c>
      <c r="N814">
        <f>L814*(1-MIN((Inputs!$B$9+((C826=TRUE)*(F826-Calc!F19))+B837),100)/100)+M814*(MIN((Inputs!$B$9+((C826=TRUE)*(F826-Calc!F19))+B837),100)/100)</f>
        <v/>
      </c>
      <c r="O814">
        <f>(1-Summary!$B$55)*T814+Summary!$B$55*V814</f>
        <v/>
      </c>
      <c r="P814">
        <f>IF(B847=0,0,O814/B847)</f>
        <v/>
      </c>
      <c r="Q814">
        <f>IFERROR(1/IF(Inputs!$B$38="pvp",15,MAX(0.1,Skills!D7-IF(Skills!E7=TRUE,Inputs!$B$32,0))),0)</f>
        <v/>
      </c>
      <c r="R814">
        <f>IF(AND(Inputs!$B$38&lt;&gt;"pvp",Inputs!$B$43&gt;0),IF(MAX(0,Inputs!$B$43-B844)&lt;=0,0,(INT(MAX(0,Inputs!$B$43-B844)/IF(Inputs!$B$38="pvp",15,MAX(0.1,Skills!D7-IF(Skills!E7=TRUE,Inputs!$B$32,0))))+1)),0)</f>
        <v/>
      </c>
      <c r="S814">
        <f>IFERROR(O814/N814,0)</f>
        <v/>
      </c>
      <c r="T814">
        <f>IF(C814,(H814*N814*IF(AND(Inputs!$B$38&lt;&gt;"pvp",Inputs!$B$43&gt;0),((Skills!G7*((R814-1)*IF(Skills!H7&gt;0,Skills!I7/Skills!H7,1)+IF(Skills!H7&gt;0,MIN(Skills!I7,MAX(0,MAX(0,Inputs!$B$43-B844)-((R814-1)*IF(Inputs!$B$38="pvp",15,MAX(0.1,Skills!D7-IF(Skills!E7=TRUE,Inputs!$B$32,0))))))/Skills!H7,1)))/Inputs!$B$43),G814*Q814))*IF(Inputs!$B$38="pvp",1,1+(Inputs!$B$20+0+Skills!P7)/100),0)</f>
        <v/>
      </c>
      <c r="V814">
        <f>IF(C814,(H814*N814*IF(AND(Inputs!$B$38&lt;&gt;"pvp",Inputs!$B$43&gt;0),((Skills!G7*((R814-1)*IF(Skills!H7&gt;0,Skills!I7/Skills!H7,1)+IF(Skills!H7&gt;0,MIN(Skills!I7,MAX(0,MAX(0,Inputs!$B$43-B844)-((R814-1)*IF(Inputs!$B$38="pvp",15,MAX(0.1,Skills!D7-IF(Skills!E7=TRUE,Inputs!$B$32,0))))))/Skills!H7,1)))/Inputs!$B$43),G814*Q814))*IF(Inputs!$B$38="pvp",1,(1+(Inputs!$B$21+Skills!Q7)/100)*(MIN(Skills!R7,Inputs!$B$37))),0)</f>
        <v/>
      </c>
    </row>
    <row r="815">
      <c r="A815">
        <f>Skills!A8</f>
        <v/>
      </c>
      <c r="B815">
        <f>Skills!B8</f>
        <v/>
      </c>
      <c r="C815">
        <f>Inputs!$B$3&gt;=100</f>
        <v/>
      </c>
      <c r="D815">
        <f>IF(Skills!C8=1,60+Inputs!$B$25+Inputs!$B$29,IF(Skills!C8=2,90+Inputs!$B$26+Inputs!$B$29,IF(Skills!C8=3,120+(Inputs!$B$27+1)+Inputs!$B$29,MAX(0,(Inputs!$B$3-100)*3)+Inputs!$B$28+Inputs!$B$29)))</f>
        <v/>
      </c>
      <c r="E815">
        <f>INDEX(FactorTable!$B$2:$Y$301, MATCH(ROUND(MIN(300,MAX(1,D815)),0), FactorTable!$A$2:$A$301,0), Skills!M8+1)</f>
        <v/>
      </c>
      <c r="F815">
        <f>IF(Skills!N8=TRUE,(Skills!L8/10)*(E815/1000),Skills!L8/10)+Skills!O8</f>
        <v/>
      </c>
      <c r="G815">
        <f>Skills!G8*IF(Skills!H8&gt;0,Skills!I8/Skills!H8,1)</f>
        <v/>
      </c>
      <c r="H815">
        <f>1-(1-Skills!J8/100)^Skills!K8</f>
        <v/>
      </c>
      <c r="I815" t="inlineStr">
        <is>
          <t>1</t>
        </is>
      </c>
      <c r="J815">
        <f>((Inputs!$B$6*(1+Inputs!$B$7/100))+(((Inputs!$B$12*(1+Inputs!$B$13/100))-(Inputs!$B$12*(1+Inputs!$B$13/100)))+0.25*(Inputs!$B$14-Inputs!$B$14))*(1+Inputs!$B$7/100))*(F815/100)</f>
        <v/>
      </c>
      <c r="K815">
        <f>J815*(1+((Inputs!$B$12*(1+Inputs!$B$13/100))*0.01+Inputs!$B$14*0.0025)/100)*(1+Inputs!$B$15/100)*(1+Inputs!$B$16/100)*(5000/(6000+Inputs!$B$42*(1-(Inputs!$B$19+0)/100)))*(1+(Inputs!$B$24+((C833=TRUE)*(F833-Calc!F26))+B843)/100)*(1+(IF(Skills!A8="EIGHT_LEGS_EASTON",Inputs!$B$17+((C830=TRUE)*(F830-Calc!F23))+((C834=TRUE)*(F834-Calc!F27)),Inputs!$B$18+0))/100)*((1+(((C824=TRUE)*F824)+((C831=TRUE)*(F831-Calc!F24)))/100)*I815)</f>
        <v/>
      </c>
      <c r="L815">
        <f>K815*(MIN(Inputs!$B$22+((C829=TRUE)*(F829-Calc!F22)),Inputs!$B$23+0)/100+(Inputs!$B$23+0)/100)/2</f>
        <v/>
      </c>
      <c r="M815">
        <f>L815*(1+(Inputs!$B$10+((C832=TRUE)*(F832-Calc!F25))+B842)/100)</f>
        <v/>
      </c>
      <c r="N815">
        <f>L815*(1-MIN((Inputs!$B$9+((C826=TRUE)*(F826-Calc!F19))+B837),100)/100)+M815*(MIN((Inputs!$B$9+((C826=TRUE)*(F826-Calc!F19))+B837),100)/100)</f>
        <v/>
      </c>
      <c r="O815">
        <f>(1-Summary!$B$55)*T815+Summary!$B$55*V815</f>
        <v/>
      </c>
      <c r="P815">
        <f>IF(B847=0,0,O815/B847)</f>
        <v/>
      </c>
      <c r="Q815">
        <f>IFERROR(1/IF(Inputs!$B$38="pvp",15,MAX(0.1,Skills!D8-IF(Skills!E8=TRUE,Inputs!$B$32,0))),0)</f>
        <v/>
      </c>
      <c r="R815">
        <f>IF(AND(Inputs!$B$38&lt;&gt;"pvp",Inputs!$B$43&gt;0),IF(MAX(0,Inputs!$B$43-B844)&lt;=0,0,(INT(MAX(0,Inputs!$B$43-B844)/IF(Inputs!$B$38="pvp",15,MAX(0.1,Skills!D8-IF(Skills!E8=TRUE,Inputs!$B$32,0))))+1)),0)</f>
        <v/>
      </c>
      <c r="S815">
        <f>IFERROR(O815/N815,0)</f>
        <v/>
      </c>
      <c r="T815">
        <f>IF(C815,(H815*N815*IF(AND(Inputs!$B$38&lt;&gt;"pvp",Inputs!$B$43&gt;0),((Skills!G8*((R815-1)*IF(Skills!H8&gt;0,Skills!I8/Skills!H8,1)+IF(Skills!H8&gt;0,MIN(Skills!I8,MAX(0,MAX(0,Inputs!$B$43-B844)-((R815-1)*IF(Inputs!$B$38="pvp",15,MAX(0.1,Skills!D8-IF(Skills!E8=TRUE,Inputs!$B$32,0))))))/Skills!H8,1)))/Inputs!$B$43),G815*Q815))*IF(Inputs!$B$38="pvp",1,1+(Inputs!$B$20+0+Skills!P8)/100),0)</f>
        <v/>
      </c>
      <c r="V815">
        <f>IF(C815,(H815*N815*IF(AND(Inputs!$B$38&lt;&gt;"pvp",Inputs!$B$43&gt;0),((Skills!G8*((R815-1)*IF(Skills!H8&gt;0,Skills!I8/Skills!H8,1)+IF(Skills!H8&gt;0,MIN(Skills!I8,MAX(0,MAX(0,Inputs!$B$43-B844)-((R815-1)*IF(Inputs!$B$38="pvp",15,MAX(0.1,Skills!D8-IF(Skills!E8=TRUE,Inputs!$B$32,0))))))/Skills!H8,1)))/Inputs!$B$43),G815*Q815))*IF(Inputs!$B$38="pvp",1,(1+(Inputs!$B$21+Skills!Q8)/100)*(MIN(Skills!R8,Inputs!$B$37))),0)</f>
        <v/>
      </c>
    </row>
    <row r="816">
      <c r="A816">
        <f>Skills!A9</f>
        <v/>
      </c>
      <c r="B816">
        <f>Skills!B9</f>
        <v/>
      </c>
      <c r="C816">
        <f>Inputs!$B$3&gt;=103</f>
        <v/>
      </c>
      <c r="D816">
        <f>IF(Skills!C9=1,60+Inputs!$B$25+Inputs!$B$29,IF(Skills!C9=2,90+Inputs!$B$26+Inputs!$B$29,IF(Skills!C9=3,120+(Inputs!$B$27+1)+Inputs!$B$29,MAX(0,(Inputs!$B$3-100)*3)+Inputs!$B$28+Inputs!$B$29)))</f>
        <v/>
      </c>
      <c r="E816">
        <f>INDEX(FactorTable!$B$2:$Y$301, MATCH(ROUND(MIN(300,MAX(1,D816)),0), FactorTable!$A$2:$A$301,0), Skills!M9+1)</f>
        <v/>
      </c>
      <c r="F816">
        <f>IF(Skills!N9=TRUE,(Skills!L9/10)*(E816/1000),Skills!L9/10)+Skills!O9</f>
        <v/>
      </c>
      <c r="G816">
        <f>Skills!G9*IF(Skills!H9&gt;0,Skills!I9/Skills!H9,1)</f>
        <v/>
      </c>
      <c r="H816">
        <f>1-(1-Skills!J9/100)^Skills!K9</f>
        <v/>
      </c>
      <c r="I816" t="inlineStr">
        <is>
          <t>1</t>
        </is>
      </c>
      <c r="J816">
        <f>((Inputs!$B$6*(1+Inputs!$B$7/100))+(((Inputs!$B$12*(1+Inputs!$B$13/100))-(Inputs!$B$12*(1+Inputs!$B$13/100)))+0.25*(Inputs!$B$14-Inputs!$B$14))*(1+Inputs!$B$7/100))*(F816/100)</f>
        <v/>
      </c>
      <c r="K816">
        <f>J816*(1+((Inputs!$B$12*(1+Inputs!$B$13/100))*0.01+Inputs!$B$14*0.0025)/100)*(1+Inputs!$B$15/100)*(1+Inputs!$B$16/100)*(5000/(6000+Inputs!$B$42*(1-(Inputs!$B$19+0)/100)))*(1+(Inputs!$B$24+((C833=TRUE)*(F833-Calc!F26))+B843)/100)*(1+(IF(Skills!A9="EIGHT_LEGS_EASTON",Inputs!$B$17+((C830=TRUE)*(F830-Calc!F23))+((C834=TRUE)*(F834-Calc!F27)),Inputs!$B$18+0))/100)*((1+(((C824=TRUE)*F824)+((C831=TRUE)*(F831-Calc!F24)))/100)*I816)</f>
        <v/>
      </c>
      <c r="L816">
        <f>K816*(MIN(Inputs!$B$22+((C829=TRUE)*(F829-Calc!F22)),Inputs!$B$23+0)/100+(Inputs!$B$23+0)/100)/2</f>
        <v/>
      </c>
      <c r="M816">
        <f>L816*(1+(Inputs!$B$10+((C832=TRUE)*(F832-Calc!F25))+B842)/100)</f>
        <v/>
      </c>
      <c r="N816">
        <f>L816*(1-MIN((Inputs!$B$9+((C826=TRUE)*(F826-Calc!F19))+B837),100)/100)+M816*(MIN((Inputs!$B$9+((C826=TRUE)*(F826-Calc!F19))+B837),100)/100)</f>
        <v/>
      </c>
      <c r="O816">
        <f>(1-Summary!$B$55)*T816+Summary!$B$55*V816</f>
        <v/>
      </c>
      <c r="P816">
        <f>IF(B847=0,0,O816/B847)</f>
        <v/>
      </c>
      <c r="Q816">
        <f>IFERROR(1/IF(Inputs!$B$38="pvp",15,MAX(0.1,Skills!D9-IF(Skills!E9=TRUE,Inputs!$B$32,0))),0)</f>
        <v/>
      </c>
      <c r="R816">
        <f>IF(AND(Inputs!$B$38&lt;&gt;"pvp",Inputs!$B$43&gt;0),IF(MAX(0,Inputs!$B$43-B844)&lt;=0,0,(INT(MAX(0,Inputs!$B$43-B844)/IF(Inputs!$B$38="pvp",15,MAX(0.1,Skills!D9-IF(Skills!E9=TRUE,Inputs!$B$32,0))))+1)),0)</f>
        <v/>
      </c>
      <c r="S816">
        <f>IFERROR(O816/N816,0)</f>
        <v/>
      </c>
      <c r="T816">
        <f>IF(C816,(H816*N816*IF(AND(Inputs!$B$38&lt;&gt;"pvp",Inputs!$B$43&gt;0),((Skills!G9*((R816-1)*IF(Skills!H9&gt;0,Skills!I9/Skills!H9,1)+IF(Skills!H9&gt;0,MIN(Skills!I9,MAX(0,MAX(0,Inputs!$B$43-B844)-((R816-1)*IF(Inputs!$B$38="pvp",15,MAX(0.1,Skills!D9-IF(Skills!E9=TRUE,Inputs!$B$32,0))))))/Skills!H9,1)))/Inputs!$B$43),G816*Q816))*IF(Inputs!$B$38="pvp",1,1+(Inputs!$B$20+0+Skills!P9)/100),0)</f>
        <v/>
      </c>
      <c r="V816">
        <f>IF(C816,(H816*N816*IF(AND(Inputs!$B$38&lt;&gt;"pvp",Inputs!$B$43&gt;0),((Skills!G9*((R816-1)*IF(Skills!H9&gt;0,Skills!I9/Skills!H9,1)+IF(Skills!H9&gt;0,MIN(Skills!I9,MAX(0,MAX(0,Inputs!$B$43-B844)-((R816-1)*IF(Inputs!$B$38="pvp",15,MAX(0.1,Skills!D9-IF(Skills!E9=TRUE,Inputs!$B$32,0))))))/Skills!H9,1)))/Inputs!$B$43),G816*Q816))*IF(Inputs!$B$38="pvp",1,(1+(Inputs!$B$21+Skills!Q9)/100)*(MIN(Skills!R9,Inputs!$B$37))),0)</f>
        <v/>
      </c>
    </row>
    <row r="817">
      <c r="A817">
        <f>Skills!A10</f>
        <v/>
      </c>
      <c r="B817">
        <f>Skills!B10</f>
        <v/>
      </c>
      <c r="C817">
        <f>Inputs!$B$3&gt;=113</f>
        <v/>
      </c>
      <c r="D817">
        <f>IF(Skills!C10=1,60+Inputs!$B$25+Inputs!$B$29,IF(Skills!C10=2,90+Inputs!$B$26+Inputs!$B$29,IF(Skills!C10=3,120+(Inputs!$B$27+1)+Inputs!$B$29,MAX(0,(Inputs!$B$3-100)*3)+Inputs!$B$28+Inputs!$B$29)))</f>
        <v/>
      </c>
      <c r="E817">
        <f>INDEX(FactorTable!$B$2:$Y$301, MATCH(ROUND(MIN(300,MAX(1,D817)),0), FactorTable!$A$2:$A$301,0), Skills!M10+1)</f>
        <v/>
      </c>
      <c r="F817">
        <f>IF(Skills!N10=TRUE,(Skills!L10/10)*(E817/1000),Skills!L10/10)+Skills!O10</f>
        <v/>
      </c>
      <c r="G817">
        <f>Skills!G10*IF(Skills!H10&gt;0,Skills!I10/Skills!H10,1)</f>
        <v/>
      </c>
      <c r="H817">
        <f>1-(1-Skills!J10/100)^Skills!K10</f>
        <v/>
      </c>
      <c r="I817" t="inlineStr">
        <is>
          <t>1</t>
        </is>
      </c>
      <c r="J817">
        <f>((Inputs!$B$6*(1+Inputs!$B$7/100))+(((Inputs!$B$12*(1+Inputs!$B$13/100))-(Inputs!$B$12*(1+Inputs!$B$13/100)))+0.25*(Inputs!$B$14-Inputs!$B$14))*(1+Inputs!$B$7/100))*(F817/100)</f>
        <v/>
      </c>
      <c r="K817">
        <f>J817*(1+((Inputs!$B$12*(1+Inputs!$B$13/100))*0.01+Inputs!$B$14*0.0025)/100)*(1+Inputs!$B$15/100)*(1+Inputs!$B$16/100)*(5000/(6000+Inputs!$B$42*(1-(Inputs!$B$19+0)/100)))*(1+(Inputs!$B$24+((C833=TRUE)*(F833-Calc!F26))+B843)/100)*(1+(IF(Skills!A10="EIGHT_LEGS_EASTON",Inputs!$B$17+((C830=TRUE)*(F830-Calc!F23))+((C834=TRUE)*(F834-Calc!F27)),Inputs!$B$18+0))/100)*((1+(((C824=TRUE)*F824)+((C831=TRUE)*(F831-Calc!F24)))/100)*I817)</f>
        <v/>
      </c>
      <c r="L817">
        <f>K817*(MIN(Inputs!$B$22+((C829=TRUE)*(F829-Calc!F22)),Inputs!$B$23+0)/100+(Inputs!$B$23+0)/100)/2</f>
        <v/>
      </c>
      <c r="M817">
        <f>L817*(1+(Inputs!$B$10+((C832=TRUE)*(F832-Calc!F25))+B842)/100)</f>
        <v/>
      </c>
      <c r="N817">
        <f>L817*(1-MIN((Inputs!$B$9+((C826=TRUE)*(F826-Calc!F19))+B837),100)/100)+M817*(MIN((Inputs!$B$9+((C826=TRUE)*(F826-Calc!F19))+B837),100)/100)</f>
        <v/>
      </c>
      <c r="O817">
        <f>(1-Summary!$B$55)*T817+Summary!$B$55*V817</f>
        <v/>
      </c>
      <c r="P817">
        <f>IF(B847=0,0,O817/B847)</f>
        <v/>
      </c>
      <c r="Q817">
        <f>IFERROR(1/IF(Inputs!$B$38="pvp",15,MAX(0.1,Skills!D10-IF(Skills!E10=TRUE,Inputs!$B$32,0))),0)</f>
        <v/>
      </c>
      <c r="R817">
        <f>IF(AND(Inputs!$B$38&lt;&gt;"pvp",Inputs!$B$43&gt;0),IF(MAX(0,Inputs!$B$43-B844)&lt;=0,0,(INT(MAX(0,Inputs!$B$43-B844)/IF(Inputs!$B$38="pvp",15,MAX(0.1,Skills!D10-IF(Skills!E10=TRUE,Inputs!$B$32,0))))+1)),0)</f>
        <v/>
      </c>
      <c r="S817">
        <f>IFERROR(O817/N817,0)</f>
        <v/>
      </c>
      <c r="T817">
        <f>IF(C817,(H817*N817*IF(AND(Inputs!$B$38&lt;&gt;"pvp",Inputs!$B$43&gt;0),((Skills!G10*((R817-1)*IF(Skills!H10&gt;0,Skills!I10/Skills!H10,1)+IF(Skills!H10&gt;0,MIN(Skills!I10,MAX(0,MAX(0,Inputs!$B$43-B844)-((R817-1)*IF(Inputs!$B$38="pvp",15,MAX(0.1,Skills!D10-IF(Skills!E10=TRUE,Inputs!$B$32,0))))))/Skills!H10,1)))/Inputs!$B$43),G817*Q817))*IF(Inputs!$B$38="pvp",1,1+(Inputs!$B$20+0+Skills!P10)/100),0)</f>
        <v/>
      </c>
      <c r="V817">
        <f>IF(C817,(H817*N817*IF(AND(Inputs!$B$38&lt;&gt;"pvp",Inputs!$B$43&gt;0),((Skills!G10*((R817-1)*IF(Skills!H10&gt;0,Skills!I10/Skills!H10,1)+IF(Skills!H10&gt;0,MIN(Skills!I10,MAX(0,MAX(0,Inputs!$B$43-B844)-((R817-1)*IF(Inputs!$B$38="pvp",15,MAX(0.1,Skills!D10-IF(Skills!E10=TRUE,Inputs!$B$32,0))))))/Skills!H10,1)))/Inputs!$B$43),G817*Q817))*IF(Inputs!$B$38="pvp",1,(1+(Inputs!$B$21+Skills!Q10)/100)*(MIN(Skills!R10,Inputs!$B$37))),0)</f>
        <v/>
      </c>
    </row>
    <row r="818">
      <c r="A818">
        <f>Skills!A11</f>
        <v/>
      </c>
      <c r="B818">
        <f>Skills!B11</f>
        <v/>
      </c>
      <c r="C818">
        <f>Inputs!$B$3&gt;=107</f>
        <v/>
      </c>
      <c r="D818">
        <f>IF(Skills!C11=1,60+Inputs!$B$25+Inputs!$B$29,IF(Skills!C11=2,90+Inputs!$B$26+Inputs!$B$29,IF(Skills!C11=3,120+(Inputs!$B$27+1)+Inputs!$B$29,MAX(0,(Inputs!$B$3-100)*3)+Inputs!$B$28+Inputs!$B$29)))</f>
        <v/>
      </c>
      <c r="E818">
        <f>INDEX(FactorTable!$B$2:$Y$301, MATCH(ROUND(MIN(300,MAX(1,D818)),0), FactorTable!$A$2:$A$301,0), Skills!M11+1)</f>
        <v/>
      </c>
      <c r="F818">
        <f>IF(Skills!N11=TRUE,(Skills!L11/10)*(E818/1000),Skills!L11/10)+Skills!O11</f>
        <v/>
      </c>
      <c r="G818">
        <f>Skills!G11*IF(Skills!H11&gt;0,Skills!I11/Skills!H11,1)</f>
        <v/>
      </c>
      <c r="H818">
        <f>1-(1-Skills!J11/100)^Skills!K11</f>
        <v/>
      </c>
      <c r="I818" t="inlineStr">
        <is>
          <t>1</t>
        </is>
      </c>
      <c r="J818">
        <f>((Inputs!$B$6*(1+Inputs!$B$7/100))+(((Inputs!$B$12*(1+Inputs!$B$13/100))-(Inputs!$B$12*(1+Inputs!$B$13/100)))+0.25*(Inputs!$B$14-Inputs!$B$14))*(1+Inputs!$B$7/100))*(F818/100)</f>
        <v/>
      </c>
      <c r="K818">
        <f>J818*(1+((Inputs!$B$12*(1+Inputs!$B$13/100))*0.01+Inputs!$B$14*0.0025)/100)*(1+Inputs!$B$15/100)*(1+Inputs!$B$16/100)*(5000/(6000+Inputs!$B$42*(1-(Inputs!$B$19+0)/100)))*(1+(Inputs!$B$24+((C833=TRUE)*(F833-Calc!F26))+B843)/100)*(1+(IF(Skills!A11="EIGHT_LEGS_EASTON",Inputs!$B$17+((C830=TRUE)*(F830-Calc!F23))+((C834=TRUE)*(F834-Calc!F27)),Inputs!$B$18+0))/100)*((1+(((C824=TRUE)*F824)+((C831=TRUE)*(F831-Calc!F24)))/100)*I818)</f>
        <v/>
      </c>
      <c r="L818">
        <f>K818*(MIN(Inputs!$B$22+((C829=TRUE)*(F829-Calc!F22)),Inputs!$B$23+0)/100+(Inputs!$B$23+0)/100)/2</f>
        <v/>
      </c>
      <c r="M818">
        <f>L818*(1+(Inputs!$B$10+((C832=TRUE)*(F832-Calc!F25))+B842)/100)</f>
        <v/>
      </c>
      <c r="N818">
        <f>L818*(1-MIN((Inputs!$B$9+((C826=TRUE)*(F826-Calc!F19))+B837),100)/100)+M818*(MIN((Inputs!$B$9+((C826=TRUE)*(F826-Calc!F19))+B837),100)/100)</f>
        <v/>
      </c>
      <c r="O818">
        <f>(1-Summary!$B$55)*T818+Summary!$B$55*V818</f>
        <v/>
      </c>
      <c r="P818">
        <f>IF(B847=0,0,O818/B847)</f>
        <v/>
      </c>
      <c r="Q818">
        <f>IFERROR(1/IF(Inputs!$B$38="pvp",15,MAX(0.1,Skills!D11-IF(Skills!E11=TRUE,Inputs!$B$32,0))),0)</f>
        <v/>
      </c>
      <c r="R818">
        <f>IF(AND(Inputs!$B$38&lt;&gt;"pvp",Inputs!$B$43&gt;0),IF(MAX(0,Inputs!$B$43-B844)&lt;=0,0,(INT(MAX(0,Inputs!$B$43-B844)/IF(Inputs!$B$38="pvp",15,MAX(0.1,Skills!D11-IF(Skills!E11=TRUE,Inputs!$B$32,0))))+1)),0)</f>
        <v/>
      </c>
      <c r="S818">
        <f>IFERROR(O818/N818,0)</f>
        <v/>
      </c>
      <c r="T818">
        <f>IF(C818,(H818*N818*IF(AND(Inputs!$B$38&lt;&gt;"pvp",Inputs!$B$43&gt;0),((Skills!G11*((R818-1)*IF(Skills!H11&gt;0,Skills!I11/Skills!H11,1)+IF(Skills!H11&gt;0,MIN(Skills!I11,MAX(0,MAX(0,Inputs!$B$43-B844)-((R818-1)*IF(Inputs!$B$38="pvp",15,MAX(0.1,Skills!D11-IF(Skills!E11=TRUE,Inputs!$B$32,0))))))/Skills!H11,1)))/Inputs!$B$43),G818*Q818))*IF(Inputs!$B$38="pvp",1,1+(Inputs!$B$20+0+Skills!P11)/100),0)</f>
        <v/>
      </c>
      <c r="V818">
        <f>IF(C818,(H818*N818*IF(AND(Inputs!$B$38&lt;&gt;"pvp",Inputs!$B$43&gt;0),((Skills!G11*((R818-1)*IF(Skills!H11&gt;0,Skills!I11/Skills!H11,1)+IF(Skills!H11&gt;0,MIN(Skills!I11,MAX(0,MAX(0,Inputs!$B$43-B844)-((R818-1)*IF(Inputs!$B$38="pvp",15,MAX(0.1,Skills!D11-IF(Skills!E11=TRUE,Inputs!$B$32,0))))))/Skills!H11,1)))/Inputs!$B$43),G818*Q818))*IF(Inputs!$B$38="pvp",1,(1+(Inputs!$B$21+Skills!Q11)/100)*(MIN(Skills!R11,Inputs!$B$37))),0)</f>
        <v/>
      </c>
    </row>
    <row r="819">
      <c r="A819">
        <f>Skills!A12</f>
        <v/>
      </c>
      <c r="B819">
        <f>Skills!B12</f>
        <v/>
      </c>
      <c r="C819">
        <f>Inputs!$B$3&gt;=110</f>
        <v/>
      </c>
      <c r="D819">
        <f>IF(Skills!C12=1,60+Inputs!$B$25+Inputs!$B$29,IF(Skills!C12=2,90+Inputs!$B$26+Inputs!$B$29,IF(Skills!C12=3,120+(Inputs!$B$27+1)+Inputs!$B$29,MAX(0,(Inputs!$B$3-100)*3)+Inputs!$B$28+Inputs!$B$29)))</f>
        <v/>
      </c>
      <c r="E819">
        <f>INDEX(FactorTable!$B$2:$Y$301, MATCH(ROUND(MIN(300,MAX(1,D819)),0), FactorTable!$A$2:$A$301,0), Skills!M12+1)</f>
        <v/>
      </c>
      <c r="F819">
        <f>IF(Skills!N12=TRUE,(Skills!L12/10)*(E819/1000),Skills!L12/10)+Skills!O12</f>
        <v/>
      </c>
      <c r="G819">
        <f>Skills!G12*IF(Skills!H12&gt;0,Skills!I12/Skills!H12,1)</f>
        <v/>
      </c>
      <c r="H819">
        <f>1-(1-Skills!J12/100)^Skills!K12</f>
        <v/>
      </c>
      <c r="I819" t="inlineStr">
        <is>
          <t>1</t>
        </is>
      </c>
      <c r="J819">
        <f>((Inputs!$B$6*(1+Inputs!$B$7/100))+(((Inputs!$B$12*(1+Inputs!$B$13/100))-(Inputs!$B$12*(1+Inputs!$B$13/100)))+0.25*(Inputs!$B$14-Inputs!$B$14))*(1+Inputs!$B$7/100))*(F819/100)</f>
        <v/>
      </c>
      <c r="K819">
        <f>J819*(1+((Inputs!$B$12*(1+Inputs!$B$13/100))*0.01+Inputs!$B$14*0.0025)/100)*(1+Inputs!$B$15/100)*(1+Inputs!$B$16/100)*(5000/(6000+Inputs!$B$42*(1-(Inputs!$B$19+0)/100)))*(1+(Inputs!$B$24+((C833=TRUE)*(F833-Calc!F26))+B843)/100)*(1+(IF(Skills!A12="EIGHT_LEGS_EASTON",Inputs!$B$17+((C830=TRUE)*(F830-Calc!F23))+((C834=TRUE)*(F834-Calc!F27)),Inputs!$B$18+0))/100)*((1+(((C824=TRUE)*F824)+((C831=TRUE)*(F831-Calc!F24)))/100)*I819)</f>
        <v/>
      </c>
      <c r="L819">
        <f>K819*(MIN(Inputs!$B$22+((C829=TRUE)*(F829-Calc!F22)),Inputs!$B$23+0)/100+(Inputs!$B$23+0)/100)/2</f>
        <v/>
      </c>
      <c r="M819">
        <f>L819*(1+(Inputs!$B$10+((C832=TRUE)*(F832-Calc!F25))+B842)/100)</f>
        <v/>
      </c>
      <c r="N819">
        <f>L819*(1-MIN((Inputs!$B$9+((C826=TRUE)*(F826-Calc!F19))+B837),100)/100)+M819*(MIN((Inputs!$B$9+((C826=TRUE)*(F826-Calc!F19))+B837),100)/100)</f>
        <v/>
      </c>
      <c r="O819">
        <f>(1-Summary!$B$55)*T819+Summary!$B$55*V819</f>
        <v/>
      </c>
      <c r="P819">
        <f>IF(B847=0,0,O819/B847)</f>
        <v/>
      </c>
      <c r="Q819">
        <f>IFERROR(1/IF(Inputs!$B$38="pvp",15,MAX(0.1,Skills!D12-IF(Skills!E12=TRUE,Inputs!$B$32,0))),0)</f>
        <v/>
      </c>
      <c r="R819">
        <f>IF(AND(Inputs!$B$38&lt;&gt;"pvp",Inputs!$B$43&gt;0),IF(MAX(0,Inputs!$B$43-B844)&lt;=0,0,(INT(MAX(0,Inputs!$B$43-B844)/IF(Inputs!$B$38="pvp",15,MAX(0.1,Skills!D12-IF(Skills!E12=TRUE,Inputs!$B$32,0))))+1)),0)</f>
        <v/>
      </c>
      <c r="S819">
        <f>IFERROR(O819/N819,0)</f>
        <v/>
      </c>
      <c r="T819">
        <f>IF(C819,(H819*N819*IF(AND(Inputs!$B$38&lt;&gt;"pvp",Inputs!$B$43&gt;0),((Skills!G12*((R819-1)*IF(Skills!H12&gt;0,Skills!I12/Skills!H12,1)+IF(Skills!H12&gt;0,MIN(Skills!I12,MAX(0,MAX(0,Inputs!$B$43-B844)-((R819-1)*IF(Inputs!$B$38="pvp",15,MAX(0.1,Skills!D12-IF(Skills!E12=TRUE,Inputs!$B$32,0))))))/Skills!H12,1)))/Inputs!$B$43),G819*Q819))*IF(Inputs!$B$38="pvp",1,1+(Inputs!$B$20+0+Skills!P12)/100),0)</f>
        <v/>
      </c>
      <c r="V819">
        <f>IF(C819,(H819*N819*IF(AND(Inputs!$B$38&lt;&gt;"pvp",Inputs!$B$43&gt;0),((Skills!G12*((R819-1)*IF(Skills!H12&gt;0,Skills!I12/Skills!H12,1)+IF(Skills!H12&gt;0,MIN(Skills!I12,MAX(0,MAX(0,Inputs!$B$43-B844)-((R819-1)*IF(Inputs!$B$38="pvp",15,MAX(0.1,Skills!D12-IF(Skills!E12=TRUE,Inputs!$B$32,0))))))/Skills!H12,1)))/Inputs!$B$43),G819*Q819))*IF(Inputs!$B$38="pvp",1,(1+(Inputs!$B$21+Skills!Q12)/100)*(MIN(Skills!R12,Inputs!$B$37))),0)</f>
        <v/>
      </c>
    </row>
    <row r="820">
      <c r="A820">
        <f>Skills!A13</f>
        <v/>
      </c>
      <c r="B820">
        <f>Skills!B13</f>
        <v/>
      </c>
      <c r="C820">
        <f>Inputs!$B$3&gt;=110</f>
        <v/>
      </c>
      <c r="D820">
        <f>IF(Skills!C13=1,60+Inputs!$B$25+Inputs!$B$29,IF(Skills!C13=2,90+Inputs!$B$26+Inputs!$B$29,IF(Skills!C13=3,120+(Inputs!$B$27+1)+Inputs!$B$29,MAX(0,(Inputs!$B$3-100)*3)+Inputs!$B$28+Inputs!$B$29)))</f>
        <v/>
      </c>
      <c r="E820">
        <f>INDEX(FactorTable!$B$2:$Y$301, MATCH(ROUND(MIN(300,MAX(1,D820)),0), FactorTable!$A$2:$A$301,0), Skills!M13+1)</f>
        <v/>
      </c>
      <c r="F820">
        <f>IF(Skills!N13=TRUE,(Skills!L13/10)*(E820/1000),Skills!L13/10)+Skills!O13</f>
        <v/>
      </c>
      <c r="G820">
        <f>Skills!G13*IF(Skills!H13&gt;0,Skills!I13/Skills!H13,1)</f>
        <v/>
      </c>
      <c r="H820">
        <f>1-(1-Skills!J13/100)^Skills!K13</f>
        <v/>
      </c>
      <c r="I820" t="inlineStr">
        <is>
          <t>1</t>
        </is>
      </c>
      <c r="J820">
        <f>((Inputs!$B$6*(1+Inputs!$B$7/100))+(((Inputs!$B$12*(1+Inputs!$B$13/100))-(Inputs!$B$12*(1+Inputs!$B$13/100)))+0.25*(Inputs!$B$14-Inputs!$B$14))*(1+Inputs!$B$7/100))*(F820/100)</f>
        <v/>
      </c>
      <c r="K820">
        <f>J820*(1+((Inputs!$B$12*(1+Inputs!$B$13/100))*0.01+Inputs!$B$14*0.0025)/100)*(1+Inputs!$B$15/100)*(1+Inputs!$B$16/100)*(5000/(6000+Inputs!$B$42*(1-(Inputs!$B$19+0)/100)))*(1+(Inputs!$B$24+((C833=TRUE)*(F833-Calc!F26))+B843)/100)*(1+(IF(Skills!A13="EIGHT_LEGS_EASTON",Inputs!$B$17+((C830=TRUE)*(F830-Calc!F23))+((C834=TRUE)*(F834-Calc!F27)),Inputs!$B$18+0))/100)*((1+(((C824=TRUE)*F824)+((C831=TRUE)*(F831-Calc!F24)))/100)*I820)</f>
        <v/>
      </c>
      <c r="L820">
        <f>K820*(MIN(Inputs!$B$22+((C829=TRUE)*(F829-Calc!F22)),Inputs!$B$23+0)/100+(Inputs!$B$23+0)/100)/2</f>
        <v/>
      </c>
      <c r="M820">
        <f>L820*(1+(Inputs!$B$10+((C832=TRUE)*(F832-Calc!F25))+B842)/100)</f>
        <v/>
      </c>
      <c r="N820">
        <f>L820*(1-MIN((Inputs!$B$9+((C826=TRUE)*(F826-Calc!F19))+B837),100)/100)+M820*(MIN((Inputs!$B$9+((C826=TRUE)*(F826-Calc!F19))+B837),100)/100)</f>
        <v/>
      </c>
      <c r="O820">
        <f>(1-Summary!$B$55)*T820+Summary!$B$55*V820</f>
        <v/>
      </c>
      <c r="P820">
        <f>IF(B847=0,0,O820/B847)</f>
        <v/>
      </c>
      <c r="Q820">
        <f>IFERROR(1/IF(Inputs!$B$38="pvp",15,MAX(0.1,Skills!D13-IF(Skills!E13=TRUE,Inputs!$B$32,0))),0)</f>
        <v/>
      </c>
      <c r="R820">
        <f>IF(AND(Inputs!$B$38&lt;&gt;"pvp",Inputs!$B$43&gt;0),IF(MAX(0,Inputs!$B$43-B844)&lt;=0,0,(INT(MAX(0,Inputs!$B$43-B844)/IF(Inputs!$B$38="pvp",15,MAX(0.1,Skills!D13-IF(Skills!E13=TRUE,Inputs!$B$32,0))))+1)),0)</f>
        <v/>
      </c>
      <c r="S820">
        <f>IFERROR(O820/N820,0)</f>
        <v/>
      </c>
      <c r="T820">
        <f>IF(C820,(H820*N820*IF(AND(Inputs!$B$38&lt;&gt;"pvp",Inputs!$B$43&gt;0),((Skills!G13*((R820-1)*IF(Skills!H13&gt;0,Skills!I13/Skills!H13,1)+IF(Skills!H13&gt;0,MIN(Skills!I13,MAX(0,MAX(0,Inputs!$B$43-B844)-((R820-1)*IF(Inputs!$B$38="pvp",15,MAX(0.1,Skills!D13-IF(Skills!E13=TRUE,Inputs!$B$32,0))))))/Skills!H13,1)))/Inputs!$B$43),G820*Q820))*IF(Inputs!$B$38="pvp",1,1+(Inputs!$B$20+0+Skills!P13)/100),0)</f>
        <v/>
      </c>
      <c r="V820">
        <f>IF(C820,(H820*N820*IF(AND(Inputs!$B$38&lt;&gt;"pvp",Inputs!$B$43&gt;0),((Skills!G13*((R820-1)*IF(Skills!H13&gt;0,Skills!I13/Skills!H13,1)+IF(Skills!H13&gt;0,MIN(Skills!I13,MAX(0,MAX(0,Inputs!$B$43-B844)-((R820-1)*IF(Inputs!$B$38="pvp",15,MAX(0.1,Skills!D13-IF(Skills!E13=TRUE,Inputs!$B$32,0))))))/Skills!H13,1)))/Inputs!$B$43),G820*Q820))*IF(Inputs!$B$38="pvp",1,(1+(Inputs!$B$21+Skills!Q13)/100)*(MIN(Skills!R13,Inputs!$B$37))),0)</f>
        <v/>
      </c>
    </row>
    <row r="821">
      <c r="A821">
        <f>Skills!A14</f>
        <v/>
      </c>
      <c r="B821">
        <f>Skills!B14</f>
        <v/>
      </c>
      <c r="C821">
        <f>Inputs!$B$3&gt;=125</f>
        <v/>
      </c>
      <c r="D821">
        <f>IF(Skills!C14=1,60+Inputs!$B$25+Inputs!$B$29,IF(Skills!C14=2,90+Inputs!$B$26+Inputs!$B$29,IF(Skills!C14=3,120+(Inputs!$B$27+1)+Inputs!$B$29,MAX(0,(Inputs!$B$3-100)*3)+Inputs!$B$28+Inputs!$B$29)))</f>
        <v/>
      </c>
      <c r="E821">
        <f>INDEX(FactorTable!$B$2:$Y$301, MATCH(ROUND(MIN(300,MAX(1,D821)),0), FactorTable!$A$2:$A$301,0), Skills!M14+1)</f>
        <v/>
      </c>
      <c r="F821">
        <f>IF(Skills!N14=TRUE,(Skills!L14/10)*(E821/1000),Skills!L14/10)+Skills!O14</f>
        <v/>
      </c>
      <c r="G821">
        <f>Skills!G14*IF(Skills!H14&gt;0,Skills!I14/Skills!H14,1)</f>
        <v/>
      </c>
      <c r="H821">
        <f>1-(1-Skills!J14/100)^Skills!K14</f>
        <v/>
      </c>
      <c r="I821" t="inlineStr">
        <is>
          <t>1</t>
        </is>
      </c>
      <c r="J821">
        <f>((Inputs!$B$6*(1+Inputs!$B$7/100))+(((Inputs!$B$12*(1+Inputs!$B$13/100))-(Inputs!$B$12*(1+Inputs!$B$13/100)))+0.25*(Inputs!$B$14-Inputs!$B$14))*(1+Inputs!$B$7/100))*(F821/100)</f>
        <v/>
      </c>
      <c r="K821">
        <f>J821*(1+((Inputs!$B$12*(1+Inputs!$B$13/100))*0.01+Inputs!$B$14*0.0025)/100)*(1+Inputs!$B$15/100)*(1+Inputs!$B$16/100)*(5000/(6000+Inputs!$B$42*(1-(Inputs!$B$19+0)/100)))*(1+(Inputs!$B$24+((C833=TRUE)*(F833-Calc!F26))+B843)/100)*(1+(IF(Skills!A14="EIGHT_LEGS_EASTON",Inputs!$B$17+((C830=TRUE)*(F830-Calc!F23))+((C834=TRUE)*(F834-Calc!F27)),Inputs!$B$18+0))/100)*((1+(((C824=TRUE)*F824)+((C831=TRUE)*(F831-Calc!F24)))/100)*I821)</f>
        <v/>
      </c>
      <c r="L821">
        <f>K821*(MIN(Inputs!$B$22+((C829=TRUE)*(F829-Calc!F22)),Inputs!$B$23+0)/100+(Inputs!$B$23+0)/100)/2</f>
        <v/>
      </c>
      <c r="M821">
        <f>L821*(1+(Inputs!$B$10+((C832=TRUE)*(F832-Calc!F25))+B842)/100)</f>
        <v/>
      </c>
      <c r="N821">
        <f>L821*(1-MIN((Inputs!$B$9+((C826=TRUE)*(F826-Calc!F19))+B837),100)/100)+M821*(MIN((Inputs!$B$9+((C826=TRUE)*(F826-Calc!F19))+B837),100)/100)</f>
        <v/>
      </c>
      <c r="O821">
        <f>(1-Summary!$B$55)*T821+Summary!$B$55*V821</f>
        <v/>
      </c>
      <c r="P821">
        <f>IF(B847=0,0,O821/B847)</f>
        <v/>
      </c>
      <c r="Q821" t="n">
        <v>0</v>
      </c>
      <c r="R821" t="n">
        <v>0</v>
      </c>
      <c r="S821">
        <f>IFERROR(O821/N821,0)</f>
        <v/>
      </c>
      <c r="T821">
        <f>IF(C821,(H821*N821*(B841+IF(AND(Inputs!$B$38&lt;&gt;"pvp",Inputs!$B$43&gt;0),((Skills!G8*((R815-1)*IF(Skills!H8&gt;0,Skills!I8/Skills!H8,1)+IF(Skills!H8&gt;0,MIN(Skills!I8,MAX(0,MAX(0,Inputs!$B$43-B844)-((R815-1)*IF(Inputs!$B$38="pvp",15,MAX(0.1,Skills!D8-IF(Skills!E8=TRUE,Inputs!$B$32,0))))))/Skills!H8,1)))/Inputs!$B$43),G815*Q815)+IF(AND(Inputs!$B$38&lt;&gt;"pvp",Inputs!$B$43&gt;0),((Skills!G11*((R818-1)*IF(Skills!H11&gt;0,Skills!I11/Skills!H11,1)+IF(Skills!H11&gt;0,MIN(Skills!I11,MAX(0,MAX(0,Inputs!$B$43-B844)-((R818-1)*IF(Inputs!$B$38="pvp",15,MAX(0.1,Skills!D11-IF(Skills!E11=TRUE,Inputs!$B$32,0))))))/Skills!H11,1)))/Inputs!$B$43),G818*Q818)))*IF(Inputs!$B$38="pvp",1,1+(Inputs!$B$20+0+Skills!P14)/100),0)</f>
        <v/>
      </c>
      <c r="V821">
        <f>IF(C821,(H821*N821*(B841+IF(AND(Inputs!$B$38&lt;&gt;"pvp",Inputs!$B$43&gt;0),((Skills!G8*((R815-1)*IF(Skills!H8&gt;0,Skills!I8/Skills!H8,1)+IF(Skills!H8&gt;0,MIN(Skills!I8,MAX(0,MAX(0,Inputs!$B$43-B844)-((R815-1)*IF(Inputs!$B$38="pvp",15,MAX(0.1,Skills!D8-IF(Skills!E8=TRUE,Inputs!$B$32,0))))))/Skills!H8,1)))/Inputs!$B$43),G815*Q815)+IF(AND(Inputs!$B$38&lt;&gt;"pvp",Inputs!$B$43&gt;0),((Skills!G11*((R818-1)*IF(Skills!H11&gt;0,Skills!I11/Skills!H11,1)+IF(Skills!H11&gt;0,MIN(Skills!I11,MAX(0,MAX(0,Inputs!$B$43-B844)-((R818-1)*IF(Inputs!$B$38="pvp",15,MAX(0.1,Skills!D11-IF(Skills!E11=TRUE,Inputs!$B$32,0))))))/Skills!H11,1)))/Inputs!$B$43),G818*Q818)))*IF(Inputs!$B$38="pvp",1,(1+(Inputs!$B$21+Skills!Q14)/100)*(MIN(Skills!R14,Inputs!$B$37))),0)</f>
        <v/>
      </c>
    </row>
    <row r="822">
      <c r="A822">
        <f>Skills!A15</f>
        <v/>
      </c>
      <c r="B822">
        <f>Skills!B15</f>
        <v/>
      </c>
      <c r="C822">
        <f>Inputs!$B$3&gt;=100</f>
        <v/>
      </c>
      <c r="D822">
        <f>IF(Skills!C15=1,60+Inputs!$B$25+Inputs!$B$29,IF(Skills!C15=2,90+Inputs!$B$26+Inputs!$B$29,IF(Skills!C15=3,120+(Inputs!$B$27+1)+Inputs!$B$29,MAX(0,(Inputs!$B$3-100)*3)+Inputs!$B$28+Inputs!$B$29)))</f>
        <v/>
      </c>
      <c r="E822">
        <f>INDEX(FactorTable!$B$2:$Y$301, MATCH(ROUND(MIN(300,MAX(1,D822)),0), FactorTable!$A$2:$A$301,0), Skills!M15+1)</f>
        <v/>
      </c>
      <c r="F822">
        <f>IF(Skills!N15=TRUE,(Skills!L15/10)*(E822/1000),Skills!L15/10)+Skills!O15</f>
        <v/>
      </c>
      <c r="G822" t="inlineStr"/>
      <c r="H822" t="inlineStr"/>
      <c r="I822" t="inlineStr">
        <is>
          <t>1</t>
        </is>
      </c>
      <c r="J822" t="inlineStr"/>
      <c r="K822" t="inlineStr"/>
      <c r="L822" t="inlineStr"/>
      <c r="M822" t="inlineStr"/>
      <c r="N822" t="inlineStr"/>
      <c r="O822" t="inlineStr"/>
      <c r="P822" t="inlineStr"/>
      <c r="Q822" t="inlineStr"/>
      <c r="R822" t="inlineStr"/>
      <c r="S822" t="inlineStr"/>
    </row>
    <row r="823">
      <c r="A823">
        <f>Skills!A16</f>
        <v/>
      </c>
      <c r="B823">
        <f>Skills!B16</f>
        <v/>
      </c>
      <c r="C823">
        <f>Inputs!$B$3&gt;=120</f>
        <v/>
      </c>
      <c r="D823">
        <f>IF(Skills!C16=1,60+Inputs!$B$25+Inputs!$B$29,IF(Skills!C16=2,90+Inputs!$B$26+Inputs!$B$29,IF(Skills!C16=3,120+(Inputs!$B$27+1)+Inputs!$B$29,MAX(0,(Inputs!$B$3-100)*3)+Inputs!$B$28+Inputs!$B$29)))</f>
        <v/>
      </c>
      <c r="E823">
        <f>INDEX(FactorTable!$B$2:$Y$301, MATCH(ROUND(MIN(300,MAX(1,D823)),0), FactorTable!$A$2:$A$301,0), Skills!M16+1)</f>
        <v/>
      </c>
      <c r="F823">
        <f>IF(Skills!N16=TRUE,(Skills!L16/10)*(E823/1000),Skills!L16/10)+Skills!O16</f>
        <v/>
      </c>
      <c r="G823" t="inlineStr"/>
      <c r="H823" t="inlineStr"/>
      <c r="I823" t="inlineStr">
        <is>
          <t>1</t>
        </is>
      </c>
      <c r="J823" t="inlineStr"/>
      <c r="K823" t="inlineStr"/>
      <c r="L823" t="inlineStr"/>
      <c r="M823" t="inlineStr"/>
      <c r="N823" t="inlineStr"/>
      <c r="O823" t="inlineStr"/>
      <c r="P823" t="inlineStr"/>
      <c r="Q823" t="inlineStr"/>
      <c r="R823" t="inlineStr"/>
      <c r="S823" t="inlineStr"/>
    </row>
    <row r="824">
      <c r="A824">
        <f>Skills!A17</f>
        <v/>
      </c>
      <c r="B824">
        <f>Skills!B17</f>
        <v/>
      </c>
      <c r="C824">
        <f>Inputs!$B$3&gt;=66</f>
        <v/>
      </c>
      <c r="D824">
        <f>IF(Skills!C17=1,60+Inputs!$B$25+Inputs!$B$29,IF(Skills!C17=2,90+Inputs!$B$26+Inputs!$B$29,IF(Skills!C17=3,120+(Inputs!$B$27+1)+Inputs!$B$29,MAX(0,(Inputs!$B$3-100)*3)+Inputs!$B$28+Inputs!$B$29)))</f>
        <v/>
      </c>
      <c r="E824">
        <f>INDEX(FactorTable!$B$2:$Y$301, MATCH(ROUND(MIN(300,MAX(1,D824)),0), FactorTable!$A$2:$A$301,0), Skills!M17+1)</f>
        <v/>
      </c>
      <c r="F824">
        <f>IF(Skills!N17=TRUE,(Skills!L17/10)*(E824/1000),Skills!L17/10)+Skills!O17</f>
        <v/>
      </c>
      <c r="G824">
        <f>Skills!G17*IF(Skills!H17&gt;0,Skills!I17/Skills!H17,1)</f>
        <v/>
      </c>
      <c r="H824">
        <f>1-(1-Skills!J17/100)^Skills!K17</f>
        <v/>
      </c>
      <c r="I824" t="inlineStr">
        <is>
          <t>1</t>
        </is>
      </c>
      <c r="J824" t="inlineStr"/>
      <c r="K824" t="inlineStr"/>
      <c r="L824" t="inlineStr"/>
      <c r="M824" t="inlineStr"/>
      <c r="N824" t="inlineStr"/>
      <c r="O824">
        <f>(1-Summary!$B$55)*T824+Summary!$B$55*V824</f>
        <v/>
      </c>
      <c r="P824">
        <f>IF(B847=0,0,O824/B847)</f>
        <v/>
      </c>
      <c r="Q824" t="n">
        <v>0</v>
      </c>
      <c r="R824" t="n">
        <v>0</v>
      </c>
      <c r="S824">
        <f>IFERROR(O824/N824,0)</f>
        <v/>
      </c>
      <c r="T824" t="n">
        <v>0</v>
      </c>
      <c r="V824" t="n">
        <v>0</v>
      </c>
    </row>
    <row r="825">
      <c r="A825">
        <f>Skills!A18</f>
        <v/>
      </c>
      <c r="B825">
        <f>Skills!B18</f>
        <v/>
      </c>
      <c r="C825">
        <f>Inputs!$B$3&gt;=115</f>
        <v/>
      </c>
      <c r="D825">
        <f>IF(Skills!C18=1,60+Inputs!$B$25+Inputs!$B$29,IF(Skills!C18=2,90+Inputs!$B$26+Inputs!$B$29,IF(Skills!C18=3,120+(Inputs!$B$27+1)+Inputs!$B$29,MAX(0,(Inputs!$B$3-100)*3)+Inputs!$B$28+Inputs!$B$29)))</f>
        <v/>
      </c>
      <c r="E825">
        <f>INDEX(FactorTable!$B$2:$Y$301, MATCH(ROUND(MIN(300,MAX(1,D825)),0), FactorTable!$A$2:$A$301,0), Skills!M18+1)</f>
        <v/>
      </c>
      <c r="F825">
        <f>IF(Skills!N18=TRUE,(Skills!L18/10)*(E825/1000),Skills!L18/10)+Skills!O18</f>
        <v/>
      </c>
      <c r="G825">
        <f>Skills!G18*IF(Skills!H18&gt;0,Skills!I18/Skills!H18,1)</f>
        <v/>
      </c>
      <c r="H825">
        <f>1-(1-Skills!J18/100)^Skills!K18</f>
        <v/>
      </c>
      <c r="I825" t="inlineStr">
        <is>
          <t>1</t>
        </is>
      </c>
      <c r="J825" t="inlineStr"/>
      <c r="K825" t="inlineStr"/>
      <c r="L825" t="inlineStr"/>
      <c r="M825" t="inlineStr"/>
      <c r="N825" t="inlineStr"/>
      <c r="O825">
        <f>(1-Summary!$B$55)*T825+Summary!$B$55*V825</f>
        <v/>
      </c>
      <c r="P825">
        <f>IF(B847=0,0,O825/B847)</f>
        <v/>
      </c>
      <c r="Q825" t="n">
        <v>0</v>
      </c>
      <c r="R825" t="n">
        <v>0</v>
      </c>
      <c r="S825">
        <f>IFERROR(O825/N825,0)</f>
        <v/>
      </c>
      <c r="T825" t="n">
        <v>0</v>
      </c>
      <c r="V825" t="n">
        <v>0</v>
      </c>
    </row>
    <row r="826">
      <c r="A826">
        <f>Skills!A19</f>
        <v/>
      </c>
      <c r="B826">
        <f>Skills!B19</f>
        <v/>
      </c>
      <c r="C826">
        <f>Inputs!$B$3&gt;=15</f>
        <v/>
      </c>
      <c r="D826">
        <f>IF(Skills!C19=1,60+Inputs!$B$25+Inputs!$B$29,IF(Skills!C19=2,90+Inputs!$B$26+Inputs!$B$29,IF(Skills!C19=3,120+(Inputs!$B$27+1)+Inputs!$B$29,MAX(0,(Inputs!$B$3-100)*3)+Inputs!$B$28+Inputs!$B$29)))</f>
        <v/>
      </c>
      <c r="E826">
        <f>INDEX(FactorTable!$B$2:$Y$301, MATCH(ROUND(MIN(300,MAX(1,D826)),0), FactorTable!$A$2:$A$301,0), Skills!M19+1)</f>
        <v/>
      </c>
      <c r="F826">
        <f>IF(Skills!N19=TRUE,(Skills!L19/10)*(E826/1000),Skills!L19/10)+Skills!O19</f>
        <v/>
      </c>
      <c r="G826">
        <f>Skills!G19*IF(Skills!H19&gt;0,Skills!I19/Skills!H19,1)</f>
        <v/>
      </c>
      <c r="H826">
        <f>1-(1-Skills!J19/100)^Skills!K19</f>
        <v/>
      </c>
      <c r="I826" t="inlineStr">
        <is>
          <t>1</t>
        </is>
      </c>
      <c r="J826" t="inlineStr"/>
      <c r="K826" t="inlineStr"/>
      <c r="L826" t="inlineStr"/>
      <c r="M826" t="inlineStr"/>
      <c r="N826" t="inlineStr"/>
      <c r="O826">
        <f>(1-Summary!$B$55)*T826+Summary!$B$55*V826</f>
        <v/>
      </c>
      <c r="P826">
        <f>IF(B847=0,0,O826/B847)</f>
        <v/>
      </c>
      <c r="Q826" t="n">
        <v>0</v>
      </c>
      <c r="R826" t="n">
        <v>0</v>
      </c>
      <c r="S826">
        <f>IFERROR(O826/N826,0)</f>
        <v/>
      </c>
      <c r="T826" t="n">
        <v>0</v>
      </c>
      <c r="V826" t="n">
        <v>0</v>
      </c>
    </row>
    <row r="827">
      <c r="A827">
        <f>Skills!A20</f>
        <v/>
      </c>
      <c r="B827">
        <f>Skills!B20</f>
        <v/>
      </c>
      <c r="C827">
        <f>Inputs!$B$3&gt;=10</f>
        <v/>
      </c>
      <c r="D827">
        <f>IF(Skills!C20=1,60+Inputs!$B$25+Inputs!$B$29,IF(Skills!C20=2,90+Inputs!$B$26+Inputs!$B$29,IF(Skills!C20=3,120+(Inputs!$B$27+1)+Inputs!$B$29,MAX(0,(Inputs!$B$3-100)*3)+Inputs!$B$28+Inputs!$B$29)))</f>
        <v/>
      </c>
      <c r="E827">
        <f>INDEX(FactorTable!$B$2:$Y$301, MATCH(ROUND(MIN(300,MAX(1,D827)),0), FactorTable!$A$2:$A$301,0), Skills!M20+1)</f>
        <v/>
      </c>
      <c r="F827">
        <f>IF(Skills!N20=TRUE,(Skills!L20/10)*(E827/1000),Skills!L20/10)+Skills!O20</f>
        <v/>
      </c>
      <c r="G827">
        <f>Skills!G20*IF(Skills!H20&gt;0,Skills!I20/Skills!H20,1)</f>
        <v/>
      </c>
      <c r="H827">
        <f>1-(1-Skills!J20/100)^Skills!K20</f>
        <v/>
      </c>
      <c r="I827" t="inlineStr">
        <is>
          <t>1</t>
        </is>
      </c>
      <c r="J827" t="inlineStr"/>
      <c r="K827" t="inlineStr"/>
      <c r="L827" t="inlineStr"/>
      <c r="M827" t="inlineStr"/>
      <c r="N827" t="inlineStr"/>
      <c r="O827">
        <f>(1-Summary!$B$55)*T827+Summary!$B$55*V827</f>
        <v/>
      </c>
      <c r="P827">
        <f>IF(B847=0,0,O827/B847)</f>
        <v/>
      </c>
      <c r="Q827" t="n">
        <v>0</v>
      </c>
      <c r="R827" t="n">
        <v>0</v>
      </c>
      <c r="S827">
        <f>IFERROR(O827/N827,0)</f>
        <v/>
      </c>
      <c r="T827" t="n">
        <v>0</v>
      </c>
      <c r="V827" t="n">
        <v>0</v>
      </c>
    </row>
    <row r="828">
      <c r="A828">
        <f>Skills!A21</f>
        <v/>
      </c>
      <c r="B828">
        <f>Skills!B21</f>
        <v/>
      </c>
      <c r="C828">
        <f>Inputs!$B$3&gt;=33</f>
        <v/>
      </c>
      <c r="D828">
        <f>IF(Skills!C21=1,60+Inputs!$B$25+Inputs!$B$29,IF(Skills!C21=2,90+Inputs!$B$26+Inputs!$B$29,IF(Skills!C21=3,120+(Inputs!$B$27+1)+Inputs!$B$29,MAX(0,(Inputs!$B$3-100)*3)+Inputs!$B$28+Inputs!$B$29)))</f>
        <v/>
      </c>
      <c r="E828">
        <f>INDEX(FactorTable!$B$2:$Y$301, MATCH(ROUND(MIN(300,MAX(1,D828)),0), FactorTable!$A$2:$A$301,0), Skills!M21+1)</f>
        <v/>
      </c>
      <c r="F828">
        <f>IF(Skills!N21=TRUE,(Skills!L21/10)*(E828/1000),Skills!L21/10)+Skills!O21</f>
        <v/>
      </c>
      <c r="G828">
        <f>Skills!G21*IF(Skills!H21&gt;0,Skills!I21/Skills!H21,1)</f>
        <v/>
      </c>
      <c r="H828">
        <f>1-(1-Skills!J21/100)^Skills!K21</f>
        <v/>
      </c>
      <c r="I828" t="inlineStr">
        <is>
          <t>1</t>
        </is>
      </c>
      <c r="J828" t="inlineStr"/>
      <c r="K828" t="inlineStr"/>
      <c r="L828" t="inlineStr"/>
      <c r="M828" t="inlineStr"/>
      <c r="N828" t="inlineStr"/>
      <c r="O828">
        <f>(1-Summary!$B$55)*T828+Summary!$B$55*V828</f>
        <v/>
      </c>
      <c r="P828">
        <f>IF(B847=0,0,O828/B847)</f>
        <v/>
      </c>
      <c r="Q828" t="n">
        <v>0</v>
      </c>
      <c r="R828" t="n">
        <v>0</v>
      </c>
      <c r="S828">
        <f>IFERROR(O828/N828,0)</f>
        <v/>
      </c>
      <c r="T828" t="n">
        <v>0</v>
      </c>
      <c r="V828" t="n">
        <v>0</v>
      </c>
    </row>
    <row r="829">
      <c r="A829">
        <f>Skills!A22</f>
        <v/>
      </c>
      <c r="B829">
        <f>Skills!B22</f>
        <v/>
      </c>
      <c r="C829">
        <f>Inputs!$B$3&gt;=43</f>
        <v/>
      </c>
      <c r="D829">
        <f>IF(Skills!C22=1,60+Inputs!$B$25+Inputs!$B$29,IF(Skills!C22=2,90+Inputs!$B$26+Inputs!$B$29,IF(Skills!C22=3,120+(Inputs!$B$27+1)+Inputs!$B$29,MAX(0,(Inputs!$B$3-100)*3)+Inputs!$B$28+Inputs!$B$29)))</f>
        <v/>
      </c>
      <c r="E829">
        <f>INDEX(FactorTable!$B$2:$Y$301, MATCH(ROUND(MIN(300,MAX(1,D829)),0), FactorTable!$A$2:$A$301,0), Skills!M22+1)</f>
        <v/>
      </c>
      <c r="F829">
        <f>IF(Skills!N22=TRUE,(Skills!L22/10)*(E829/1000),Skills!L22/10)+Skills!O22</f>
        <v/>
      </c>
      <c r="G829">
        <f>Skills!G22*IF(Skills!H22&gt;0,Skills!I22/Skills!H22,1)</f>
        <v/>
      </c>
      <c r="H829">
        <f>1-(1-Skills!J22/100)^Skills!K22</f>
        <v/>
      </c>
      <c r="I829" t="inlineStr">
        <is>
          <t>1</t>
        </is>
      </c>
      <c r="J829" t="inlineStr"/>
      <c r="K829" t="inlineStr"/>
      <c r="L829" t="inlineStr"/>
      <c r="M829" t="inlineStr"/>
      <c r="N829" t="inlineStr"/>
      <c r="O829">
        <f>(1-Summary!$B$55)*T829+Summary!$B$55*V829</f>
        <v/>
      </c>
      <c r="P829">
        <f>IF(B847=0,0,O829/B847)</f>
        <v/>
      </c>
      <c r="Q829" t="n">
        <v>0</v>
      </c>
      <c r="R829" t="n">
        <v>0</v>
      </c>
      <c r="S829">
        <f>IFERROR(O829/N829,0)</f>
        <v/>
      </c>
      <c r="T829" t="n">
        <v>0</v>
      </c>
      <c r="V829" t="n">
        <v>0</v>
      </c>
    </row>
    <row r="830">
      <c r="A830">
        <f>Skills!A23</f>
        <v/>
      </c>
      <c r="B830">
        <f>Skills!B23</f>
        <v/>
      </c>
      <c r="C830">
        <f>Inputs!$B$3&gt;=38</f>
        <v/>
      </c>
      <c r="D830">
        <f>IF(Skills!C23=1,60+Inputs!$B$25+Inputs!$B$29,IF(Skills!C23=2,90+Inputs!$B$26+Inputs!$B$29,IF(Skills!C23=3,120+(Inputs!$B$27+1)+Inputs!$B$29,MAX(0,(Inputs!$B$3-100)*3)+Inputs!$B$28+Inputs!$B$29)))</f>
        <v/>
      </c>
      <c r="E830">
        <f>INDEX(FactorTable!$B$2:$Y$301, MATCH(ROUND(MIN(300,MAX(1,D830)),0), FactorTable!$A$2:$A$301,0), Skills!M23+1)</f>
        <v/>
      </c>
      <c r="F830">
        <f>IF(Skills!N23=TRUE,(Skills!L23/10)*(E830/1000),Skills!L23/10)+Skills!O23</f>
        <v/>
      </c>
      <c r="G830">
        <f>Skills!G23*IF(Skills!H23&gt;0,Skills!I23/Skills!H23,1)</f>
        <v/>
      </c>
      <c r="H830">
        <f>1-(1-Skills!J23/100)^Skills!K23</f>
        <v/>
      </c>
      <c r="I830" t="inlineStr">
        <is>
          <t>1</t>
        </is>
      </c>
      <c r="J830" t="inlineStr"/>
      <c r="K830" t="inlineStr"/>
      <c r="L830" t="inlineStr"/>
      <c r="M830" t="inlineStr"/>
      <c r="N830" t="inlineStr"/>
      <c r="O830">
        <f>(1-Summary!$B$55)*T830+Summary!$B$55*V830</f>
        <v/>
      </c>
      <c r="P830">
        <f>IF(B847=0,0,O830/B847)</f>
        <v/>
      </c>
      <c r="Q830" t="n">
        <v>0</v>
      </c>
      <c r="R830" t="n">
        <v>0</v>
      </c>
      <c r="S830">
        <f>IFERROR(O830/N830,0)</f>
        <v/>
      </c>
      <c r="T830" t="n">
        <v>0</v>
      </c>
      <c r="V830" t="n">
        <v>0</v>
      </c>
    </row>
    <row r="831">
      <c r="A831">
        <f>Skills!A24</f>
        <v/>
      </c>
      <c r="B831">
        <f>Skills!B24</f>
        <v/>
      </c>
      <c r="C831">
        <f>Inputs!$B$3&gt;=40</f>
        <v/>
      </c>
      <c r="D831">
        <f>IF(Skills!C24=1,60+Inputs!$B$25+Inputs!$B$29,IF(Skills!C24=2,90+Inputs!$B$26+Inputs!$B$29,IF(Skills!C24=3,120+(Inputs!$B$27+1)+Inputs!$B$29,MAX(0,(Inputs!$B$3-100)*3)+Inputs!$B$28+Inputs!$B$29)))</f>
        <v/>
      </c>
      <c r="E831">
        <f>INDEX(FactorTable!$B$2:$Y$301, MATCH(ROUND(MIN(300,MAX(1,D831)),0), FactorTable!$A$2:$A$301,0), Skills!M24+1)</f>
        <v/>
      </c>
      <c r="F831">
        <f>IF(Skills!N24=TRUE,(Skills!L24/10)*(E831/1000),Skills!L24/10)+Skills!O24</f>
        <v/>
      </c>
      <c r="G831">
        <f>Skills!G24*IF(Skills!H24&gt;0,Skills!I24/Skills!H24,1)</f>
        <v/>
      </c>
      <c r="H831">
        <f>1-(1-Skills!J24/100)^Skills!K24</f>
        <v/>
      </c>
      <c r="I831" t="inlineStr">
        <is>
          <t>1</t>
        </is>
      </c>
      <c r="J831" t="inlineStr"/>
      <c r="K831" t="inlineStr"/>
      <c r="L831" t="inlineStr"/>
      <c r="M831" t="inlineStr"/>
      <c r="N831" t="inlineStr"/>
      <c r="O831">
        <f>(1-Summary!$B$55)*T831+Summary!$B$55*V831</f>
        <v/>
      </c>
      <c r="P831">
        <f>IF(B847=0,0,O831/B847)</f>
        <v/>
      </c>
      <c r="Q831" t="n">
        <v>0</v>
      </c>
      <c r="R831" t="n">
        <v>0</v>
      </c>
      <c r="S831">
        <f>IFERROR(O831/N831,0)</f>
        <v/>
      </c>
      <c r="T831" t="n">
        <v>0</v>
      </c>
      <c r="V831" t="n">
        <v>0</v>
      </c>
    </row>
    <row r="832">
      <c r="A832">
        <f>Skills!A25</f>
        <v/>
      </c>
      <c r="B832">
        <f>Skills!B25</f>
        <v/>
      </c>
      <c r="C832">
        <f>Inputs!$B$3&gt;=72</f>
        <v/>
      </c>
      <c r="D832">
        <f>IF(Skills!C25=1,60+Inputs!$B$25+Inputs!$B$29,IF(Skills!C25=2,90+Inputs!$B$26+Inputs!$B$29,IF(Skills!C25=3,120+(Inputs!$B$27+1)+Inputs!$B$29,MAX(0,(Inputs!$B$3-100)*3)+Inputs!$B$28+Inputs!$B$29)))</f>
        <v/>
      </c>
      <c r="E832">
        <f>INDEX(FactorTable!$B$2:$Y$301, MATCH(ROUND(MIN(300,MAX(1,D832)),0), FactorTable!$A$2:$A$301,0), Skills!M25+1)</f>
        <v/>
      </c>
      <c r="F832">
        <f>IF(Skills!N25=TRUE,(Skills!L25/10)*(E832/1000),Skills!L25/10)+Skills!O25</f>
        <v/>
      </c>
      <c r="G832">
        <f>Skills!G25*IF(Skills!H25&gt;0,Skills!I25/Skills!H25,1)</f>
        <v/>
      </c>
      <c r="H832">
        <f>1-(1-Skills!J25/100)^Skills!K25</f>
        <v/>
      </c>
      <c r="I832" t="inlineStr">
        <is>
          <t>1</t>
        </is>
      </c>
      <c r="J832" t="inlineStr"/>
      <c r="K832" t="inlineStr"/>
      <c r="L832" t="inlineStr"/>
      <c r="M832" t="inlineStr"/>
      <c r="N832" t="inlineStr"/>
      <c r="O832">
        <f>(1-Summary!$B$55)*T832+Summary!$B$55*V832</f>
        <v/>
      </c>
      <c r="P832">
        <f>IF(B847=0,0,O832/B847)</f>
        <v/>
      </c>
      <c r="Q832" t="n">
        <v>0</v>
      </c>
      <c r="R832" t="n">
        <v>0</v>
      </c>
      <c r="S832">
        <f>IFERROR(O832/N832,0)</f>
        <v/>
      </c>
      <c r="T832" t="n">
        <v>0</v>
      </c>
      <c r="V832" t="n">
        <v>0</v>
      </c>
    </row>
    <row r="833">
      <c r="A833">
        <f>Skills!A26</f>
        <v/>
      </c>
      <c r="B833">
        <f>Skills!B26</f>
        <v/>
      </c>
      <c r="C833">
        <f>Inputs!$B$3&gt;=75</f>
        <v/>
      </c>
      <c r="D833">
        <f>IF(Skills!C26=1,60+Inputs!$B$25+Inputs!$B$29,IF(Skills!C26=2,90+Inputs!$B$26+Inputs!$B$29,IF(Skills!C26=3,120+(Inputs!$B$27+1)+Inputs!$B$29,MAX(0,(Inputs!$B$3-100)*3)+Inputs!$B$28+Inputs!$B$29)))</f>
        <v/>
      </c>
      <c r="E833">
        <f>INDEX(FactorTable!$B$2:$Y$301, MATCH(ROUND(MIN(300,MAX(1,D833)),0), FactorTable!$A$2:$A$301,0), Skills!M26+1)</f>
        <v/>
      </c>
      <c r="F833">
        <f>IF(Skills!N26=TRUE,(Skills!L26/10)*(E833/1000),Skills!L26/10)+Skills!O26</f>
        <v/>
      </c>
      <c r="G833">
        <f>Skills!G26*IF(Skills!H26&gt;0,Skills!I26/Skills!H26,1)</f>
        <v/>
      </c>
      <c r="H833">
        <f>1-(1-Skills!J26/100)^Skills!K26</f>
        <v/>
      </c>
      <c r="I833" t="inlineStr">
        <is>
          <t>1</t>
        </is>
      </c>
      <c r="J833" t="inlineStr"/>
      <c r="K833" t="inlineStr"/>
      <c r="L833" t="inlineStr"/>
      <c r="M833" t="inlineStr"/>
      <c r="N833" t="inlineStr"/>
      <c r="O833">
        <f>(1-Summary!$B$55)*T833+Summary!$B$55*V833</f>
        <v/>
      </c>
      <c r="P833">
        <f>IF(B847=0,0,O833/B847)</f>
        <v/>
      </c>
      <c r="Q833" t="n">
        <v>0</v>
      </c>
      <c r="R833" t="n">
        <v>0</v>
      </c>
      <c r="S833">
        <f>IFERROR(O833/N833,0)</f>
        <v/>
      </c>
      <c r="T833" t="n">
        <v>0</v>
      </c>
      <c r="V833" t="n">
        <v>0</v>
      </c>
    </row>
    <row r="834">
      <c r="A834">
        <f>Skills!A27</f>
        <v/>
      </c>
      <c r="B834">
        <f>Skills!B27</f>
        <v/>
      </c>
      <c r="C834">
        <f>Inputs!$B$3&gt;=117</f>
        <v/>
      </c>
      <c r="D834">
        <f>IF(Skills!C27=1,60+Inputs!$B$25+Inputs!$B$29,IF(Skills!C27=2,90+Inputs!$B$26+Inputs!$B$29,IF(Skills!C27=3,120+(Inputs!$B$27+1)+Inputs!$B$29,MAX(0,(Inputs!$B$3-100)*3)+Inputs!$B$28+Inputs!$B$29)))</f>
        <v/>
      </c>
      <c r="E834">
        <f>INDEX(FactorTable!$B$2:$Y$301, MATCH(ROUND(MIN(300,MAX(1,D834)),0), FactorTable!$A$2:$A$301,0), Skills!M27+1)</f>
        <v/>
      </c>
      <c r="F834">
        <f>IF(Skills!N27=TRUE,(Skills!L27/10)*(E834/1000),Skills!L27/10)+Skills!O27</f>
        <v/>
      </c>
      <c r="G834">
        <f>Skills!G27*IF(Skills!H27&gt;0,Skills!I27/Skills!H27,1)</f>
        <v/>
      </c>
      <c r="H834">
        <f>1-(1-Skills!J27/100)^Skills!K27</f>
        <v/>
      </c>
      <c r="I834" t="inlineStr">
        <is>
          <t>1</t>
        </is>
      </c>
      <c r="J834" t="inlineStr"/>
      <c r="K834" t="inlineStr"/>
      <c r="L834" t="inlineStr"/>
      <c r="M834" t="inlineStr"/>
      <c r="N834" t="inlineStr"/>
      <c r="O834">
        <f>(1-Summary!$B$55)*T834+Summary!$B$55*V834</f>
        <v/>
      </c>
      <c r="P834">
        <f>IF(B847=0,0,O834/B847)</f>
        <v/>
      </c>
      <c r="Q834" t="n">
        <v>0</v>
      </c>
      <c r="R834" t="n">
        <v>0</v>
      </c>
      <c r="S834">
        <f>IFERROR(O834/N834,0)</f>
        <v/>
      </c>
      <c r="T834" t="n">
        <v>0</v>
      </c>
      <c r="V834" t="n">
        <v>0</v>
      </c>
    </row>
    <row r="836">
      <c r="A836" t="inlineStr">
        <is>
          <t>Attack% Bucket Multiplier</t>
        </is>
      </c>
      <c r="B836">
        <f>(1+(((C824=TRUE)*F824)+((C831=TRUE)*(F831-Calc!F24)))/100)</f>
        <v/>
      </c>
    </row>
    <row r="837">
      <c r="A837" t="inlineStr">
        <is>
          <t>Global Crit Rate Bonus %</t>
        </is>
      </c>
      <c r="B837" t="n">
        <v>0</v>
      </c>
    </row>
    <row r="838">
      <c r="A838" t="inlineStr">
        <is>
          <t>Attack Speed Buff Bonus % (unused)</t>
        </is>
      </c>
      <c r="B838" t="n">
        <v>0</v>
      </c>
    </row>
    <row r="839">
      <c r="A839" t="inlineStr">
        <is>
          <t>Actions Per Second</t>
        </is>
      </c>
      <c r="B839">
        <f>1+MIN(150,150*(1-(1-(Inputs!$B$11+((C827=TRUE)*(F827-Calc!F20))+((C828=TRUE)*(F828-Calc!F21)))/150)*(1-B838/150)))/100</f>
        <v/>
      </c>
    </row>
    <row r="840">
      <c r="A840" t="inlineStr">
        <is>
          <t>Skill + Buff Cast Rate</t>
        </is>
      </c>
      <c r="B840">
        <f>IF(AND(Inputs!$B$38&lt;&gt;"pvp",Inputs!$B$43&gt;0),SUMPRODUCT((Skills!E2:E27=TRUE)*(C809:C834=TRUE)*R809:R834*Skills!F2:F27)/Inputs!$B$43,SUMPRODUCT((Skills!E2:E27=TRUE)*(C809:C834=TRUE)*Q809:Q834*Skills!F2:F27))</f>
        <v/>
      </c>
    </row>
    <row r="841">
      <c r="A841" t="inlineStr">
        <is>
          <t>Eight-Legs Easton Casts Per Second</t>
        </is>
      </c>
      <c r="B841">
        <f>MAX(0,B839-B840)</f>
        <v/>
      </c>
    </row>
    <row r="842">
      <c r="A842" t="inlineStr">
        <is>
          <t>Global Critical Damage Bonus % (unused)</t>
        </is>
      </c>
      <c r="B842" t="n">
        <v>0</v>
      </c>
    </row>
    <row r="843">
      <c r="A843" t="inlineStr">
        <is>
          <t>Global Final Damage Bonus % (Jolly Roger only)</t>
        </is>
      </c>
      <c r="B843">
        <f>((C825=TRUE)*F825)</f>
        <v/>
      </c>
    </row>
    <row r="844">
      <c r="A844" t="inlineStr">
        <is>
          <t>Buff-Casting Startup Delay (s, fixed-duration only)</t>
        </is>
      </c>
      <c r="B844">
        <f>IF(AND(Inputs!$B$38&lt;&gt;"pvp",Inputs!$B$43&gt;0),SUMPRODUCT((Skills!T2:T27&gt;0)*(Skills!E2:E27=TRUE)*(C809:C834=TRUE))/B839,0)</f>
        <v/>
      </c>
    </row>
    <row r="845">
      <c r="A845" t="inlineStr">
        <is>
          <t>Boss-Only Total DPS (this block's swept value)</t>
        </is>
      </c>
      <c r="B845">
        <f>SUM(T809:T834)</f>
        <v/>
      </c>
    </row>
    <row r="846">
      <c r="A846" t="inlineStr">
        <is>
          <t>Normal-Only Total DPS (this block's swept value)</t>
        </is>
      </c>
      <c r="B846">
        <f>SUM(V809:V834)</f>
        <v/>
      </c>
    </row>
    <row r="847">
      <c r="A847" s="5" t="inlineStr">
        <is>
          <t>TOTAL DPS</t>
        </is>
      </c>
      <c r="B847" s="5">
        <f>SUM(O809:O834)</f>
        <v/>
      </c>
    </row>
    <row r="850">
      <c r="A850" s="5" t="inlineStr">
        <is>
          <t>Stat: Skill Level Bonus — 4th Job</t>
        </is>
      </c>
    </row>
    <row r="851">
      <c r="A851" s="9" t="inlineStr">
        <is>
          <t>Key</t>
        </is>
      </c>
      <c r="B851" s="9" t="inlineStr">
        <is>
          <t>Name</t>
        </is>
      </c>
      <c r="C851" s="9" t="inlineStr">
        <is>
          <t>Unlocked</t>
        </is>
      </c>
      <c r="D851" s="9" t="inlineStr">
        <is>
          <t>InputLevel</t>
        </is>
      </c>
      <c r="E851" s="9" t="inlineStr">
        <is>
          <t>Factor</t>
        </is>
      </c>
      <c r="F851" s="9" t="inlineStr">
        <is>
          <t>CoefficientPercent</t>
        </is>
      </c>
      <c r="G851" s="9" t="inlineStr">
        <is>
          <t>EffectiveHits</t>
        </is>
      </c>
      <c r="H851" s="9" t="inlineStr">
        <is>
          <t>ProcProbability</t>
        </is>
      </c>
      <c r="I851" s="9" t="inlineStr">
        <is>
          <t>MapleHeroMultiplier</t>
        </is>
      </c>
      <c r="J851" s="9" t="inlineStr">
        <is>
          <t>BaseDamage</t>
        </is>
      </c>
      <c r="K851" s="9" t="inlineStr">
        <is>
          <t>BaseHitDamage</t>
        </is>
      </c>
      <c r="L851" s="9" t="inlineStr">
        <is>
          <t>NonCritAvg</t>
        </is>
      </c>
      <c r="M851" s="9" t="inlineStr">
        <is>
          <t>CritAvg</t>
        </is>
      </c>
      <c r="N851" s="9" t="inlineStr">
        <is>
          <t>ExpectedDamage(perHit)</t>
        </is>
      </c>
      <c r="O851" s="9" t="inlineStr">
        <is>
          <t>DPS</t>
        </is>
      </c>
      <c r="P851" s="9" t="inlineStr">
        <is>
          <t>% of Total</t>
        </is>
      </c>
      <c r="Q851" s="9" t="inlineStr">
        <is>
          <t>InvCooldown</t>
        </is>
      </c>
      <c r="R851" s="9" t="inlineStr">
        <is>
          <t>CastsInFight</t>
        </is>
      </c>
      <c r="S851" s="9"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((Inputs!$B$6*(1+Inputs!$B$7/100))+(((Inputs!$B$12*(1+Inputs!$B$13/100))-(Inputs!$B$12*(1+Inputs!$B$13/100)))+0.25*(Inputs!$B$14-Inputs!$B$14))*(1+Inputs!$B$7/100))*(F852/100)</f>
        <v/>
      </c>
      <c r="K852">
        <f>J852*(1+((Inputs!$B$12*(1+Inputs!$B$13/100))*0.01+Inputs!$B$14*0.0025)/100)*(1+Inputs!$B$15/100)*(1+Inputs!$B$16/100)*(5000/(6000+Inputs!$B$42*(1-(Inputs!$B$19+0)/100)))*(1+(Inputs!$B$24+((C876=TRUE)*(F876-Calc!F26))+B886)/100)*(1+(IF(Skills!A2="EIGHT_LEGS_EASTON",Inputs!$B$17+((C873=TRUE)*(F873-Calc!F23))+((C877=TRUE)*(F877-Calc!F27)),Inputs!$B$18+0))/100)*((1+(((C867=TRUE)*F867)+((C874=TRUE)*(F874-Calc!F24)))/100)*I852)</f>
        <v/>
      </c>
      <c r="L852">
        <f>K852*(MIN(Inputs!$B$22+((C872=TRUE)*(F872-Calc!F22)),Inputs!$B$23+0)/100+(Inputs!$B$23+0)/100)/2</f>
        <v/>
      </c>
      <c r="M852">
        <f>L852*(1+(Inputs!$B$10+((C875=TRUE)*(F875-Calc!F25))+B885)/100)</f>
        <v/>
      </c>
      <c r="N852">
        <f>L852*(1-MIN((Inputs!$B$9+((C869=TRUE)*(F869-Calc!F19))+B880),100)/100)+M852*(MIN((Inputs!$B$9+((C869=TRUE)*(F869-Calc!F19))+B880),100)/100)</f>
        <v/>
      </c>
      <c r="O852">
        <f>(1-Summary!$B$55)*T852+Summary!$B$55*V852</f>
        <v/>
      </c>
      <c r="P852">
        <f>IF(B890=0,0,O852/B890)</f>
        <v/>
      </c>
      <c r="Q852" t="n">
        <v>0</v>
      </c>
      <c r="R852" t="n">
        <v>0</v>
      </c>
      <c r="S852">
        <f>IFERROR(O852/N852,0)</f>
        <v/>
      </c>
      <c r="T852">
        <f>IF(C852,(Skills!G2*N852*B884)*IF(Inputs!$B$38="pvp",1,1+(Inputs!$B$20+0+Skills!P2)/100),0)</f>
        <v/>
      </c>
      <c r="U852">
        <f>MAX(0,(Inputs!$B$3-100)*3)+(Inputs!$B$28+1)+Inputs!$B$29</f>
        <v/>
      </c>
      <c r="V852">
        <f>IF(C852,(Skills!G2*N852*B884)*IF(Inputs!$B$38="pvp",1,(1+(Inputs!$B$21+Skills!Q2)/100)*(MIN((6+Inputs!$B$33),Inputs!$B$37))),0)</f>
        <v/>
      </c>
    </row>
    <row r="853">
      <c r="A853">
        <f>Skills!A3</f>
        <v/>
      </c>
      <c r="B853">
        <f>Skills!B3</f>
        <v/>
      </c>
      <c r="C853">
        <f>Inputs!$B$3&gt;=35</f>
        <v/>
      </c>
      <c r="D853">
        <f>IF(Skills!C3=1,60+Inputs!$B$25+Inputs!$B$29,IF(Skills!C3=2,90+Inputs!$B$26+Inputs!$B$29,IF(Skills!C3=3,120+Inputs!$B$27+Inputs!$B$29,MAX(0,(Inputs!$B$3-100)*3)+(Inputs!$B$28+1)+Inputs!$B$29)))</f>
        <v/>
      </c>
      <c r="E853">
        <f>INDEX(FactorTable!$B$2:$Y$301, MATCH(ROUND(MIN(300,MAX(1,D853)),0), FactorTable!$A$2:$A$301,0), Skills!M3+1)</f>
        <v/>
      </c>
      <c r="F853">
        <f>IF(Skills!N3=TRUE,(Skills!L3/10)*(E853/1000),Skills!L3/10)+Skills!O3</f>
        <v/>
      </c>
      <c r="G853">
        <f>Skills!G3*IF(Skills!H3&gt;0,Skills!I3/Skills!H3,1)</f>
        <v/>
      </c>
      <c r="H853">
        <f>1-(1-Skills!J3/100)^Skills!K3</f>
        <v/>
      </c>
      <c r="I853" t="inlineStr">
        <is>
          <t>1</t>
        </is>
      </c>
      <c r="J853">
        <f>((Inputs!$B$6*(1+Inputs!$B$7/100))+(((Inputs!$B$12*(1+Inputs!$B$13/100))-(Inputs!$B$12*(1+Inputs!$B$13/100)))+0.25*(Inputs!$B$14-Inputs!$B$14))*(1+Inputs!$B$7/100))*(F853/100)</f>
        <v/>
      </c>
      <c r="K853">
        <f>J853*(1+((Inputs!$B$12*(1+Inputs!$B$13/100))*0.01+Inputs!$B$14*0.0025)/100)*(1+Inputs!$B$15/100)*(1+Inputs!$B$16/100)*(5000/(6000+Inputs!$B$42*(1-(Inputs!$B$19+0)/100)))*(1+(Inputs!$B$24+((C876=TRUE)*(F876-Calc!F26))+B886)/100)*(1+4.0*IF(C865=TRUE,F865,0)/100)*(1+(IF(Skills!A3="EIGHT_LEGS_EASTON",Inputs!$B$17+((C873=TRUE)*(F873-Calc!F23))+((C877=TRUE)*(F877-Calc!F27)),Inputs!$B$18+0))/100)*((1+(((C867=TRUE)*F867)+((C874=TRUE)*(F874-Calc!F24)))/100)*I853)</f>
        <v/>
      </c>
      <c r="L853">
        <f>K853*(MIN(Inputs!$B$22+((C872=TRUE)*(F872-Calc!F22)),Inputs!$B$23+0)/100+(Inputs!$B$23+0)/100)/2</f>
        <v/>
      </c>
      <c r="M853">
        <f>L853*(1+(Inputs!$B$10+((C875=TRUE)*(F875-Calc!F25))+B885)/100)</f>
        <v/>
      </c>
      <c r="N853">
        <f>L853*(1-MIN((Inputs!$B$9+((C869=TRUE)*(F869-Calc!F19))+B880),100)/100)+M853*(MIN((Inputs!$B$9+((C869=TRUE)*(F869-Calc!F19))+B880),100)/100)</f>
        <v/>
      </c>
      <c r="O853">
        <f>(1-Summary!$B$55)*T853+Summary!$B$55*V853</f>
        <v/>
      </c>
      <c r="P853">
        <f>IF(B890=0,0,O853/B890)</f>
        <v/>
      </c>
      <c r="Q853">
        <f>IFERROR(1/IF(Inputs!$B$38="pvp",15,MAX(0.1,Skills!D3-IF(Skills!E3=TRUE,Inputs!$B$32,0))),0)</f>
        <v/>
      </c>
      <c r="R853">
        <f>IF(AND(Inputs!$B$38&lt;&gt;"pvp",Inputs!$B$43&gt;0),IF(MAX(0,Inputs!$B$43-B887)&lt;=0,0,(INT(MAX(0,Inputs!$B$43-B887)/IF(Inputs!$B$38="pvp",15,MAX(0.1,Skills!D3-IF(Skills!E3=TRUE,Inputs!$B$32,0))))+1)),0)</f>
        <v/>
      </c>
      <c r="S853">
        <f>IFERROR(O853/N853,0)</f>
        <v/>
      </c>
      <c r="T853">
        <f>IF(C853,(H853*N853*IF(AND(Inputs!$B$38&lt;&gt;"pvp",Inputs!$B$43&gt;0),((Skills!G3*((R853-1)*IF(Skills!H3&gt;0,Skills!I3/Skills!H3,1)+IF(Skills!H3&gt;0,MIN(Skills!I3,MAX(0,MAX(0,Inputs!$B$43-B887)-((R853-1)*IF(Inputs!$B$38="pvp",15,MAX(0.1,Skills!D3-IF(Skills!E3=TRUE,Inputs!$B$32,0))))))/Skills!H3,1)))/Inputs!$B$43),G853*Q853))*IF(Inputs!$B$38="pvp",1,1+(Inputs!$B$20+0+Skills!P3)/100),0)</f>
        <v/>
      </c>
      <c r="U853">
        <f>INDEX(FactorTable!$B$2:$Y$301, MATCH(ROUND(MIN(300,MAX(1,U852)),0), FactorTable!$A$2:$A$301,0), 22)</f>
        <v/>
      </c>
      <c r="V853">
        <f>IF(C853,(H853*N853*IF(AND(Inputs!$B$38&lt;&gt;"pvp",Inputs!$B$43&gt;0),((Skills!G3*((R853-1)*IF(Skills!H3&gt;0,Skills!I3/Skills!H3,1)+IF(Skills!H3&gt;0,MIN(Skills!I3,MAX(0,MAX(0,Inputs!$B$43-B887)-((R853-1)*IF(Inputs!$B$38="pvp",15,MAX(0.1,Skills!D3-IF(Skills!E3=TRUE,Inputs!$B$32,0))))))/Skills!H3,1)))/Inputs!$B$43),G853*Q853))*IF(Inputs!$B$38="pvp",1,(1+(Inputs!$B$21+Skills!Q3)/100)*(MIN(Skills!R3,Inputs!$B$37))),0)</f>
        <v/>
      </c>
    </row>
    <row r="854">
      <c r="A854">
        <f>Skills!A4</f>
        <v/>
      </c>
      <c r="B854">
        <f>Skills!B4</f>
        <v/>
      </c>
      <c r="C854">
        <f>Inputs!$B$3&gt;=40</f>
        <v/>
      </c>
      <c r="D854">
        <f>IF(Skills!C4=1,60+Inputs!$B$25+Inputs!$B$29,IF(Skills!C4=2,90+Inputs!$B$26+Inputs!$B$29,IF(Skills!C4=3,120+Inputs!$B$27+Inputs!$B$29,MAX(0,(Inputs!$B$3-100)*3)+(Inputs!$B$28+1)+Inputs!$B$29)))</f>
        <v/>
      </c>
      <c r="E854">
        <f>INDEX(FactorTable!$B$2:$Y$301, MATCH(ROUND(MIN(300,MAX(1,D854)),0), FactorTable!$A$2:$A$301,0), Skills!M4+1)</f>
        <v/>
      </c>
      <c r="F854">
        <f>IF(Skills!N4=TRUE,(Skills!L4/10)*(E854/1000),Skills!L4/10)+Skills!O4</f>
        <v/>
      </c>
      <c r="G854">
        <f>Skills!G4*IF(Skills!H4&gt;0,Skills!I4/Skills!H4,1)</f>
        <v/>
      </c>
      <c r="H854">
        <f>1-(1-Skills!J4/100)^Skills!K4</f>
        <v/>
      </c>
      <c r="I854" t="inlineStr">
        <is>
          <t>1</t>
        </is>
      </c>
      <c r="J854">
        <f>((Inputs!$B$6*(1+Inputs!$B$7/100))+(((Inputs!$B$12*(1+Inputs!$B$13/100))-(Inputs!$B$12*(1+Inputs!$B$13/100)))+0.25*(Inputs!$B$14-Inputs!$B$14))*(1+Inputs!$B$7/100))*(F854/100)</f>
        <v/>
      </c>
      <c r="K854">
        <f>J854*(1+((Inputs!$B$12*(1+Inputs!$B$13/100))*0.01+Inputs!$B$14*0.0025)/100)*(1+Inputs!$B$15/100)*(1+Inputs!$B$16/100)*(5000/(6000+Inputs!$B$42*(1-(Inputs!$B$19+0)/100)))*(1+(Inputs!$B$24+((C876=TRUE)*(F876-Calc!F26))+B886)/100)*(1+1.0*IF(C866=TRUE,F866,0)/100)*(1+(IF(Skills!A4="EIGHT_LEGS_EASTON",Inputs!$B$17+((C873=TRUE)*(F873-Calc!F23))+((C877=TRUE)*(F877-Calc!F27)),Inputs!$B$18+0))/100)*((1+(((C867=TRUE)*F867)+((C874=TRUE)*(F874-Calc!F24)))/100)*I854)</f>
        <v/>
      </c>
      <c r="L854">
        <f>K854*(MIN(Inputs!$B$22+((C872=TRUE)*(F872-Calc!F22)),Inputs!$B$23+0)/100+(Inputs!$B$23+0)/100)/2</f>
        <v/>
      </c>
      <c r="M854">
        <f>L854*(1+(Inputs!$B$10+((C875=TRUE)*(F875-Calc!F25))+B885)/100)</f>
        <v/>
      </c>
      <c r="N854">
        <f>L854*(1-MIN((Inputs!$B$9+((C869=TRUE)*(F869-Calc!F19))+B880),100)/100)+M854*(MIN((Inputs!$B$9+((C869=TRUE)*(F869-Calc!F19))+B880),100)/100)</f>
        <v/>
      </c>
      <c r="O854">
        <f>(1-Summary!$B$55)*T854+Summary!$B$55*V854</f>
        <v/>
      </c>
      <c r="P854">
        <f>IF(B890=0,0,O854/B890)</f>
        <v/>
      </c>
      <c r="Q854">
        <f>IFERROR(1/IF(Inputs!$B$38="pvp",15,MAX(0.1,Skills!D4-IF(Skills!E4=TRUE,Inputs!$B$32,0))),0)</f>
        <v/>
      </c>
      <c r="R854">
        <f>IF(AND(Inputs!$B$38&lt;&gt;"pvp",Inputs!$B$43&gt;0),IF(MAX(0,Inputs!$B$43-B887)&lt;=0,0,(INT(MAX(0,Inputs!$B$43-B887)/IF(Inputs!$B$38="pvp",15,MAX(0.1,Skills!D4-IF(Skills!E4=TRUE,Inputs!$B$32,0))))+1)),0)</f>
        <v/>
      </c>
      <c r="S854">
        <f>IFERROR(O854/N854,0)</f>
        <v/>
      </c>
      <c r="T854">
        <f>IF(C854,(H854*N854*IF(AND(Inputs!$B$38&lt;&gt;"pvp",Inputs!$B$43&gt;0),((Skills!G4*((R854-1)*IF(Skills!H4&gt;0,Skills!I4/Skills!H4,1)+IF(Skills!H4&gt;0,MIN(Skills!I4,MAX(0,MAX(0,Inputs!$B$43-B887)-((R854-1)*IF(Inputs!$B$38="pvp",15,MAX(0.1,Skills!D4-IF(Skills!E4=TRUE,Inputs!$B$32,0))))))/Skills!H4,1)))/Inputs!$B$43),G854*Q854))*IF(Inputs!$B$38="pvp",1,1+(Inputs!$B$20+0+Skills!P4)/100),0)</f>
        <v/>
      </c>
      <c r="U854">
        <f>290*U853/1000</f>
        <v/>
      </c>
      <c r="V854">
        <f>IF(C854,(H854*N854*IF(AND(Inputs!$B$38&lt;&gt;"pvp",Inputs!$B$43&gt;0),((Skills!G4*((R854-1)*IF(Skills!H4&gt;0,Skills!I4/Skills!H4,1)+IF(Skills!H4&gt;0,MIN(Skills!I4,MAX(0,MAX(0,Inputs!$B$43-B887)-((R854-1)*IF(Inputs!$B$38="pvp",15,MAX(0.1,Skills!D4-IF(Skills!E4=TRUE,Inputs!$B$32,0))))))/Skills!H4,1)))/Inputs!$B$43),G854*Q854))*IF(Inputs!$B$38="pvp",1,(1+(Inputs!$B$21+Skills!Q4)/100)*(MIN(Skills!R4,Inputs!$B$37))),0)</f>
        <v/>
      </c>
    </row>
    <row r="855">
      <c r="A855">
        <f>Skills!A5</f>
        <v/>
      </c>
      <c r="B855">
        <f>Skills!B5</f>
        <v/>
      </c>
      <c r="C855">
        <f>Inputs!$B$3&gt;=45</f>
        <v/>
      </c>
      <c r="D855">
        <f>IF(Skills!C5=1,60+Inputs!$B$25+Inputs!$B$29,IF(Skills!C5=2,90+Inputs!$B$26+Inputs!$B$29,IF(Skills!C5=3,120+Inputs!$B$27+Inputs!$B$29,MAX(0,(Inputs!$B$3-100)*3)+(Inputs!$B$28+1)+Inputs!$B$29)))</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((Inputs!$B$6*(1+Inputs!$B$7/100))+(((Inputs!$B$12*(1+Inputs!$B$13/100))-(Inputs!$B$12*(1+Inputs!$B$13/100)))+0.25*(Inputs!$B$14-Inputs!$B$14))*(1+Inputs!$B$7/100))*(F855/100)</f>
        <v/>
      </c>
      <c r="K855">
        <f>J855*(1+((Inputs!$B$12*(1+Inputs!$B$13/100))*0.01+Inputs!$B$14*0.0025)/100)*(1+Inputs!$B$15/100)*(1+Inputs!$B$16/100)*(5000/(6000+Inputs!$B$42*(1-(Inputs!$B$19+0)/100)))*(1+(Inputs!$B$24+((C876=TRUE)*(F876-Calc!F26))+B886)/100)*(1+0.4*IF(C866=TRUE,F866,0)/100)*(1+(IF(Skills!A5="EIGHT_LEGS_EASTON",Inputs!$B$17+((C873=TRUE)*(F873-Calc!F23))+((C877=TRUE)*(F877-Calc!F27)),Inputs!$B$18+0))/100)*((1+(((C867=TRUE)*F867)+((C874=TRUE)*(F874-Calc!F24)))/100)*I855)</f>
        <v/>
      </c>
      <c r="L855">
        <f>K855*(MIN(Inputs!$B$22+((C872=TRUE)*(F872-Calc!F22)),Inputs!$B$23+0)/100+(Inputs!$B$23+0)/100)/2</f>
        <v/>
      </c>
      <c r="M855">
        <f>L855*(1+(Inputs!$B$10+((C875=TRUE)*(F875-Calc!F25))+B885)/100)</f>
        <v/>
      </c>
      <c r="N855">
        <f>L855*(1-MIN((Inputs!$B$9+((C869=TRUE)*(F869-Calc!F19))+B880),100)/100)+M855*(MIN((Inputs!$B$9+((C869=TRUE)*(F869-Calc!F19))+B880),100)/100)</f>
        <v/>
      </c>
      <c r="O855">
        <f>(1-Summary!$B$55)*T855+Summary!$B$55*V855</f>
        <v/>
      </c>
      <c r="P855">
        <f>IF(B890=0,0,O855/B890)</f>
        <v/>
      </c>
      <c r="Q855">
        <f>IFERROR(1/IF(Inputs!$B$38="pvp",15,MAX(0.1,Skills!D5-IF(Skills!E5=TRUE,Inputs!$B$32,0))),0)</f>
        <v/>
      </c>
      <c r="R855">
        <f>IF(AND(Inputs!$B$38&lt;&gt;"pvp",Inputs!$B$43&gt;0),IF(MAX(0,Inputs!$B$43-B887)&lt;=0,0,(INT(MAX(0,Inputs!$B$43-B887)/IF(Inputs!$B$38="pvp",15,MAX(0.1,Skills!D5-IF(Skills!E5=TRUE,Inputs!$B$32,0))))+1)),0)</f>
        <v/>
      </c>
      <c r="S855">
        <f>IFERROR(O855/N855,0)</f>
        <v/>
      </c>
      <c r="T855">
        <f>IF(C855,(H855*N855*IF(AND(Inputs!$B$38&lt;&gt;"pvp",Inputs!$B$43&gt;0),((Skills!G5*((R855-1)*IF(Skills!H5&gt;0,Skills!I5/Skills!H5,1)+IF(Skills!H5&gt;0,MIN(Skills!I5,MAX(0,MAX(0,Inputs!$B$43-B887)-((R855-1)*IF(Inputs!$B$38="pvp",15,MAX(0.1,Skills!D5-IF(Skills!E5=TRUE,Inputs!$B$32,0))))))/Skills!H5,1)))/Inputs!$B$43),G855*Q855))*IF(Inputs!$B$38="pvp",1,1+(Inputs!$B$20+0+Skills!P5)/100),0)</f>
        <v/>
      </c>
      <c r="V855">
        <f>IF(C855,(H855*N855*IF(AND(Inputs!$B$38&lt;&gt;"pvp",Inputs!$B$43&gt;0),((Skills!G5*((R855-1)*IF(Skills!H5&gt;0,Skills!I5/Skills!H5,1)+IF(Skills!H5&gt;0,MIN(Skills!I5,MAX(0,MAX(0,Inputs!$B$43-B887)-((R855-1)*IF(Inputs!$B$38="pvp",15,MAX(0.1,Skills!D5-IF(Skills!E5=TRUE,Inputs!$B$32,0))))))/Skills!H5,1)))/Inputs!$B$43),G855*Q855))*IF(Inputs!$B$38="pvp",1,(1+(Inputs!$B$21+Skills!Q5)/100)*(MIN(Skills!R5,Inputs!$B$37))),0)</f>
        <v/>
      </c>
    </row>
    <row r="856">
      <c r="A856">
        <f>Skills!A6</f>
        <v/>
      </c>
      <c r="B856">
        <f>Skills!B6</f>
        <v/>
      </c>
      <c r="C856">
        <f>Inputs!$B$3&gt;=63</f>
        <v/>
      </c>
      <c r="D856">
        <f>IF(Skills!C6=1,60+Inputs!$B$25+Inputs!$B$29,IF(Skills!C6=2,90+Inputs!$B$26+Inputs!$B$29,IF(Skills!C6=3,120+Inputs!$B$27+Inputs!$B$29,MAX(0,(Inputs!$B$3-100)*3)+(Inputs!$B$28+1)+Inputs!$B$29)))</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((Inputs!$B$6*(1+Inputs!$B$7/100))+(((Inputs!$B$12*(1+Inputs!$B$13/100))-(Inputs!$B$12*(1+Inputs!$B$13/100)))+0.25*(Inputs!$B$14-Inputs!$B$14))*(1+Inputs!$B$7/100))*(F856/100)</f>
        <v/>
      </c>
      <c r="K856">
        <f>J856*(1+((Inputs!$B$12*(1+Inputs!$B$13/100))*0.01+Inputs!$B$14*0.0025)/100)*(1+Inputs!$B$15/100)*(1+Inputs!$B$16/100)*(5000/(6000+Inputs!$B$42*(1-(Inputs!$B$19+0)/100)))*(1+(Inputs!$B$24+((C876=TRUE)*(F876-Calc!F26))+B886)/100)*(1+2.0*IF(C865=TRUE,F865,0)/100)*(1+(IF(Skills!A6="EIGHT_LEGS_EASTON",Inputs!$B$17+((C873=TRUE)*(F873-Calc!F23))+((C877=TRUE)*(F877-Calc!F27)),Inputs!$B$18+0))/100)*((1+(((C867=TRUE)*F867)+((C874=TRUE)*(F874-Calc!F24)))/100)*I856)</f>
        <v/>
      </c>
      <c r="L856">
        <f>K856*(MIN(Inputs!$B$22+((C872=TRUE)*(F872-Calc!F22)),Inputs!$B$23+0)/100+(Inputs!$B$23+0)/100)/2</f>
        <v/>
      </c>
      <c r="M856">
        <f>L856*(1+(Inputs!$B$10+((C875=TRUE)*(F875-Calc!F25))+B885)/100)</f>
        <v/>
      </c>
      <c r="N856">
        <f>L856*(1-MIN((Inputs!$B$9+((C869=TRUE)*(F869-Calc!F19))+B880),100)/100)+M856*(MIN((Inputs!$B$9+((C869=TRUE)*(F869-Calc!F19))+B880),100)/100)</f>
        <v/>
      </c>
      <c r="O856">
        <f>(1-Summary!$B$55)*T856+Summary!$B$55*V856</f>
        <v/>
      </c>
      <c r="P856">
        <f>IF(B890=0,0,O856/B890)</f>
        <v/>
      </c>
      <c r="Q856">
        <f>IFERROR(1/IF(Inputs!$B$38="pvp",15,MAX(0.1,Skills!D6-IF(Skills!E6=TRUE,Inputs!$B$32,0))),0)</f>
        <v/>
      </c>
      <c r="R856">
        <f>IF(AND(Inputs!$B$38&lt;&gt;"pvp",Inputs!$B$43&gt;0),IF(MAX(0,Inputs!$B$43-B887)&lt;=0,0,(INT(MAX(0,Inputs!$B$43-B887)/IF(Inputs!$B$38="pvp",15,MAX(0.1,Skills!D6-IF(Skills!E6=TRUE,Inputs!$B$32,0))))+1)),0)</f>
        <v/>
      </c>
      <c r="S856">
        <f>IFERROR(O856/N856,0)</f>
        <v/>
      </c>
      <c r="T856">
        <f>IF(C856,(H856*N856*IF(AND(Inputs!$B$38&lt;&gt;"pvp",Inputs!$B$43&gt;0),((Skills!G6*((R856-1)*IF(Skills!H6&gt;0,Skills!I6/Skills!H6,1)+IF(Skills!H6&gt;0,MIN(Skills!I6,MAX(0,MAX(0,Inputs!$B$43-B887)-((R856-1)*IF(Inputs!$B$38="pvp",15,MAX(0.1,Skills!D6-IF(Skills!E6=TRUE,Inputs!$B$32,0))))))/Skills!H6,1)))/Inputs!$B$43),G856*Q856))*IF(Inputs!$B$38="pvp",1,1+(Inputs!$B$20+0+Skills!P6)/100),0)</f>
        <v/>
      </c>
      <c r="V856">
        <f>IF(C856,(H856*N856*IF(AND(Inputs!$B$38&lt;&gt;"pvp",Inputs!$B$43&gt;0),((Skills!G6*((R856-1)*IF(Skills!H6&gt;0,Skills!I6/Skills!H6,1)+IF(Skills!H6&gt;0,MIN(Skills!I6,MAX(0,MAX(0,Inputs!$B$43-B887)-((R856-1)*IF(Inputs!$B$38="pvp",15,MAX(0.1,Skills!D6-IF(Skills!E6=TRUE,Inputs!$B$32,0))))))/Skills!H6,1)))/Inputs!$B$43),G856*Q856))*IF(Inputs!$B$38="pvp",1,(1+(Inputs!$B$21+Skills!Q6)/100)*(MIN(Skills!R6,Inputs!$B$37))),0)</f>
        <v/>
      </c>
    </row>
    <row r="857">
      <c r="A857">
        <f>Skills!A7</f>
        <v/>
      </c>
      <c r="B857">
        <f>Skills!B7</f>
        <v/>
      </c>
      <c r="C857">
        <f>Inputs!$B$3&gt;=66</f>
        <v/>
      </c>
      <c r="D857">
        <f>IF(Skills!C7=1,60+Inputs!$B$25+Inputs!$B$29,IF(Skills!C7=2,90+Inputs!$B$26+Inputs!$B$29,IF(Skills!C7=3,120+Inputs!$B$27+Inputs!$B$29,MAX(0,(Inputs!$B$3-100)*3)+(Inputs!$B$28+1)+Inputs!$B$29)))</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f>((Inputs!$B$6*(1+Inputs!$B$7/100))+(((Inputs!$B$12*(1+Inputs!$B$13/100))-(Inputs!$B$12*(1+Inputs!$B$13/100)))+0.25*(Inputs!$B$14-Inputs!$B$14))*(1+Inputs!$B$7/100))*(F857/100)</f>
        <v/>
      </c>
      <c r="K857">
        <f>J857*(1+((Inputs!$B$12*(1+Inputs!$B$13/100))*0.01+Inputs!$B$14*0.0025)/100)*(1+Inputs!$B$15/100)*(1+Inputs!$B$16/100)*(5000/(6000+Inputs!$B$42*(1-(Inputs!$B$19+0)/100)))*(1+(Inputs!$B$24+((C876=TRUE)*(F876-Calc!F26))+B886)/100)*(1+1.0*IF(C865=TRUE,F865,0)/100)*(1+(IF(Skills!A7="EIGHT_LEGS_EASTON",Inputs!$B$17+((C873=TRUE)*(F873-Calc!F23))+((C877=TRUE)*(F877-Calc!F27)),Inputs!$B$18+0))/100)*((1+(((C867=TRUE)*F867)+((C874=TRUE)*(F874-Calc!F24)))/100)*I857)</f>
        <v/>
      </c>
      <c r="L857">
        <f>K857*(MIN(Inputs!$B$22+((C872=TRUE)*(F872-Calc!F22)),Inputs!$B$23+0)/100+(Inputs!$B$23+0)/100)/2</f>
        <v/>
      </c>
      <c r="M857">
        <f>L857*(1+(Inputs!$B$10+((C875=TRUE)*(F875-Calc!F25))+B885)/100)</f>
        <v/>
      </c>
      <c r="N857">
        <f>L857*(1-MIN((Inputs!$B$9+((C869=TRUE)*(F869-Calc!F19))+B880),100)/100)+M857*(MIN((Inputs!$B$9+((C869=TRUE)*(F869-Calc!F19))+B880),100)/100)</f>
        <v/>
      </c>
      <c r="O857">
        <f>(1-Summary!$B$55)*T857+Summary!$B$55*V857</f>
        <v/>
      </c>
      <c r="P857">
        <f>IF(B890=0,0,O857/B890)</f>
        <v/>
      </c>
      <c r="Q857">
        <f>IFERROR(1/IF(Inputs!$B$38="pvp",15,MAX(0.1,Skills!D7-IF(Skills!E7=TRUE,Inputs!$B$32,0))),0)</f>
        <v/>
      </c>
      <c r="R857">
        <f>IF(AND(Inputs!$B$38&lt;&gt;"pvp",Inputs!$B$43&gt;0),IF(MAX(0,Inputs!$B$43-B887)&lt;=0,0,(INT(MAX(0,Inputs!$B$43-B887)/IF(Inputs!$B$38="pvp",15,MAX(0.1,Skills!D7-IF(Skills!E7=TRUE,Inputs!$B$32,0))))+1)),0)</f>
        <v/>
      </c>
      <c r="S857">
        <f>IFERROR(O857/N857,0)</f>
        <v/>
      </c>
      <c r="T857">
        <f>IF(C857,(H857*N857*IF(AND(Inputs!$B$38&lt;&gt;"pvp",Inputs!$B$43&gt;0),((Skills!G7*((R857-1)*IF(Skills!H7&gt;0,Skills!I7/Skills!H7,1)+IF(Skills!H7&gt;0,MIN(Skills!I7,MAX(0,MAX(0,Inputs!$B$43-B887)-((R857-1)*IF(Inputs!$B$38="pvp",15,MAX(0.1,Skills!D7-IF(Skills!E7=TRUE,Inputs!$B$32,0))))))/Skills!H7,1)))/Inputs!$B$43),G857*Q857))*IF(Inputs!$B$38="pvp",1,1+(Inputs!$B$20+0+Skills!P7)/100),0)</f>
        <v/>
      </c>
      <c r="V857">
        <f>IF(C857,(H857*N857*IF(AND(Inputs!$B$38&lt;&gt;"pvp",Inputs!$B$43&gt;0),((Skills!G7*((R857-1)*IF(Skills!H7&gt;0,Skills!I7/Skills!H7,1)+IF(Skills!H7&gt;0,MIN(Skills!I7,MAX(0,MAX(0,Inputs!$B$43-B887)-((R857-1)*IF(Inputs!$B$38="pvp",15,MAX(0.1,Skills!D7-IF(Skills!E7=TRUE,Inputs!$B$32,0))))))/Skills!H7,1)))/Inputs!$B$43),G857*Q857))*IF(Inputs!$B$38="pvp",1,(1+(Inputs!$B$21+Skills!Q7)/100)*(MIN(Skills!R7,Inputs!$B$37))),0)</f>
        <v/>
      </c>
    </row>
    <row r="858">
      <c r="A858">
        <f>Skills!A8</f>
        <v/>
      </c>
      <c r="B858">
        <f>Skills!B8</f>
        <v/>
      </c>
      <c r="C858">
        <f>Inputs!$B$3&gt;=100</f>
        <v/>
      </c>
      <c r="D858">
        <f>IF(Skills!C8=1,60+Inputs!$B$25+Inputs!$B$29,IF(Skills!C8=2,90+Inputs!$B$26+Inputs!$B$29,IF(Skills!C8=3,120+Inputs!$B$27+Inputs!$B$29,MAX(0,(Inputs!$B$3-100)*3)+(Inputs!$B$28+1)+Inputs!$B$29)))</f>
        <v/>
      </c>
      <c r="E858">
        <f>INDEX(FactorTable!$B$2:$Y$301, MATCH(ROUND(MIN(300,MAX(1,D858)),0), FactorTable!$A$2:$A$301,0), Skills!M8+1)</f>
        <v/>
      </c>
      <c r="F858">
        <f>IF(Skills!N8=TRUE,(Skills!L8/10)*(E858/1000),Skills!L8/10)+Skills!O8</f>
        <v/>
      </c>
      <c r="G858">
        <f>Skills!G8*IF(Skills!H8&gt;0,Skills!I8/Skills!H8,1)</f>
        <v/>
      </c>
      <c r="H858">
        <f>1-(1-Skills!J8/100)^Skills!K8</f>
        <v/>
      </c>
      <c r="I858" t="inlineStr">
        <is>
          <t>1</t>
        </is>
      </c>
      <c r="J858">
        <f>((Inputs!$B$6*(1+Inputs!$B$7/100))+(((Inputs!$B$12*(1+Inputs!$B$13/100))-(Inputs!$B$12*(1+Inputs!$B$13/100)))+0.25*(Inputs!$B$14-Inputs!$B$14))*(1+Inputs!$B$7/100))*(F858/100)</f>
        <v/>
      </c>
      <c r="K858">
        <f>J858*(1+((Inputs!$B$12*(1+Inputs!$B$13/100))*0.01+Inputs!$B$14*0.0025)/100)*(1+Inputs!$B$15/100)*(1+Inputs!$B$16/100)*(5000/(6000+Inputs!$B$42*(1-(Inputs!$B$19+0)/100)))*(1+(Inputs!$B$24+((C876=TRUE)*(F876-Calc!F26))+B886)/100)*(1+(IF(Skills!A8="EIGHT_LEGS_EASTON",Inputs!$B$17+((C873=TRUE)*(F873-Calc!F23))+((C877=TRUE)*(F877-Calc!F27)),Inputs!$B$18+0))/100)*((1+(((C867=TRUE)*F867)+((C874=TRUE)*(F874-Calc!F24)))/100)*I858)</f>
        <v/>
      </c>
      <c r="L858">
        <f>K858*(MIN(Inputs!$B$22+((C872=TRUE)*(F872-Calc!F22)),Inputs!$B$23+0)/100+(Inputs!$B$23+0)/100)/2</f>
        <v/>
      </c>
      <c r="M858">
        <f>L858*(1+(Inputs!$B$10+((C875=TRUE)*(F875-Calc!F25))+B885)/100)</f>
        <v/>
      </c>
      <c r="N858">
        <f>L858*(1-MIN((Inputs!$B$9+((C869=TRUE)*(F869-Calc!F19))+B880),100)/100)+M858*(MIN((Inputs!$B$9+((C869=TRUE)*(F869-Calc!F19))+B880),100)/100)</f>
        <v/>
      </c>
      <c r="O858">
        <f>(1-Summary!$B$55)*T858+Summary!$B$55*V858</f>
        <v/>
      </c>
      <c r="P858">
        <f>IF(B890=0,0,O858/B890)</f>
        <v/>
      </c>
      <c r="Q858">
        <f>IFERROR(1/IF(Inputs!$B$38="pvp",15,MAX(0.1,Skills!D8-IF(Skills!E8=TRUE,Inputs!$B$32,0))),0)</f>
        <v/>
      </c>
      <c r="R858">
        <f>IF(AND(Inputs!$B$38&lt;&gt;"pvp",Inputs!$B$43&gt;0),IF(MAX(0,Inputs!$B$43-B887)&lt;=0,0,(INT(MAX(0,Inputs!$B$43-B887)/IF(Inputs!$B$38="pvp",15,MAX(0.1,Skills!D8-IF(Skills!E8=TRUE,Inputs!$B$32,0))))+1)),0)</f>
        <v/>
      </c>
      <c r="S858">
        <f>IFERROR(O858/N858,0)</f>
        <v/>
      </c>
      <c r="T858">
        <f>IF(C858,(H858*N858*IF(AND(Inputs!$B$38&lt;&gt;"pvp",Inputs!$B$43&gt;0),((Skills!G8*((R858-1)*IF(Skills!H8&gt;0,Skills!I8/Skills!H8,1)+IF(Skills!H8&gt;0,MIN(Skills!I8,MAX(0,MAX(0,Inputs!$B$43-B887)-((R858-1)*IF(Inputs!$B$38="pvp",15,MAX(0.1,Skills!D8-IF(Skills!E8=TRUE,Inputs!$B$32,0))))))/Skills!H8,1)))/Inputs!$B$43),G858*Q858))*IF(Inputs!$B$38="pvp",1,1+(Inputs!$B$20+0+Skills!P8)/100),0)</f>
        <v/>
      </c>
      <c r="V858">
        <f>IF(C858,(H858*N858*IF(AND(Inputs!$B$38&lt;&gt;"pvp",Inputs!$B$43&gt;0),((Skills!G8*((R858-1)*IF(Skills!H8&gt;0,Skills!I8/Skills!H8,1)+IF(Skills!H8&gt;0,MIN(Skills!I8,MAX(0,MAX(0,Inputs!$B$43-B887)-((R858-1)*IF(Inputs!$B$38="pvp",15,MAX(0.1,Skills!D8-IF(Skills!E8=TRUE,Inputs!$B$32,0))))))/Skills!H8,1)))/Inputs!$B$43),G858*Q858))*IF(Inputs!$B$38="pvp",1,(1+(Inputs!$B$21+Skills!Q8)/100)*(MIN(Skills!R8,Inputs!$B$37))),0)</f>
        <v/>
      </c>
    </row>
    <row r="859">
      <c r="A859">
        <f>Skills!A9</f>
        <v/>
      </c>
      <c r="B859">
        <f>Skills!B9</f>
        <v/>
      </c>
      <c r="C859">
        <f>Inputs!$B$3&gt;=103</f>
        <v/>
      </c>
      <c r="D859">
        <f>IF(Skills!C9=1,60+Inputs!$B$25+Inputs!$B$29,IF(Skills!C9=2,90+Inputs!$B$26+Inputs!$B$29,IF(Skills!C9=3,120+Inputs!$B$27+Inputs!$B$29,MAX(0,(Inputs!$B$3-100)*3)+(Inputs!$B$28+1)+Inputs!$B$29)))</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((Inputs!$B$6*(1+Inputs!$B$7/100))+(((Inputs!$B$12*(1+Inputs!$B$13/100))-(Inputs!$B$12*(1+Inputs!$B$13/100)))+0.25*(Inputs!$B$14-Inputs!$B$14))*(1+Inputs!$B$7/100))*(F859/100)</f>
        <v/>
      </c>
      <c r="K859">
        <f>J859*(1+((Inputs!$B$12*(1+Inputs!$B$13/100))*0.01+Inputs!$B$14*0.0025)/100)*(1+Inputs!$B$15/100)*(1+Inputs!$B$16/100)*(5000/(6000+Inputs!$B$42*(1-(Inputs!$B$19+0)/100)))*(1+(Inputs!$B$24+((C876=TRUE)*(F876-Calc!F26))+B886)/100)*(1+(IF(Skills!A9="EIGHT_LEGS_EASTON",Inputs!$B$17+((C873=TRUE)*(F873-Calc!F23))+((C877=TRUE)*(F877-Calc!F27)),Inputs!$B$18+0))/100)*((1+(((C867=TRUE)*F867)+((C874=TRUE)*(F874-Calc!F24)))/100)*I859)</f>
        <v/>
      </c>
      <c r="L859">
        <f>K859*(MIN(Inputs!$B$22+((C872=TRUE)*(F872-Calc!F22)),Inputs!$B$23+0)/100+(Inputs!$B$23+0)/100)/2</f>
        <v/>
      </c>
      <c r="M859">
        <f>L859*(1+(Inputs!$B$10+((C875=TRUE)*(F875-Calc!F25))+B885)/100)</f>
        <v/>
      </c>
      <c r="N859">
        <f>L859*(1-MIN((Inputs!$B$9+((C869=TRUE)*(F869-Calc!F19))+B880),100)/100)+M859*(MIN((Inputs!$B$9+((C869=TRUE)*(F869-Calc!F19))+B880),100)/100)</f>
        <v/>
      </c>
      <c r="O859">
        <f>(1-Summary!$B$55)*T859+Summary!$B$55*V859</f>
        <v/>
      </c>
      <c r="P859">
        <f>IF(B890=0,0,O859/B890)</f>
        <v/>
      </c>
      <c r="Q859">
        <f>IFERROR(1/IF(Inputs!$B$38="pvp",15,MAX(0.1,Skills!D9-IF(Skills!E9=TRUE,Inputs!$B$32,0))),0)</f>
        <v/>
      </c>
      <c r="R859">
        <f>IF(AND(Inputs!$B$38&lt;&gt;"pvp",Inputs!$B$43&gt;0),IF(MAX(0,Inputs!$B$43-B887)&lt;=0,0,(INT(MAX(0,Inputs!$B$43-B887)/IF(Inputs!$B$38="pvp",15,MAX(0.1,Skills!D9-IF(Skills!E9=TRUE,Inputs!$B$32,0))))+1)),0)</f>
        <v/>
      </c>
      <c r="S859">
        <f>IFERROR(O859/N859,0)</f>
        <v/>
      </c>
      <c r="T859">
        <f>IF(C859,(H859*N859*IF(AND(Inputs!$B$38&lt;&gt;"pvp",Inputs!$B$43&gt;0),((Skills!G9*((R859-1)*IF(Skills!H9&gt;0,Skills!I9/Skills!H9,1)+IF(Skills!H9&gt;0,MIN(Skills!I9,MAX(0,MAX(0,Inputs!$B$43-B887)-((R859-1)*IF(Inputs!$B$38="pvp",15,MAX(0.1,Skills!D9-IF(Skills!E9=TRUE,Inputs!$B$32,0))))))/Skills!H9,1)))/Inputs!$B$43),G859*Q859))*IF(Inputs!$B$38="pvp",1,1+(Inputs!$B$20+0+Skills!P9)/100),0)</f>
        <v/>
      </c>
      <c r="V859">
        <f>IF(C859,(H859*N859*IF(AND(Inputs!$B$38&lt;&gt;"pvp",Inputs!$B$43&gt;0),((Skills!G9*((R859-1)*IF(Skills!H9&gt;0,Skills!I9/Skills!H9,1)+IF(Skills!H9&gt;0,MIN(Skills!I9,MAX(0,MAX(0,Inputs!$B$43-B887)-((R859-1)*IF(Inputs!$B$38="pvp",15,MAX(0.1,Skills!D9-IF(Skills!E9=TRUE,Inputs!$B$32,0))))))/Skills!H9,1)))/Inputs!$B$43),G859*Q859))*IF(Inputs!$B$38="pvp",1,(1+(Inputs!$B$21+Skills!Q9)/100)*(MIN(Skills!R9,Inputs!$B$37))),0)</f>
        <v/>
      </c>
    </row>
    <row r="860">
      <c r="A860">
        <f>Skills!A10</f>
        <v/>
      </c>
      <c r="B860">
        <f>Skills!B10</f>
        <v/>
      </c>
      <c r="C860">
        <f>Inputs!$B$3&gt;=113</f>
        <v/>
      </c>
      <c r="D860">
        <f>IF(Skills!C10=1,60+Inputs!$B$25+Inputs!$B$29,IF(Skills!C10=2,90+Inputs!$B$26+Inputs!$B$29,IF(Skills!C10=3,120+Inputs!$B$27+Inputs!$B$29,MAX(0,(Inputs!$B$3-100)*3)+(Inputs!$B$28+1)+Inputs!$B$29)))</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f>((Inputs!$B$6*(1+Inputs!$B$7/100))+(((Inputs!$B$12*(1+Inputs!$B$13/100))-(Inputs!$B$12*(1+Inputs!$B$13/100)))+0.25*(Inputs!$B$14-Inputs!$B$14))*(1+Inputs!$B$7/100))*(F860/100)</f>
        <v/>
      </c>
      <c r="K860">
        <f>J860*(1+((Inputs!$B$12*(1+Inputs!$B$13/100))*0.01+Inputs!$B$14*0.0025)/100)*(1+Inputs!$B$15/100)*(1+Inputs!$B$16/100)*(5000/(6000+Inputs!$B$42*(1-(Inputs!$B$19+0)/100)))*(1+(Inputs!$B$24+((C876=TRUE)*(F876-Calc!F26))+B886)/100)*(1+(IF(Skills!A10="EIGHT_LEGS_EASTON",Inputs!$B$17+((C873=TRUE)*(F873-Calc!F23))+((C877=TRUE)*(F877-Calc!F27)),Inputs!$B$18+0))/100)*((1+(((C867=TRUE)*F867)+((C874=TRUE)*(F874-Calc!F24)))/100)*I860)</f>
        <v/>
      </c>
      <c r="L860">
        <f>K860*(MIN(Inputs!$B$22+((C872=TRUE)*(F872-Calc!F22)),Inputs!$B$23+0)/100+(Inputs!$B$23+0)/100)/2</f>
        <v/>
      </c>
      <c r="M860">
        <f>L860*(1+(Inputs!$B$10+((C875=TRUE)*(F875-Calc!F25))+B885)/100)</f>
        <v/>
      </c>
      <c r="N860">
        <f>L860*(1-MIN((Inputs!$B$9+((C869=TRUE)*(F869-Calc!F19))+B880),100)/100)+M860*(MIN((Inputs!$B$9+((C869=TRUE)*(F869-Calc!F19))+B880),100)/100)</f>
        <v/>
      </c>
      <c r="O860">
        <f>(1-Summary!$B$55)*T860+Summary!$B$55*V860</f>
        <v/>
      </c>
      <c r="P860">
        <f>IF(B890=0,0,O860/B890)</f>
        <v/>
      </c>
      <c r="Q860">
        <f>IFERROR(1/IF(Inputs!$B$38="pvp",15,MAX(0.1,Skills!D10-IF(Skills!E10=TRUE,Inputs!$B$32,0))),0)</f>
        <v/>
      </c>
      <c r="R860">
        <f>IF(AND(Inputs!$B$38&lt;&gt;"pvp",Inputs!$B$43&gt;0),IF(MAX(0,Inputs!$B$43-B887)&lt;=0,0,(INT(MAX(0,Inputs!$B$43-B887)/IF(Inputs!$B$38="pvp",15,MAX(0.1,Skills!D10-IF(Skills!E10=TRUE,Inputs!$B$32,0))))+1)),0)</f>
        <v/>
      </c>
      <c r="S860">
        <f>IFERROR(O860/N860,0)</f>
        <v/>
      </c>
      <c r="T860">
        <f>IF(C860,(H860*N860*IF(AND(Inputs!$B$38&lt;&gt;"pvp",Inputs!$B$43&gt;0),((Skills!G10*((R860-1)*IF(Skills!H10&gt;0,Skills!I10/Skills!H10,1)+IF(Skills!H10&gt;0,MIN(Skills!I10,MAX(0,MAX(0,Inputs!$B$43-B887)-((R860-1)*IF(Inputs!$B$38="pvp",15,MAX(0.1,Skills!D10-IF(Skills!E10=TRUE,Inputs!$B$32,0))))))/Skills!H10,1)))/Inputs!$B$43),G860*Q860))*IF(Inputs!$B$38="pvp",1,1+(Inputs!$B$20+0+Skills!P10)/100),0)</f>
        <v/>
      </c>
      <c r="V860">
        <f>IF(C860,(H860*N860*IF(AND(Inputs!$B$38&lt;&gt;"pvp",Inputs!$B$43&gt;0),((Skills!G10*((R860-1)*IF(Skills!H10&gt;0,Skills!I10/Skills!H10,1)+IF(Skills!H10&gt;0,MIN(Skills!I10,MAX(0,MAX(0,Inputs!$B$43-B887)-((R860-1)*IF(Inputs!$B$38="pvp",15,MAX(0.1,Skills!D10-IF(Skills!E10=TRUE,Inputs!$B$32,0))))))/Skills!H10,1)))/Inputs!$B$43),G860*Q860))*IF(Inputs!$B$38="pvp",1,(1+(Inputs!$B$21+Skills!Q10)/100)*(MIN(Skills!R10,Inputs!$B$37))),0)</f>
        <v/>
      </c>
    </row>
    <row r="861">
      <c r="A861">
        <f>Skills!A11</f>
        <v/>
      </c>
      <c r="B861">
        <f>Skills!B11</f>
        <v/>
      </c>
      <c r="C861">
        <f>Inputs!$B$3&gt;=107</f>
        <v/>
      </c>
      <c r="D861">
        <f>IF(Skills!C11=1,60+Inputs!$B$25+Inputs!$B$29,IF(Skills!C11=2,90+Inputs!$B$26+Inputs!$B$29,IF(Skills!C11=3,120+Inputs!$B$27+Inputs!$B$29,MAX(0,(Inputs!$B$3-100)*3)+(Inputs!$B$28+1)+Inputs!$B$29)))</f>
        <v/>
      </c>
      <c r="E861">
        <f>INDEX(FactorTable!$B$2:$Y$301, MATCH(ROUND(MIN(300,MAX(1,D861)),0), FactorTable!$A$2:$A$301,0), Skills!M11+1)</f>
        <v/>
      </c>
      <c r="F861">
        <f>IF(Skills!N11=TRUE,(Skills!L11/10)*(E861/1000),Skills!L11/10)+Skills!O11</f>
        <v/>
      </c>
      <c r="G861">
        <f>Skills!G11*IF(Skills!H11&gt;0,Skills!I11/Skills!H11,1)</f>
        <v/>
      </c>
      <c r="H861">
        <f>1-(1-Skills!J11/100)^Skills!K11</f>
        <v/>
      </c>
      <c r="I861" t="inlineStr">
        <is>
          <t>1</t>
        </is>
      </c>
      <c r="J861">
        <f>((Inputs!$B$6*(1+Inputs!$B$7/100))+(((Inputs!$B$12*(1+Inputs!$B$13/100))-(Inputs!$B$12*(1+Inputs!$B$13/100)))+0.25*(Inputs!$B$14-Inputs!$B$14))*(1+Inputs!$B$7/100))*(F861/100)</f>
        <v/>
      </c>
      <c r="K861">
        <f>J861*(1+((Inputs!$B$12*(1+Inputs!$B$13/100))*0.01+Inputs!$B$14*0.0025)/100)*(1+Inputs!$B$15/100)*(1+Inputs!$B$16/100)*(5000/(6000+Inputs!$B$42*(1-(Inputs!$B$19+0)/100)))*(1+(Inputs!$B$24+((C876=TRUE)*(F876-Calc!F26))+B886)/100)*(1+(IF(Skills!A11="EIGHT_LEGS_EASTON",Inputs!$B$17+((C873=TRUE)*(F873-Calc!F23))+((C877=TRUE)*(F877-Calc!F27)),Inputs!$B$18+0))/100)*((1+(((C867=TRUE)*F867)+((C874=TRUE)*(F874-Calc!F24)))/100)*I861)</f>
        <v/>
      </c>
      <c r="L861">
        <f>K861*(MIN(Inputs!$B$22+((C872=TRUE)*(F872-Calc!F22)),Inputs!$B$23+0)/100+(Inputs!$B$23+0)/100)/2</f>
        <v/>
      </c>
      <c r="M861">
        <f>L861*(1+(Inputs!$B$10+((C875=TRUE)*(F875-Calc!F25))+B885)/100)</f>
        <v/>
      </c>
      <c r="N861">
        <f>L861*(1-MIN((Inputs!$B$9+((C869=TRUE)*(F869-Calc!F19))+B880),100)/100)+M861*(MIN((Inputs!$B$9+((C869=TRUE)*(F869-Calc!F19))+B880),100)/100)</f>
        <v/>
      </c>
      <c r="O861">
        <f>(1-Summary!$B$55)*T861+Summary!$B$55*V861</f>
        <v/>
      </c>
      <c r="P861">
        <f>IF(B890=0,0,O861/B890)</f>
        <v/>
      </c>
      <c r="Q861">
        <f>IFERROR(1/IF(Inputs!$B$38="pvp",15,MAX(0.1,Skills!D11-IF(Skills!E11=TRUE,Inputs!$B$32,0))),0)</f>
        <v/>
      </c>
      <c r="R861">
        <f>IF(AND(Inputs!$B$38&lt;&gt;"pvp",Inputs!$B$43&gt;0),IF(MAX(0,Inputs!$B$43-B887)&lt;=0,0,(INT(MAX(0,Inputs!$B$43-B887)/IF(Inputs!$B$38="pvp",15,MAX(0.1,Skills!D11-IF(Skills!E11=TRUE,Inputs!$B$32,0))))+1)),0)</f>
        <v/>
      </c>
      <c r="S861">
        <f>IFERROR(O861/N861,0)</f>
        <v/>
      </c>
      <c r="T861">
        <f>IF(C861,(H861*N861*IF(AND(Inputs!$B$38&lt;&gt;"pvp",Inputs!$B$43&gt;0),((Skills!G11*((R861-1)*IF(Skills!H11&gt;0,Skills!I11/Skills!H11,1)+IF(Skills!H11&gt;0,MIN(Skills!I11,MAX(0,MAX(0,Inputs!$B$43-B887)-((R861-1)*IF(Inputs!$B$38="pvp",15,MAX(0.1,Skills!D11-IF(Skills!E11=TRUE,Inputs!$B$32,0))))))/Skills!H11,1)))/Inputs!$B$43),G861*Q861))*IF(Inputs!$B$38="pvp",1,1+(Inputs!$B$20+0+Skills!P11)/100),0)</f>
        <v/>
      </c>
      <c r="V861">
        <f>IF(C861,(H861*N861*IF(AND(Inputs!$B$38&lt;&gt;"pvp",Inputs!$B$43&gt;0),((Skills!G11*((R861-1)*IF(Skills!H11&gt;0,Skills!I11/Skills!H11,1)+IF(Skills!H11&gt;0,MIN(Skills!I11,MAX(0,MAX(0,Inputs!$B$43-B887)-((R861-1)*IF(Inputs!$B$38="pvp",15,MAX(0.1,Skills!D11-IF(Skills!E11=TRUE,Inputs!$B$32,0))))))/Skills!H11,1)))/Inputs!$B$43),G861*Q861))*IF(Inputs!$B$38="pvp",1,(1+(Inputs!$B$21+Skills!Q11)/100)*(MIN(Skills!R11,Inputs!$B$37))),0)</f>
        <v/>
      </c>
    </row>
    <row r="862">
      <c r="A862">
        <f>Skills!A12</f>
        <v/>
      </c>
      <c r="B862">
        <f>Skills!B12</f>
        <v/>
      </c>
      <c r="C862">
        <f>Inputs!$B$3&gt;=110</f>
        <v/>
      </c>
      <c r="D862">
        <f>IF(Skills!C12=1,60+Inputs!$B$25+Inputs!$B$29,IF(Skills!C12=2,90+Inputs!$B$26+Inputs!$B$29,IF(Skills!C12=3,120+Inputs!$B$27+Inputs!$B$29,MAX(0,(Inputs!$B$3-100)*3)+(Inputs!$B$28+1)+Inputs!$B$29)))</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f>((Inputs!$B$6*(1+Inputs!$B$7/100))+(((Inputs!$B$12*(1+Inputs!$B$13/100))-(Inputs!$B$12*(1+Inputs!$B$13/100)))+0.25*(Inputs!$B$14-Inputs!$B$14))*(1+Inputs!$B$7/100))*(F862/100)</f>
        <v/>
      </c>
      <c r="K862">
        <f>J862*(1+((Inputs!$B$12*(1+Inputs!$B$13/100))*0.01+Inputs!$B$14*0.0025)/100)*(1+Inputs!$B$15/100)*(1+Inputs!$B$16/100)*(5000/(6000+Inputs!$B$42*(1-(Inputs!$B$19+0)/100)))*(1+(Inputs!$B$24+((C876=TRUE)*(F876-Calc!F26))+B886)/100)*(1+(IF(Skills!A12="EIGHT_LEGS_EASTON",Inputs!$B$17+((C873=TRUE)*(F873-Calc!F23))+((C877=TRUE)*(F877-Calc!F27)),Inputs!$B$18+0))/100)*((1+(((C867=TRUE)*F867)+((C874=TRUE)*(F874-Calc!F24)))/100)*I862)</f>
        <v/>
      </c>
      <c r="L862">
        <f>K862*(MIN(Inputs!$B$22+((C872=TRUE)*(F872-Calc!F22)),Inputs!$B$23+0)/100+(Inputs!$B$23+0)/100)/2</f>
        <v/>
      </c>
      <c r="M862">
        <f>L862*(1+(Inputs!$B$10+((C875=TRUE)*(F875-Calc!F25))+B885)/100)</f>
        <v/>
      </c>
      <c r="N862">
        <f>L862*(1-MIN((Inputs!$B$9+((C869=TRUE)*(F869-Calc!F19))+B880),100)/100)+M862*(MIN((Inputs!$B$9+((C869=TRUE)*(F869-Calc!F19))+B880),100)/100)</f>
        <v/>
      </c>
      <c r="O862">
        <f>(1-Summary!$B$55)*T862+Summary!$B$55*V862</f>
        <v/>
      </c>
      <c r="P862">
        <f>IF(B890=0,0,O862/B890)</f>
        <v/>
      </c>
      <c r="Q862">
        <f>IFERROR(1/IF(Inputs!$B$38="pvp",15,MAX(0.1,Skills!D12-IF(Skills!E12=TRUE,Inputs!$B$32,0))),0)</f>
        <v/>
      </c>
      <c r="R862">
        <f>IF(AND(Inputs!$B$38&lt;&gt;"pvp",Inputs!$B$43&gt;0),IF(MAX(0,Inputs!$B$43-B887)&lt;=0,0,(INT(MAX(0,Inputs!$B$43-B887)/IF(Inputs!$B$38="pvp",15,MAX(0.1,Skills!D12-IF(Skills!E12=TRUE,Inputs!$B$32,0))))+1)),0)</f>
        <v/>
      </c>
      <c r="S862">
        <f>IFERROR(O862/N862,0)</f>
        <v/>
      </c>
      <c r="T862">
        <f>IF(C862,(H862*N862*IF(AND(Inputs!$B$38&lt;&gt;"pvp",Inputs!$B$43&gt;0),((Skills!G12*((R862-1)*IF(Skills!H12&gt;0,Skills!I12/Skills!H12,1)+IF(Skills!H12&gt;0,MIN(Skills!I12,MAX(0,MAX(0,Inputs!$B$43-B887)-((R862-1)*IF(Inputs!$B$38="pvp",15,MAX(0.1,Skills!D12-IF(Skills!E12=TRUE,Inputs!$B$32,0))))))/Skills!H12,1)))/Inputs!$B$43),G862*Q862))*IF(Inputs!$B$38="pvp",1,1+(Inputs!$B$20+0+Skills!P12)/100),0)</f>
        <v/>
      </c>
      <c r="V862">
        <f>IF(C862,(H862*N862*IF(AND(Inputs!$B$38&lt;&gt;"pvp",Inputs!$B$43&gt;0),((Skills!G12*((R862-1)*IF(Skills!H12&gt;0,Skills!I12/Skills!H12,1)+IF(Skills!H12&gt;0,MIN(Skills!I12,MAX(0,MAX(0,Inputs!$B$43-B887)-((R862-1)*IF(Inputs!$B$38="pvp",15,MAX(0.1,Skills!D12-IF(Skills!E12=TRUE,Inputs!$B$32,0))))))/Skills!H12,1)))/Inputs!$B$43),G862*Q862))*IF(Inputs!$B$38="pvp",1,(1+(Inputs!$B$21+Skills!Q12)/100)*(MIN(Skills!R12,Inputs!$B$37))),0)</f>
        <v/>
      </c>
    </row>
    <row r="863">
      <c r="A863">
        <f>Skills!A13</f>
        <v/>
      </c>
      <c r="B863">
        <f>Skills!B13</f>
        <v/>
      </c>
      <c r="C863">
        <f>Inputs!$B$3&gt;=110</f>
        <v/>
      </c>
      <c r="D863">
        <f>IF(Skills!C13=1,60+Inputs!$B$25+Inputs!$B$29,IF(Skills!C13=2,90+Inputs!$B$26+Inputs!$B$29,IF(Skills!C13=3,120+Inputs!$B$27+Inputs!$B$29,MAX(0,(Inputs!$B$3-100)*3)+(Inputs!$B$28+1)+Inputs!$B$29)))</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f>((Inputs!$B$6*(1+Inputs!$B$7/100))+(((Inputs!$B$12*(1+Inputs!$B$13/100))-(Inputs!$B$12*(1+Inputs!$B$13/100)))+0.25*(Inputs!$B$14-Inputs!$B$14))*(1+Inputs!$B$7/100))*(F863/100)</f>
        <v/>
      </c>
      <c r="K863">
        <f>J863*(1+((Inputs!$B$12*(1+Inputs!$B$13/100))*0.01+Inputs!$B$14*0.0025)/100)*(1+Inputs!$B$15/100)*(1+Inputs!$B$16/100)*(5000/(6000+Inputs!$B$42*(1-(Inputs!$B$19+0)/100)))*(1+(Inputs!$B$24+((C876=TRUE)*(F876-Calc!F26))+B886)/100)*(1+(IF(Skills!A13="EIGHT_LEGS_EASTON",Inputs!$B$17+((C873=TRUE)*(F873-Calc!F23))+((C877=TRUE)*(F877-Calc!F27)),Inputs!$B$18+0))/100)*((1+(((C867=TRUE)*F867)+((C874=TRUE)*(F874-Calc!F24)))/100)*I863)</f>
        <v/>
      </c>
      <c r="L863">
        <f>K863*(MIN(Inputs!$B$22+((C872=TRUE)*(F872-Calc!F22)),Inputs!$B$23+0)/100+(Inputs!$B$23+0)/100)/2</f>
        <v/>
      </c>
      <c r="M863">
        <f>L863*(1+(Inputs!$B$10+((C875=TRUE)*(F875-Calc!F25))+B885)/100)</f>
        <v/>
      </c>
      <c r="N863">
        <f>L863*(1-MIN((Inputs!$B$9+((C869=TRUE)*(F869-Calc!F19))+B880),100)/100)+M863*(MIN((Inputs!$B$9+((C869=TRUE)*(F869-Calc!F19))+B880),100)/100)</f>
        <v/>
      </c>
      <c r="O863">
        <f>(1-Summary!$B$55)*T863+Summary!$B$55*V863</f>
        <v/>
      </c>
      <c r="P863">
        <f>IF(B890=0,0,O863/B890)</f>
        <v/>
      </c>
      <c r="Q863">
        <f>IFERROR(1/IF(Inputs!$B$38="pvp",15,MAX(0.1,Skills!D13-IF(Skills!E13=TRUE,Inputs!$B$32,0))),0)</f>
        <v/>
      </c>
      <c r="R863">
        <f>IF(AND(Inputs!$B$38&lt;&gt;"pvp",Inputs!$B$43&gt;0),IF(MAX(0,Inputs!$B$43-B887)&lt;=0,0,(INT(MAX(0,Inputs!$B$43-B887)/IF(Inputs!$B$38="pvp",15,MAX(0.1,Skills!D13-IF(Skills!E13=TRUE,Inputs!$B$32,0))))+1)),0)</f>
        <v/>
      </c>
      <c r="S863">
        <f>IFERROR(O863/N863,0)</f>
        <v/>
      </c>
      <c r="T863">
        <f>IF(C863,(H863*N863*IF(AND(Inputs!$B$38&lt;&gt;"pvp",Inputs!$B$43&gt;0),((Skills!G13*((R863-1)*IF(Skills!H13&gt;0,Skills!I13/Skills!H13,1)+IF(Skills!H13&gt;0,MIN(Skills!I13,MAX(0,MAX(0,Inputs!$B$43-B887)-((R863-1)*IF(Inputs!$B$38="pvp",15,MAX(0.1,Skills!D13-IF(Skills!E13=TRUE,Inputs!$B$32,0))))))/Skills!H13,1)))/Inputs!$B$43),G863*Q863))*IF(Inputs!$B$38="pvp",1,1+(Inputs!$B$20+0+Skills!P13)/100),0)</f>
        <v/>
      </c>
      <c r="V863">
        <f>IF(C863,(H863*N863*IF(AND(Inputs!$B$38&lt;&gt;"pvp",Inputs!$B$43&gt;0),((Skills!G13*((R863-1)*IF(Skills!H13&gt;0,Skills!I13/Skills!H13,1)+IF(Skills!H13&gt;0,MIN(Skills!I13,MAX(0,MAX(0,Inputs!$B$43-B887)-((R863-1)*IF(Inputs!$B$38="pvp",15,MAX(0.1,Skills!D13-IF(Skills!E13=TRUE,Inputs!$B$32,0))))))/Skills!H13,1)))/Inputs!$B$43),G863*Q863))*IF(Inputs!$B$38="pvp",1,(1+(Inputs!$B$21+Skills!Q13)/100)*(MIN(Skills!R13,Inputs!$B$37))),0)</f>
        <v/>
      </c>
    </row>
    <row r="864">
      <c r="A864">
        <f>Skills!A14</f>
        <v/>
      </c>
      <c r="B864">
        <f>Skills!B14</f>
        <v/>
      </c>
      <c r="C864">
        <f>Inputs!$B$3&gt;=125</f>
        <v/>
      </c>
      <c r="D864">
        <f>IF(Skills!C14=1,60+Inputs!$B$25+Inputs!$B$29,IF(Skills!C14=2,90+Inputs!$B$26+Inputs!$B$29,IF(Skills!C14=3,120+Inputs!$B$27+Inputs!$B$29,MAX(0,(Inputs!$B$3-100)*3)+(Inputs!$B$28+1)+Inputs!$B$29)))</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f>((Inputs!$B$6*(1+Inputs!$B$7/100))+(((Inputs!$B$12*(1+Inputs!$B$13/100))-(Inputs!$B$12*(1+Inputs!$B$13/100)))+0.25*(Inputs!$B$14-Inputs!$B$14))*(1+Inputs!$B$7/100))*(F864/100)</f>
        <v/>
      </c>
      <c r="K864">
        <f>J864*(1+((Inputs!$B$12*(1+Inputs!$B$13/100))*0.01+Inputs!$B$14*0.0025)/100)*(1+Inputs!$B$15/100)*(1+Inputs!$B$16/100)*(5000/(6000+Inputs!$B$42*(1-(Inputs!$B$19+0)/100)))*(1+(Inputs!$B$24+((C876=TRUE)*(F876-Calc!F26))+B886)/100)*(1+(IF(Skills!A14="EIGHT_LEGS_EASTON",Inputs!$B$17+((C873=TRUE)*(F873-Calc!F23))+((C877=TRUE)*(F877-Calc!F27)),Inputs!$B$18+0))/100)*((1+(((C867=TRUE)*F867)+((C874=TRUE)*(F874-Calc!F24)))/100)*I864)</f>
        <v/>
      </c>
      <c r="L864">
        <f>K864*(MIN(Inputs!$B$22+((C872=TRUE)*(F872-Calc!F22)),Inputs!$B$23+0)/100+(Inputs!$B$23+0)/100)/2</f>
        <v/>
      </c>
      <c r="M864">
        <f>L864*(1+(Inputs!$B$10+((C875=TRUE)*(F875-Calc!F25))+B885)/100)</f>
        <v/>
      </c>
      <c r="N864">
        <f>L864*(1-MIN((Inputs!$B$9+((C869=TRUE)*(F869-Calc!F19))+B880),100)/100)+M864*(MIN((Inputs!$B$9+((C869=TRUE)*(F869-Calc!F19))+B880),100)/100)</f>
        <v/>
      </c>
      <c r="O864">
        <f>(1-Summary!$B$55)*T864+Summary!$B$55*V864</f>
        <v/>
      </c>
      <c r="P864">
        <f>IF(B890=0,0,O864/B890)</f>
        <v/>
      </c>
      <c r="Q864" t="n">
        <v>0</v>
      </c>
      <c r="R864" t="n">
        <v>0</v>
      </c>
      <c r="S864">
        <f>IFERROR(O864/N864,0)</f>
        <v/>
      </c>
      <c r="T864">
        <f>IF(C864,(H864*N864*(B884+IF(AND(Inputs!$B$38&lt;&gt;"pvp",Inputs!$B$43&gt;0),((Skills!G8*((R858-1)*IF(Skills!H8&gt;0,Skills!I8/Skills!H8,1)+IF(Skills!H8&gt;0,MIN(Skills!I8,MAX(0,MAX(0,Inputs!$B$43-B887)-((R858-1)*IF(Inputs!$B$38="pvp",15,MAX(0.1,Skills!D8-IF(Skills!E8=TRUE,Inputs!$B$32,0))))))/Skills!H8,1)))/Inputs!$B$43),G858*Q858)+IF(AND(Inputs!$B$38&lt;&gt;"pvp",Inputs!$B$43&gt;0),((Skills!G11*((R861-1)*IF(Skills!H11&gt;0,Skills!I11/Skills!H11,1)+IF(Skills!H11&gt;0,MIN(Skills!I11,MAX(0,MAX(0,Inputs!$B$43-B887)-((R861-1)*IF(Inputs!$B$38="pvp",15,MAX(0.1,Skills!D11-IF(Skills!E11=TRUE,Inputs!$B$32,0))))))/Skills!H11,1)))/Inputs!$B$43),G861*Q861)))*IF(Inputs!$B$38="pvp",1,1+(Inputs!$B$20+0+Skills!P14)/100),0)</f>
        <v/>
      </c>
      <c r="V864">
        <f>IF(C864,(H864*N864*(B884+IF(AND(Inputs!$B$38&lt;&gt;"pvp",Inputs!$B$43&gt;0),((Skills!G8*((R858-1)*IF(Skills!H8&gt;0,Skills!I8/Skills!H8,1)+IF(Skills!H8&gt;0,MIN(Skills!I8,MAX(0,MAX(0,Inputs!$B$43-B887)-((R858-1)*IF(Inputs!$B$38="pvp",15,MAX(0.1,Skills!D8-IF(Skills!E8=TRUE,Inputs!$B$32,0))))))/Skills!H8,1)))/Inputs!$B$43),G858*Q858)+IF(AND(Inputs!$B$38&lt;&gt;"pvp",Inputs!$B$43&gt;0),((Skills!G11*((R861-1)*IF(Skills!H11&gt;0,Skills!I11/Skills!H11,1)+IF(Skills!H11&gt;0,MIN(Skills!I11,MAX(0,MAX(0,Inputs!$B$43-B887)-((R861-1)*IF(Inputs!$B$38="pvp",15,MAX(0.1,Skills!D11-IF(Skills!E11=TRUE,Inputs!$B$32,0))))))/Skills!H11,1)))/Inputs!$B$43),G861*Q861)))*IF(Inputs!$B$38="pvp",1,(1+(Inputs!$B$21+Skills!Q14)/100)*(MIN(Skills!R14,Inputs!$B$37))),0)</f>
        <v/>
      </c>
    </row>
    <row r="865">
      <c r="A865">
        <f>Skills!A15</f>
        <v/>
      </c>
      <c r="B865">
        <f>Skills!B15</f>
        <v/>
      </c>
      <c r="C865">
        <f>Inputs!$B$3&gt;=100</f>
        <v/>
      </c>
      <c r="D865">
        <f>IF(Skills!C15=1,60+Inputs!$B$25+Inputs!$B$29,IF(Skills!C15=2,90+Inputs!$B$26+Inputs!$B$29,IF(Skills!C15=3,120+Inputs!$B$27+Inputs!$B$29,MAX(0,(Inputs!$B$3-100)*3)+(Inputs!$B$28+1)+Inputs!$B$29)))</f>
        <v/>
      </c>
      <c r="E865">
        <f>INDEX(FactorTable!$B$2:$Y$301, MATCH(ROUND(MIN(300,MAX(1,D865)),0), FactorTable!$A$2:$A$301,0), Skills!M15+1)</f>
        <v/>
      </c>
      <c r="F865">
        <f>IF(Skills!N15=TRUE,(Skills!L15/10)*(E865/1000),Skills!L15/10)+Skills!O15</f>
        <v/>
      </c>
      <c r="G865" t="inlineStr"/>
      <c r="H865" t="inlineStr"/>
      <c r="I865" t="inlineStr">
        <is>
          <t>1</t>
        </is>
      </c>
      <c r="J865" t="inlineStr"/>
      <c r="K865" t="inlineStr"/>
      <c r="L865" t="inlineStr"/>
      <c r="M865" t="inlineStr"/>
      <c r="N865" t="inlineStr"/>
      <c r="O865" t="inlineStr"/>
      <c r="P865" t="inlineStr"/>
      <c r="Q865" t="inlineStr"/>
      <c r="R865" t="inlineStr"/>
      <c r="S865" t="inlineStr"/>
    </row>
    <row r="866">
      <c r="A866">
        <f>Skills!A16</f>
        <v/>
      </c>
      <c r="B866">
        <f>Skills!B16</f>
        <v/>
      </c>
      <c r="C866">
        <f>Inputs!$B$3&gt;=120</f>
        <v/>
      </c>
      <c r="D866">
        <f>IF(Skills!C16=1,60+Inputs!$B$25+Inputs!$B$29,IF(Skills!C16=2,90+Inputs!$B$26+Inputs!$B$29,IF(Skills!C16=3,120+Inputs!$B$27+Inputs!$B$29,MAX(0,(Inputs!$B$3-100)*3)+(Inputs!$B$28+1)+Inputs!$B$29)))</f>
        <v/>
      </c>
      <c r="E866">
        <f>INDEX(FactorTable!$B$2:$Y$301, MATCH(ROUND(MIN(300,MAX(1,D866)),0), FactorTable!$A$2:$A$301,0), Skills!M16+1)</f>
        <v/>
      </c>
      <c r="F866">
        <f>IF(Skills!N16=TRUE,(Skills!L16/10)*(E866/1000),Skills!L16/10)+Skills!O16</f>
        <v/>
      </c>
      <c r="G866" t="inlineStr"/>
      <c r="H866" t="inlineStr"/>
      <c r="I866" t="inlineStr">
        <is>
          <t>1</t>
        </is>
      </c>
      <c r="J866" t="inlineStr"/>
      <c r="K866" t="inlineStr"/>
      <c r="L866" t="inlineStr"/>
      <c r="M866" t="inlineStr"/>
      <c r="N866" t="inlineStr"/>
      <c r="O866" t="inlineStr"/>
      <c r="P866" t="inlineStr"/>
      <c r="Q866" t="inlineStr"/>
      <c r="R866" t="inlineStr"/>
      <c r="S866" t="inlineStr"/>
    </row>
    <row r="867">
      <c r="A867">
        <f>Skills!A17</f>
        <v/>
      </c>
      <c r="B867">
        <f>Skills!B17</f>
        <v/>
      </c>
      <c r="C867">
        <f>Inputs!$B$3&gt;=66</f>
        <v/>
      </c>
      <c r="D867">
        <f>IF(Skills!C17=1,60+Inputs!$B$25+Inputs!$B$29,IF(Skills!C17=2,90+Inputs!$B$26+Inputs!$B$29,IF(Skills!C17=3,120+Inputs!$B$27+Inputs!$B$29,MAX(0,(Inputs!$B$3-100)*3)+(Inputs!$B$28+1)+Inputs!$B$29)))</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f>(1-Summary!$B$55)*T867+Summary!$B$55*V867</f>
        <v/>
      </c>
      <c r="P867">
        <f>IF(B890=0,0,O867/B890)</f>
        <v/>
      </c>
      <c r="Q867" t="n">
        <v>0</v>
      </c>
      <c r="R867" t="n">
        <v>0</v>
      </c>
      <c r="S867">
        <f>IFERROR(O867/N867,0)</f>
        <v/>
      </c>
      <c r="T867" t="n">
        <v>0</v>
      </c>
      <c r="V867" t="n">
        <v>0</v>
      </c>
    </row>
    <row r="868">
      <c r="A868">
        <f>Skills!A18</f>
        <v/>
      </c>
      <c r="B868">
        <f>Skills!B18</f>
        <v/>
      </c>
      <c r="C868">
        <f>Inputs!$B$3&gt;=115</f>
        <v/>
      </c>
      <c r="D868">
        <f>IF(Skills!C18=1,60+Inputs!$B$25+Inputs!$B$29,IF(Skills!C18=2,90+Inputs!$B$26+Inputs!$B$29,IF(Skills!C18=3,120+Inputs!$B$27+Inputs!$B$29,MAX(0,(Inputs!$B$3-100)*3)+(Inputs!$B$28+1)+Inputs!$B$29)))</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f>(1-Summary!$B$55)*T868+Summary!$B$55*V868</f>
        <v/>
      </c>
      <c r="P868">
        <f>IF(B890=0,0,O868/B890)</f>
        <v/>
      </c>
      <c r="Q868" t="n">
        <v>0</v>
      </c>
      <c r="R868" t="n">
        <v>0</v>
      </c>
      <c r="S868">
        <f>IFERROR(O868/N868,0)</f>
        <v/>
      </c>
      <c r="T868" t="n">
        <v>0</v>
      </c>
      <c r="V868" t="n">
        <v>0</v>
      </c>
    </row>
    <row r="869">
      <c r="A869">
        <f>Skills!A19</f>
        <v/>
      </c>
      <c r="B869">
        <f>Skills!B19</f>
        <v/>
      </c>
      <c r="C869">
        <f>Inputs!$B$3&gt;=15</f>
        <v/>
      </c>
      <c r="D869">
        <f>IF(Skills!C19=1,60+Inputs!$B$25+Inputs!$B$29,IF(Skills!C19=2,90+Inputs!$B$26+Inputs!$B$29,IF(Skills!C19=3,120+Inputs!$B$27+Inputs!$B$29,MAX(0,(Inputs!$B$3-100)*3)+(Inputs!$B$28+1)+Inputs!$B$29)))</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f>(1-Summary!$B$55)*T869+Summary!$B$55*V869</f>
        <v/>
      </c>
      <c r="P869">
        <f>IF(B890=0,0,O869/B890)</f>
        <v/>
      </c>
      <c r="Q869" t="n">
        <v>0</v>
      </c>
      <c r="R869" t="n">
        <v>0</v>
      </c>
      <c r="S869">
        <f>IFERROR(O869/N869,0)</f>
        <v/>
      </c>
      <c r="T869" t="n">
        <v>0</v>
      </c>
      <c r="V869" t="n">
        <v>0</v>
      </c>
    </row>
    <row r="870">
      <c r="A870">
        <f>Skills!A20</f>
        <v/>
      </c>
      <c r="B870">
        <f>Skills!B20</f>
        <v/>
      </c>
      <c r="C870">
        <f>Inputs!$B$3&gt;=10</f>
        <v/>
      </c>
      <c r="D870">
        <f>IF(Skills!C20=1,60+Inputs!$B$25+Inputs!$B$29,IF(Skills!C20=2,90+Inputs!$B$26+Inputs!$B$29,IF(Skills!C20=3,120+Inputs!$B$27+Inputs!$B$29,MAX(0,(Inputs!$B$3-100)*3)+(Inputs!$B$28+1)+Inputs!$B$29)))</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f>(1-Summary!$B$55)*T870+Summary!$B$55*V870</f>
        <v/>
      </c>
      <c r="P870">
        <f>IF(B890=0,0,O870/B890)</f>
        <v/>
      </c>
      <c r="Q870" t="n">
        <v>0</v>
      </c>
      <c r="R870" t="n">
        <v>0</v>
      </c>
      <c r="S870">
        <f>IFERROR(O870/N870,0)</f>
        <v/>
      </c>
      <c r="T870" t="n">
        <v>0</v>
      </c>
      <c r="V870" t="n">
        <v>0</v>
      </c>
    </row>
    <row r="871">
      <c r="A871">
        <f>Skills!A21</f>
        <v/>
      </c>
      <c r="B871">
        <f>Skills!B21</f>
        <v/>
      </c>
      <c r="C871">
        <f>Inputs!$B$3&gt;=33</f>
        <v/>
      </c>
      <c r="D871">
        <f>IF(Skills!C21=1,60+Inputs!$B$25+Inputs!$B$29,IF(Skills!C21=2,90+Inputs!$B$26+Inputs!$B$29,IF(Skills!C21=3,120+Inputs!$B$27+Inputs!$B$29,MAX(0,(Inputs!$B$3-100)*3)+(Inputs!$B$28+1)+Inputs!$B$29)))</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f>(1-Summary!$B$55)*T871+Summary!$B$55*V871</f>
        <v/>
      </c>
      <c r="P871">
        <f>IF(B890=0,0,O871/B890)</f>
        <v/>
      </c>
      <c r="Q871" t="n">
        <v>0</v>
      </c>
      <c r="R871" t="n">
        <v>0</v>
      </c>
      <c r="S871">
        <f>IFERROR(O871/N871,0)</f>
        <v/>
      </c>
      <c r="T871" t="n">
        <v>0</v>
      </c>
      <c r="V871" t="n">
        <v>0</v>
      </c>
    </row>
    <row r="872">
      <c r="A872">
        <f>Skills!A22</f>
        <v/>
      </c>
      <c r="B872">
        <f>Skills!B22</f>
        <v/>
      </c>
      <c r="C872">
        <f>Inputs!$B$3&gt;=43</f>
        <v/>
      </c>
      <c r="D872">
        <f>IF(Skills!C22=1,60+Inputs!$B$25+Inputs!$B$29,IF(Skills!C22=2,90+Inputs!$B$26+Inputs!$B$29,IF(Skills!C22=3,120+Inputs!$B$27+Inputs!$B$29,MAX(0,(Inputs!$B$3-100)*3)+(Inputs!$B$28+1)+Inputs!$B$29)))</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f>(1-Summary!$B$55)*T872+Summary!$B$55*V872</f>
        <v/>
      </c>
      <c r="P872">
        <f>IF(B890=0,0,O872/B890)</f>
        <v/>
      </c>
      <c r="Q872" t="n">
        <v>0</v>
      </c>
      <c r="R872" t="n">
        <v>0</v>
      </c>
      <c r="S872">
        <f>IFERROR(O872/N872,0)</f>
        <v/>
      </c>
      <c r="T872" t="n">
        <v>0</v>
      </c>
      <c r="V872" t="n">
        <v>0</v>
      </c>
    </row>
    <row r="873">
      <c r="A873">
        <f>Skills!A23</f>
        <v/>
      </c>
      <c r="B873">
        <f>Skills!B23</f>
        <v/>
      </c>
      <c r="C873">
        <f>Inputs!$B$3&gt;=38</f>
        <v/>
      </c>
      <c r="D873">
        <f>IF(Skills!C23=1,60+Inputs!$B$25+Inputs!$B$29,IF(Skills!C23=2,90+Inputs!$B$26+Inputs!$B$29,IF(Skills!C23=3,120+Inputs!$B$27+Inputs!$B$29,MAX(0,(Inputs!$B$3-100)*3)+(Inputs!$B$28+1)+Inputs!$B$29)))</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f>(1-Summary!$B$55)*T873+Summary!$B$55*V873</f>
        <v/>
      </c>
      <c r="P873">
        <f>IF(B890=0,0,O873/B890)</f>
        <v/>
      </c>
      <c r="Q873" t="n">
        <v>0</v>
      </c>
      <c r="R873" t="n">
        <v>0</v>
      </c>
      <c r="S873">
        <f>IFERROR(O873/N873,0)</f>
        <v/>
      </c>
      <c r="T873" t="n">
        <v>0</v>
      </c>
      <c r="V873" t="n">
        <v>0</v>
      </c>
    </row>
    <row r="874">
      <c r="A874">
        <f>Skills!A24</f>
        <v/>
      </c>
      <c r="B874">
        <f>Skills!B24</f>
        <v/>
      </c>
      <c r="C874">
        <f>Inputs!$B$3&gt;=40</f>
        <v/>
      </c>
      <c r="D874">
        <f>IF(Skills!C24=1,60+Inputs!$B$25+Inputs!$B$29,IF(Skills!C24=2,90+Inputs!$B$26+Inputs!$B$29,IF(Skills!C24=3,120+Inputs!$B$27+Inputs!$B$29,MAX(0,(Inputs!$B$3-100)*3)+(Inputs!$B$28+1)+Inputs!$B$29)))</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f>(1-Summary!$B$55)*T874+Summary!$B$55*V874</f>
        <v/>
      </c>
      <c r="P874">
        <f>IF(B890=0,0,O874/B890)</f>
        <v/>
      </c>
      <c r="Q874" t="n">
        <v>0</v>
      </c>
      <c r="R874" t="n">
        <v>0</v>
      </c>
      <c r="S874">
        <f>IFERROR(O874/N874,0)</f>
        <v/>
      </c>
      <c r="T874" t="n">
        <v>0</v>
      </c>
      <c r="V874" t="n">
        <v>0</v>
      </c>
    </row>
    <row r="875">
      <c r="A875">
        <f>Skills!A25</f>
        <v/>
      </c>
      <c r="B875">
        <f>Skills!B25</f>
        <v/>
      </c>
      <c r="C875">
        <f>Inputs!$B$3&gt;=72</f>
        <v/>
      </c>
      <c r="D875">
        <f>IF(Skills!C25=1,60+Inputs!$B$25+Inputs!$B$29,IF(Skills!C25=2,90+Inputs!$B$26+Inputs!$B$29,IF(Skills!C25=3,120+Inputs!$B$27+Inputs!$B$29,MAX(0,(Inputs!$B$3-100)*3)+(Inputs!$B$28+1)+Inputs!$B$29)))</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f>(1-Summary!$B$55)*T875+Summary!$B$55*V875</f>
        <v/>
      </c>
      <c r="P875">
        <f>IF(B890=0,0,O875/B890)</f>
        <v/>
      </c>
      <c r="Q875" t="n">
        <v>0</v>
      </c>
      <c r="R875" t="n">
        <v>0</v>
      </c>
      <c r="S875">
        <f>IFERROR(O875/N875,0)</f>
        <v/>
      </c>
      <c r="T875" t="n">
        <v>0</v>
      </c>
      <c r="V875" t="n">
        <v>0</v>
      </c>
    </row>
    <row r="876">
      <c r="A876">
        <f>Skills!A26</f>
        <v/>
      </c>
      <c r="B876">
        <f>Skills!B26</f>
        <v/>
      </c>
      <c r="C876">
        <f>Inputs!$B$3&gt;=75</f>
        <v/>
      </c>
      <c r="D876">
        <f>IF(Skills!C26=1,60+Inputs!$B$25+Inputs!$B$29,IF(Skills!C26=2,90+Inputs!$B$26+Inputs!$B$29,IF(Skills!C26=3,120+Inputs!$B$27+Inputs!$B$29,MAX(0,(Inputs!$B$3-100)*3)+(Inputs!$B$28+1)+Inputs!$B$29)))</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f>(1-Summary!$B$55)*T876+Summary!$B$55*V876</f>
        <v/>
      </c>
      <c r="P876">
        <f>IF(B890=0,0,O876/B890)</f>
        <v/>
      </c>
      <c r="Q876" t="n">
        <v>0</v>
      </c>
      <c r="R876" t="n">
        <v>0</v>
      </c>
      <c r="S876">
        <f>IFERROR(O876/N876,0)</f>
        <v/>
      </c>
      <c r="T876" t="n">
        <v>0</v>
      </c>
      <c r="V876" t="n">
        <v>0</v>
      </c>
    </row>
    <row r="877">
      <c r="A877">
        <f>Skills!A27</f>
        <v/>
      </c>
      <c r="B877">
        <f>Skills!B27</f>
        <v/>
      </c>
      <c r="C877">
        <f>Inputs!$B$3&gt;=117</f>
        <v/>
      </c>
      <c r="D877">
        <f>IF(Skills!C27=1,60+Inputs!$B$25+Inputs!$B$29,IF(Skills!C27=2,90+Inputs!$B$26+Inputs!$B$29,IF(Skills!C27=3,120+Inputs!$B$27+Inputs!$B$29,MAX(0,(Inputs!$B$3-100)*3)+(Inputs!$B$28+1)+Inputs!$B$29)))</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f>(1-Summary!$B$55)*T877+Summary!$B$55*V877</f>
        <v/>
      </c>
      <c r="P877">
        <f>IF(B890=0,0,O877/B890)</f>
        <v/>
      </c>
      <c r="Q877" t="n">
        <v>0</v>
      </c>
      <c r="R877" t="n">
        <v>0</v>
      </c>
      <c r="S877">
        <f>IFERROR(O877/N877,0)</f>
        <v/>
      </c>
      <c r="T877" t="n">
        <v>0</v>
      </c>
      <c r="V877" t="n">
        <v>0</v>
      </c>
    </row>
    <row r="879">
      <c r="A879" t="inlineStr">
        <is>
          <t>Attack% Bucket Multiplier</t>
        </is>
      </c>
      <c r="B879">
        <f>(1+(((C867=TRUE)*F867)+((C874=TRUE)*(F874-Calc!F24)))/100)</f>
        <v/>
      </c>
    </row>
    <row r="880">
      <c r="A880" t="inlineStr">
        <is>
          <t>Global Crit Rate Bonus %</t>
        </is>
      </c>
      <c r="B880" t="n">
        <v>0</v>
      </c>
    </row>
    <row r="881">
      <c r="A881" t="inlineStr">
        <is>
          <t>Attack Speed Buff Bonus % (unused)</t>
        </is>
      </c>
      <c r="B881" t="n">
        <v>0</v>
      </c>
    </row>
    <row r="882">
      <c r="A882" t="inlineStr">
        <is>
          <t>Actions Per Second</t>
        </is>
      </c>
      <c r="B882">
        <f>1+MIN(150,150*(1-(1-(Inputs!$B$11+((C870=TRUE)*(F870-Calc!F20))+((C871=TRUE)*(F871-Calc!F21)))/150)*(1-B881/150)))/100</f>
        <v/>
      </c>
    </row>
    <row r="883">
      <c r="A883" t="inlineStr">
        <is>
          <t>Skill + Buff Cast Rate</t>
        </is>
      </c>
      <c r="B883">
        <f>IF(AND(Inputs!$B$38&lt;&gt;"pvp",Inputs!$B$43&gt;0),SUMPRODUCT((Skills!E2:E27=TRUE)*(C852:C877=TRUE)*R852:R877*Skills!F2:F27)/Inputs!$B$43,SUMPRODUCT((Skills!E2:E27=TRUE)*(C852:C877=TRUE)*Q852:Q877*Skills!F2:F27))</f>
        <v/>
      </c>
    </row>
    <row r="884">
      <c r="A884" t="inlineStr">
        <is>
          <t>Eight-Legs Easton Casts Per Second</t>
        </is>
      </c>
      <c r="B884">
        <f>MAX(0,B882-B883)</f>
        <v/>
      </c>
    </row>
    <row r="885">
      <c r="A885" t="inlineStr">
        <is>
          <t>Global Critical Damage Bonus % (unused)</t>
        </is>
      </c>
      <c r="B885" t="n">
        <v>0</v>
      </c>
    </row>
    <row r="886">
      <c r="A886" t="inlineStr">
        <is>
          <t>Global Final Damage Bonus % (Jolly Roger only)</t>
        </is>
      </c>
      <c r="B886">
        <f>((C868=TRUE)*F868)</f>
        <v/>
      </c>
    </row>
    <row r="887">
      <c r="A887" t="inlineStr">
        <is>
          <t>Buff-Casting Startup Delay (s, fixed-duration only)</t>
        </is>
      </c>
      <c r="B887">
        <f>IF(AND(Inputs!$B$38&lt;&gt;"pvp",Inputs!$B$43&gt;0),SUMPRODUCT((Skills!T2:T27&gt;0)*(Skills!E2:E27=TRUE)*(C852:C877=TRUE))/B882,0)</f>
        <v/>
      </c>
    </row>
    <row r="888">
      <c r="A888" t="inlineStr">
        <is>
          <t>Boss-Only Total DPS (this block's swept value)</t>
        </is>
      </c>
      <c r="B888">
        <f>SUM(T852:T877)</f>
        <v/>
      </c>
    </row>
    <row r="889">
      <c r="A889" t="inlineStr">
        <is>
          <t>Normal-Only Total DPS (this block's swept value)</t>
        </is>
      </c>
      <c r="B889">
        <f>SUM(V852:V877)</f>
        <v/>
      </c>
    </row>
    <row r="890">
      <c r="A890" s="5" t="inlineStr">
        <is>
          <t>TOTAL DPS</t>
        </is>
      </c>
      <c r="B890" s="5">
        <f>SUM(O852:O877)</f>
        <v/>
      </c>
    </row>
    <row r="893">
      <c r="A893" s="5" t="inlineStr">
        <is>
          <t>Stat: Skill Level Bonus — All Skills</t>
        </is>
      </c>
    </row>
    <row r="894">
      <c r="A894" s="9" t="inlineStr">
        <is>
          <t>Key</t>
        </is>
      </c>
      <c r="B894" s="9" t="inlineStr">
        <is>
          <t>Name</t>
        </is>
      </c>
      <c r="C894" s="9" t="inlineStr">
        <is>
          <t>Unlocked</t>
        </is>
      </c>
      <c r="D894" s="9" t="inlineStr">
        <is>
          <t>InputLevel</t>
        </is>
      </c>
      <c r="E894" s="9" t="inlineStr">
        <is>
          <t>Factor</t>
        </is>
      </c>
      <c r="F894" s="9" t="inlineStr">
        <is>
          <t>CoefficientPercent</t>
        </is>
      </c>
      <c r="G894" s="9" t="inlineStr">
        <is>
          <t>EffectiveHits</t>
        </is>
      </c>
      <c r="H894" s="9" t="inlineStr">
        <is>
          <t>ProcProbability</t>
        </is>
      </c>
      <c r="I894" s="9" t="inlineStr">
        <is>
          <t>MapleHeroMultiplier</t>
        </is>
      </c>
      <c r="J894" s="9" t="inlineStr">
        <is>
          <t>BaseDamage</t>
        </is>
      </c>
      <c r="K894" s="9" t="inlineStr">
        <is>
          <t>BaseHitDamage</t>
        </is>
      </c>
      <c r="L894" s="9" t="inlineStr">
        <is>
          <t>NonCritAvg</t>
        </is>
      </c>
      <c r="M894" s="9" t="inlineStr">
        <is>
          <t>CritAvg</t>
        </is>
      </c>
      <c r="N894" s="9" t="inlineStr">
        <is>
          <t>ExpectedDamage(perHit)</t>
        </is>
      </c>
      <c r="O894" s="9" t="inlineStr">
        <is>
          <t>DPS</t>
        </is>
      </c>
      <c r="P894" s="9" t="inlineStr">
        <is>
          <t>% of Total</t>
        </is>
      </c>
      <c r="Q894" s="9" t="inlineStr">
        <is>
          <t>InvCooldown</t>
        </is>
      </c>
      <c r="R894" s="9" t="inlineStr">
        <is>
          <t>CastsInFight</t>
        </is>
      </c>
      <c r="S894" s="9" t="inlineStr">
        <is>
          <t>HitRate(perSec)</t>
        </is>
      </c>
      <c r="U894" t="inlineStr">
        <is>
          <t>helpers</t>
        </is>
      </c>
    </row>
    <row r="895">
      <c r="A895">
        <f>Skills!A2</f>
        <v/>
      </c>
      <c r="B895">
        <f>Skills!B2</f>
        <v/>
      </c>
      <c r="C895">
        <f>Inputs!$B$3&gt;=100</f>
        <v/>
      </c>
      <c r="D895" t="inlineStr"/>
      <c r="E895" t="inlineStr"/>
      <c r="F895">
        <f>U897+Skills!O2</f>
        <v/>
      </c>
      <c r="G895">
        <f>Skills!G2*IF(Skills!H2&gt;0,Skills!I2/Skills!H2,1)</f>
        <v/>
      </c>
      <c r="H895">
        <f>1-(1-Skills!J2/100)^Skills!K2</f>
        <v/>
      </c>
      <c r="I895" t="inlineStr">
        <is>
          <t>1</t>
        </is>
      </c>
      <c r="J895">
        <f>((Inputs!$B$6*(1+Inputs!$B$7/100))+(((Inputs!$B$12*(1+Inputs!$B$13/100))-(Inputs!$B$12*(1+Inputs!$B$13/100)))+0.25*(Inputs!$B$14-Inputs!$B$14))*(1+Inputs!$B$7/100))*(F895/100)</f>
        <v/>
      </c>
      <c r="K895">
        <f>J895*(1+((Inputs!$B$12*(1+Inputs!$B$13/100))*0.01+Inputs!$B$14*0.0025)/100)*(1+Inputs!$B$15/100)*(1+Inputs!$B$16/100)*(5000/(6000+Inputs!$B$42*(1-(Inputs!$B$19+0)/100)))*(1+(Inputs!$B$24+((C919=TRUE)*(F919-Calc!F26))+B929)/100)*(1+(IF(Skills!A2="EIGHT_LEGS_EASTON",Inputs!$B$17+((C916=TRUE)*(F916-Calc!F23))+((C920=TRUE)*(F920-Calc!F27)),Inputs!$B$18+0))/100)*((1+(((C910=TRUE)*F910)+((C917=TRUE)*(F917-Calc!F24)))/100)*I895)</f>
        <v/>
      </c>
      <c r="L895">
        <f>K895*(MIN(Inputs!$B$22+((C915=TRUE)*(F915-Calc!F22)),Inputs!$B$23+0)/100+(Inputs!$B$23+0)/100)/2</f>
        <v/>
      </c>
      <c r="M895">
        <f>L895*(1+(Inputs!$B$10+((C918=TRUE)*(F918-Calc!F25))+B928)/100)</f>
        <v/>
      </c>
      <c r="N895">
        <f>L895*(1-MIN((Inputs!$B$9+((C912=TRUE)*(F912-Calc!F19))+B923),100)/100)+M895*(MIN((Inputs!$B$9+((C912=TRUE)*(F912-Calc!F19))+B923),100)/100)</f>
        <v/>
      </c>
      <c r="O895">
        <f>(1-Summary!$B$55)*T895+Summary!$B$55*V895</f>
        <v/>
      </c>
      <c r="P895">
        <f>IF(B933=0,0,O895/B933)</f>
        <v/>
      </c>
      <c r="Q895" t="n">
        <v>0</v>
      </c>
      <c r="R895" t="n">
        <v>0</v>
      </c>
      <c r="S895">
        <f>IFERROR(O895/N895,0)</f>
        <v/>
      </c>
      <c r="T895">
        <f>IF(C895,(Skills!G2*N895*B927)*IF(Inputs!$B$38="pvp",1,1+(Inputs!$B$20+0+Skills!P2)/100),0)</f>
        <v/>
      </c>
      <c r="U895">
        <f>MAX(0,(Inputs!$B$3-100)*3)+Inputs!$B$28+(Inputs!$B$29+1)</f>
        <v/>
      </c>
      <c r="V895">
        <f>IF(C895,(Skills!G2*N895*B927)*IF(Inputs!$B$38="pvp",1,(1+(Inputs!$B$21+Skills!Q2)/100)*(MIN((6+Inputs!$B$33),Inputs!$B$37))),0)</f>
        <v/>
      </c>
    </row>
    <row r="896">
      <c r="A896">
        <f>Skills!A3</f>
        <v/>
      </c>
      <c r="B896">
        <f>Skills!B3</f>
        <v/>
      </c>
      <c r="C896">
        <f>Inputs!$B$3&gt;=35</f>
        <v/>
      </c>
      <c r="D896">
        <f>IF(Skills!C3=1,60+Inputs!$B$25+(Inputs!$B$29+1),IF(Skills!C3=2,90+Inputs!$B$26+(Inputs!$B$29+1),IF(Skills!C3=3,120+Inputs!$B$27+(Inputs!$B$29+1),MAX(0,(Inputs!$B$3-100)*3)+Inputs!$B$28+(Inputs!$B$29+1))))</f>
        <v/>
      </c>
      <c r="E896">
        <f>INDEX(FactorTable!$B$2:$Y$301, MATCH(ROUND(MIN(300,MAX(1,D896)),0), FactorTable!$A$2:$A$301,0), Skills!M3+1)</f>
        <v/>
      </c>
      <c r="F896">
        <f>IF(Skills!N3=TRUE,(Skills!L3/10)*(E896/1000),Skills!L3/10)+Skills!O3</f>
        <v/>
      </c>
      <c r="G896">
        <f>Skills!G3*IF(Skills!H3&gt;0,Skills!I3/Skills!H3,1)</f>
        <v/>
      </c>
      <c r="H896">
        <f>1-(1-Skills!J3/100)^Skills!K3</f>
        <v/>
      </c>
      <c r="I896" t="inlineStr">
        <is>
          <t>1</t>
        </is>
      </c>
      <c r="J896">
        <f>((Inputs!$B$6*(1+Inputs!$B$7/100))+(((Inputs!$B$12*(1+Inputs!$B$13/100))-(Inputs!$B$12*(1+Inputs!$B$13/100)))+0.25*(Inputs!$B$14-Inputs!$B$14))*(1+Inputs!$B$7/100))*(F896/100)</f>
        <v/>
      </c>
      <c r="K896">
        <f>J896*(1+((Inputs!$B$12*(1+Inputs!$B$13/100))*0.01+Inputs!$B$14*0.0025)/100)*(1+Inputs!$B$15/100)*(1+Inputs!$B$16/100)*(5000/(6000+Inputs!$B$42*(1-(Inputs!$B$19+0)/100)))*(1+(Inputs!$B$24+((C919=TRUE)*(F919-Calc!F26))+B929)/100)*(1+4.0*IF(C908=TRUE,F908,0)/100)*(1+(IF(Skills!A3="EIGHT_LEGS_EASTON",Inputs!$B$17+((C916=TRUE)*(F916-Calc!F23))+((C920=TRUE)*(F920-Calc!F27)),Inputs!$B$18+0))/100)*((1+(((C910=TRUE)*F910)+((C917=TRUE)*(F917-Calc!F24)))/100)*I896)</f>
        <v/>
      </c>
      <c r="L896">
        <f>K896*(MIN(Inputs!$B$22+((C915=TRUE)*(F915-Calc!F22)),Inputs!$B$23+0)/100+(Inputs!$B$23+0)/100)/2</f>
        <v/>
      </c>
      <c r="M896">
        <f>L896*(1+(Inputs!$B$10+((C918=TRUE)*(F918-Calc!F25))+B928)/100)</f>
        <v/>
      </c>
      <c r="N896">
        <f>L896*(1-MIN((Inputs!$B$9+((C912=TRUE)*(F912-Calc!F19))+B923),100)/100)+M896*(MIN((Inputs!$B$9+((C912=TRUE)*(F912-Calc!F19))+B923),100)/100)</f>
        <v/>
      </c>
      <c r="O896">
        <f>(1-Summary!$B$55)*T896+Summary!$B$55*V896</f>
        <v/>
      </c>
      <c r="P896">
        <f>IF(B933=0,0,O896/B933)</f>
        <v/>
      </c>
      <c r="Q896">
        <f>IFERROR(1/IF(Inputs!$B$38="pvp",15,MAX(0.1,Skills!D3-IF(Skills!E3=TRUE,Inputs!$B$32,0))),0)</f>
        <v/>
      </c>
      <c r="R896">
        <f>IF(AND(Inputs!$B$38&lt;&gt;"pvp",Inputs!$B$43&gt;0),IF(MAX(0,Inputs!$B$43-B930)&lt;=0,0,(INT(MAX(0,Inputs!$B$43-B930)/IF(Inputs!$B$38="pvp",15,MAX(0.1,Skills!D3-IF(Skills!E3=TRUE,Inputs!$B$32,0))))+1)),0)</f>
        <v/>
      </c>
      <c r="S896">
        <f>IFERROR(O896/N896,0)</f>
        <v/>
      </c>
      <c r="T896">
        <f>IF(C896,(H896*N896*IF(AND(Inputs!$B$38&lt;&gt;"pvp",Inputs!$B$43&gt;0),((Skills!G3*((R896-1)*IF(Skills!H3&gt;0,Skills!I3/Skills!H3,1)+IF(Skills!H3&gt;0,MIN(Skills!I3,MAX(0,MAX(0,Inputs!$B$43-B930)-((R896-1)*IF(Inputs!$B$38="pvp",15,MAX(0.1,Skills!D3-IF(Skills!E3=TRUE,Inputs!$B$32,0))))))/Skills!H3,1)))/Inputs!$B$43),G896*Q896))*IF(Inputs!$B$38="pvp",1,1+(Inputs!$B$20+0+Skills!P3)/100),0)</f>
        <v/>
      </c>
      <c r="U896">
        <f>INDEX(FactorTable!$B$2:$Y$301, MATCH(ROUND(MIN(300,MAX(1,U895)),0), FactorTable!$A$2:$A$301,0), 22)</f>
        <v/>
      </c>
      <c r="V896">
        <f>IF(C896,(H896*N896*IF(AND(Inputs!$B$38&lt;&gt;"pvp",Inputs!$B$43&gt;0),((Skills!G3*((R896-1)*IF(Skills!H3&gt;0,Skills!I3/Skills!H3,1)+IF(Skills!H3&gt;0,MIN(Skills!I3,MAX(0,MAX(0,Inputs!$B$43-B930)-((R896-1)*IF(Inputs!$B$38="pvp",15,MAX(0.1,Skills!D3-IF(Skills!E3=TRUE,Inputs!$B$32,0))))))/Skills!H3,1)))/Inputs!$B$43),G896*Q896))*IF(Inputs!$B$38="pvp",1,(1+(Inputs!$B$21+Skills!Q3)/100)*(MIN(Skills!R3,Inputs!$B$37))),0)</f>
        <v/>
      </c>
    </row>
    <row r="897">
      <c r="A897">
        <f>Skills!A4</f>
        <v/>
      </c>
      <c r="B897">
        <f>Skills!B4</f>
        <v/>
      </c>
      <c r="C897">
        <f>Inputs!$B$3&gt;=40</f>
        <v/>
      </c>
      <c r="D897">
        <f>IF(Skills!C4=1,60+Inputs!$B$25+(Inputs!$B$29+1),IF(Skills!C4=2,90+Inputs!$B$26+(Inputs!$B$29+1),IF(Skills!C4=3,120+Inputs!$B$27+(Inputs!$B$29+1),MAX(0,(Inputs!$B$3-100)*3)+Inputs!$B$28+(Inputs!$B$29+1))))</f>
        <v/>
      </c>
      <c r="E897">
        <f>INDEX(FactorTable!$B$2:$Y$301, MATCH(ROUND(MIN(300,MAX(1,D897)),0), FactorTable!$A$2:$A$301,0), Skills!M4+1)</f>
        <v/>
      </c>
      <c r="F897">
        <f>IF(Skills!N4=TRUE,(Skills!L4/10)*(E897/1000),Skills!L4/10)+Skills!O4</f>
        <v/>
      </c>
      <c r="G897">
        <f>Skills!G4*IF(Skills!H4&gt;0,Skills!I4/Skills!H4,1)</f>
        <v/>
      </c>
      <c r="H897">
        <f>1-(1-Skills!J4/100)^Skills!K4</f>
        <v/>
      </c>
      <c r="I897" t="inlineStr">
        <is>
          <t>1</t>
        </is>
      </c>
      <c r="J897">
        <f>((Inputs!$B$6*(1+Inputs!$B$7/100))+(((Inputs!$B$12*(1+Inputs!$B$13/100))-(Inputs!$B$12*(1+Inputs!$B$13/100)))+0.25*(Inputs!$B$14-Inputs!$B$14))*(1+Inputs!$B$7/100))*(F897/100)</f>
        <v/>
      </c>
      <c r="K897">
        <f>J897*(1+((Inputs!$B$12*(1+Inputs!$B$13/100))*0.01+Inputs!$B$14*0.0025)/100)*(1+Inputs!$B$15/100)*(1+Inputs!$B$16/100)*(5000/(6000+Inputs!$B$42*(1-(Inputs!$B$19+0)/100)))*(1+(Inputs!$B$24+((C919=TRUE)*(F919-Calc!F26))+B929)/100)*(1+1.0*IF(C909=TRUE,F909,0)/100)*(1+(IF(Skills!A4="EIGHT_LEGS_EASTON",Inputs!$B$17+((C916=TRUE)*(F916-Calc!F23))+((C920=TRUE)*(F920-Calc!F27)),Inputs!$B$18+0))/100)*((1+(((C910=TRUE)*F910)+((C917=TRUE)*(F917-Calc!F24)))/100)*I897)</f>
        <v/>
      </c>
      <c r="L897">
        <f>K897*(MIN(Inputs!$B$22+((C915=TRUE)*(F915-Calc!F22)),Inputs!$B$23+0)/100+(Inputs!$B$23+0)/100)/2</f>
        <v/>
      </c>
      <c r="M897">
        <f>L897*(1+(Inputs!$B$10+((C918=TRUE)*(F918-Calc!F25))+B928)/100)</f>
        <v/>
      </c>
      <c r="N897">
        <f>L897*(1-MIN((Inputs!$B$9+((C912=TRUE)*(F912-Calc!F19))+B923),100)/100)+M897*(MIN((Inputs!$B$9+((C912=TRUE)*(F912-Calc!F19))+B923),100)/100)</f>
        <v/>
      </c>
      <c r="O897">
        <f>(1-Summary!$B$55)*T897+Summary!$B$55*V897</f>
        <v/>
      </c>
      <c r="P897">
        <f>IF(B933=0,0,O897/B933)</f>
        <v/>
      </c>
      <c r="Q897">
        <f>IFERROR(1/IF(Inputs!$B$38="pvp",15,MAX(0.1,Skills!D4-IF(Skills!E4=TRUE,Inputs!$B$32,0))),0)</f>
        <v/>
      </c>
      <c r="R897">
        <f>IF(AND(Inputs!$B$38&lt;&gt;"pvp",Inputs!$B$43&gt;0),IF(MAX(0,Inputs!$B$43-B930)&lt;=0,0,(INT(MAX(0,Inputs!$B$43-B930)/IF(Inputs!$B$38="pvp",15,MAX(0.1,Skills!D4-IF(Skills!E4=TRUE,Inputs!$B$32,0))))+1)),0)</f>
        <v/>
      </c>
      <c r="S897">
        <f>IFERROR(O897/N897,0)</f>
        <v/>
      </c>
      <c r="T897">
        <f>IF(C897,(H897*N897*IF(AND(Inputs!$B$38&lt;&gt;"pvp",Inputs!$B$43&gt;0),((Skills!G4*((R897-1)*IF(Skills!H4&gt;0,Skills!I4/Skills!H4,1)+IF(Skills!H4&gt;0,MIN(Skills!I4,MAX(0,MAX(0,Inputs!$B$43-B930)-((R897-1)*IF(Inputs!$B$38="pvp",15,MAX(0.1,Skills!D4-IF(Skills!E4=TRUE,Inputs!$B$32,0))))))/Skills!H4,1)))/Inputs!$B$43),G897*Q897))*IF(Inputs!$B$38="pvp",1,1+(Inputs!$B$20+0+Skills!P4)/100),0)</f>
        <v/>
      </c>
      <c r="U897">
        <f>290*U896/1000</f>
        <v/>
      </c>
      <c r="V897">
        <f>IF(C897,(H897*N897*IF(AND(Inputs!$B$38&lt;&gt;"pvp",Inputs!$B$43&gt;0),((Skills!G4*((R897-1)*IF(Skills!H4&gt;0,Skills!I4/Skills!H4,1)+IF(Skills!H4&gt;0,MIN(Skills!I4,MAX(0,MAX(0,Inputs!$B$43-B930)-((R897-1)*IF(Inputs!$B$38="pvp",15,MAX(0.1,Skills!D4-IF(Skills!E4=TRUE,Inputs!$B$32,0))))))/Skills!H4,1)))/Inputs!$B$43),G897*Q897))*IF(Inputs!$B$38="pvp",1,(1+(Inputs!$B$21+Skills!Q4)/100)*(MIN(Skills!R4,Inputs!$B$37))),0)</f>
        <v/>
      </c>
    </row>
    <row r="898">
      <c r="A898">
        <f>Skills!A5</f>
        <v/>
      </c>
      <c r="B898">
        <f>Skills!B5</f>
        <v/>
      </c>
      <c r="C898">
        <f>Inputs!$B$3&gt;=45</f>
        <v/>
      </c>
      <c r="D898">
        <f>IF(Skills!C5=1,60+Inputs!$B$25+(Inputs!$B$29+1),IF(Skills!C5=2,90+Inputs!$B$26+(Inputs!$B$29+1),IF(Skills!C5=3,120+Inputs!$B$27+(Inputs!$B$29+1),MAX(0,(Inputs!$B$3-100)*3)+Inputs!$B$28+(Inputs!$B$29+1))))</f>
        <v/>
      </c>
      <c r="E898">
        <f>INDEX(FactorTable!$B$2:$Y$301, MATCH(ROUND(MIN(300,MAX(1,D898)),0), FactorTable!$A$2:$A$301,0), Skills!M5+1)</f>
        <v/>
      </c>
      <c r="F898">
        <f>IF(Skills!N5=TRUE,(Skills!L5/10)*(E898/1000),Skills!L5/10)+Skills!O5</f>
        <v/>
      </c>
      <c r="G898">
        <f>Skills!G5*IF(Skills!H5&gt;0,Skills!I5/Skills!H5,1)</f>
        <v/>
      </c>
      <c r="H898">
        <f>1-(1-Skills!J5/100)^Skills!K5</f>
        <v/>
      </c>
      <c r="I898" t="inlineStr">
        <is>
          <t>1</t>
        </is>
      </c>
      <c r="J898">
        <f>((Inputs!$B$6*(1+Inputs!$B$7/100))+(((Inputs!$B$12*(1+Inputs!$B$13/100))-(Inputs!$B$12*(1+Inputs!$B$13/100)))+0.25*(Inputs!$B$14-Inputs!$B$14))*(1+Inputs!$B$7/100))*(F898/100)</f>
        <v/>
      </c>
      <c r="K898">
        <f>J898*(1+((Inputs!$B$12*(1+Inputs!$B$13/100))*0.01+Inputs!$B$14*0.0025)/100)*(1+Inputs!$B$15/100)*(1+Inputs!$B$16/100)*(5000/(6000+Inputs!$B$42*(1-(Inputs!$B$19+0)/100)))*(1+(Inputs!$B$24+((C919=TRUE)*(F919-Calc!F26))+B929)/100)*(1+0.4*IF(C909=TRUE,F909,0)/100)*(1+(IF(Skills!A5="EIGHT_LEGS_EASTON",Inputs!$B$17+((C916=TRUE)*(F916-Calc!F23))+((C920=TRUE)*(F920-Calc!F27)),Inputs!$B$18+0))/100)*((1+(((C910=TRUE)*F910)+((C917=TRUE)*(F917-Calc!F24)))/100)*I898)</f>
        <v/>
      </c>
      <c r="L898">
        <f>K898*(MIN(Inputs!$B$22+((C915=TRUE)*(F915-Calc!F22)),Inputs!$B$23+0)/100+(Inputs!$B$23+0)/100)/2</f>
        <v/>
      </c>
      <c r="M898">
        <f>L898*(1+(Inputs!$B$10+((C918=TRUE)*(F918-Calc!F25))+B928)/100)</f>
        <v/>
      </c>
      <c r="N898">
        <f>L898*(1-MIN((Inputs!$B$9+((C912=TRUE)*(F912-Calc!F19))+B923),100)/100)+M898*(MIN((Inputs!$B$9+((C912=TRUE)*(F912-Calc!F19))+B923),100)/100)</f>
        <v/>
      </c>
      <c r="O898">
        <f>(1-Summary!$B$55)*T898+Summary!$B$55*V898</f>
        <v/>
      </c>
      <c r="P898">
        <f>IF(B933=0,0,O898/B933)</f>
        <v/>
      </c>
      <c r="Q898">
        <f>IFERROR(1/IF(Inputs!$B$38="pvp",15,MAX(0.1,Skills!D5-IF(Skills!E5=TRUE,Inputs!$B$32,0))),0)</f>
        <v/>
      </c>
      <c r="R898">
        <f>IF(AND(Inputs!$B$38&lt;&gt;"pvp",Inputs!$B$43&gt;0),IF(MAX(0,Inputs!$B$43-B930)&lt;=0,0,(INT(MAX(0,Inputs!$B$43-B930)/IF(Inputs!$B$38="pvp",15,MAX(0.1,Skills!D5-IF(Skills!E5=TRUE,Inputs!$B$32,0))))+1)),0)</f>
        <v/>
      </c>
      <c r="S898">
        <f>IFERROR(O898/N898,0)</f>
        <v/>
      </c>
      <c r="T898">
        <f>IF(C898,(H898*N898*IF(AND(Inputs!$B$38&lt;&gt;"pvp",Inputs!$B$43&gt;0),((Skills!G5*((R898-1)*IF(Skills!H5&gt;0,Skills!I5/Skills!H5,1)+IF(Skills!H5&gt;0,MIN(Skills!I5,MAX(0,MAX(0,Inputs!$B$43-B930)-((R898-1)*IF(Inputs!$B$38="pvp",15,MAX(0.1,Skills!D5-IF(Skills!E5=TRUE,Inputs!$B$32,0))))))/Skills!H5,1)))/Inputs!$B$43),G898*Q898))*IF(Inputs!$B$38="pvp",1,1+(Inputs!$B$20+0+Skills!P5)/100),0)</f>
        <v/>
      </c>
      <c r="V898">
        <f>IF(C898,(H898*N898*IF(AND(Inputs!$B$38&lt;&gt;"pvp",Inputs!$B$43&gt;0),((Skills!G5*((R898-1)*IF(Skills!H5&gt;0,Skills!I5/Skills!H5,1)+IF(Skills!H5&gt;0,MIN(Skills!I5,MAX(0,MAX(0,Inputs!$B$43-B930)-((R898-1)*IF(Inputs!$B$38="pvp",15,MAX(0.1,Skills!D5-IF(Skills!E5=TRUE,Inputs!$B$32,0))))))/Skills!H5,1)))/Inputs!$B$43),G898*Q898))*IF(Inputs!$B$38="pvp",1,(1+(Inputs!$B$21+Skills!Q5)/100)*(MIN(Skills!R5,Inputs!$B$37))),0)</f>
        <v/>
      </c>
    </row>
    <row r="899">
      <c r="A899">
        <f>Skills!A6</f>
        <v/>
      </c>
      <c r="B899">
        <f>Skills!B6</f>
        <v/>
      </c>
      <c r="C899">
        <f>Inputs!$B$3&gt;=63</f>
        <v/>
      </c>
      <c r="D899">
        <f>IF(Skills!C6=1,60+Inputs!$B$25+(Inputs!$B$29+1),IF(Skills!C6=2,90+Inputs!$B$26+(Inputs!$B$29+1),IF(Skills!C6=3,120+Inputs!$B$27+(Inputs!$B$29+1),MAX(0,(Inputs!$B$3-100)*3)+Inputs!$B$28+(Inputs!$B$29+1))))</f>
        <v/>
      </c>
      <c r="E899">
        <f>INDEX(FactorTable!$B$2:$Y$301, MATCH(ROUND(MIN(300,MAX(1,D899)),0), FactorTable!$A$2:$A$301,0), Skills!M6+1)</f>
        <v/>
      </c>
      <c r="F899">
        <f>IF(Skills!N6=TRUE,(Skills!L6/10)*(E899/1000),Skills!L6/10)+Skills!O6</f>
        <v/>
      </c>
      <c r="G899">
        <f>Skills!G6*IF(Skills!H6&gt;0,Skills!I6/Skills!H6,1)</f>
        <v/>
      </c>
      <c r="H899">
        <f>1-(1-Skills!J6/100)^Skills!K6</f>
        <v/>
      </c>
      <c r="I899" t="inlineStr">
        <is>
          <t>1</t>
        </is>
      </c>
      <c r="J899">
        <f>((Inputs!$B$6*(1+Inputs!$B$7/100))+(((Inputs!$B$12*(1+Inputs!$B$13/100))-(Inputs!$B$12*(1+Inputs!$B$13/100)))+0.25*(Inputs!$B$14-Inputs!$B$14))*(1+Inputs!$B$7/100))*(F899/100)</f>
        <v/>
      </c>
      <c r="K899">
        <f>J899*(1+((Inputs!$B$12*(1+Inputs!$B$13/100))*0.01+Inputs!$B$14*0.0025)/100)*(1+Inputs!$B$15/100)*(1+Inputs!$B$16/100)*(5000/(6000+Inputs!$B$42*(1-(Inputs!$B$19+0)/100)))*(1+(Inputs!$B$24+((C919=TRUE)*(F919-Calc!F26))+B929)/100)*(1+2.0*IF(C908=TRUE,F908,0)/100)*(1+(IF(Skills!A6="EIGHT_LEGS_EASTON",Inputs!$B$17+((C916=TRUE)*(F916-Calc!F23))+((C920=TRUE)*(F920-Calc!F27)),Inputs!$B$18+0))/100)*((1+(((C910=TRUE)*F910)+((C917=TRUE)*(F917-Calc!F24)))/100)*I899)</f>
        <v/>
      </c>
      <c r="L899">
        <f>K899*(MIN(Inputs!$B$22+((C915=TRUE)*(F915-Calc!F22)),Inputs!$B$23+0)/100+(Inputs!$B$23+0)/100)/2</f>
        <v/>
      </c>
      <c r="M899">
        <f>L899*(1+(Inputs!$B$10+((C918=TRUE)*(F918-Calc!F25))+B928)/100)</f>
        <v/>
      </c>
      <c r="N899">
        <f>L899*(1-MIN((Inputs!$B$9+((C912=TRUE)*(F912-Calc!F19))+B923),100)/100)+M899*(MIN((Inputs!$B$9+((C912=TRUE)*(F912-Calc!F19))+B923),100)/100)</f>
        <v/>
      </c>
      <c r="O899">
        <f>(1-Summary!$B$55)*T899+Summary!$B$55*V899</f>
        <v/>
      </c>
      <c r="P899">
        <f>IF(B933=0,0,O899/B933)</f>
        <v/>
      </c>
      <c r="Q899">
        <f>IFERROR(1/IF(Inputs!$B$38="pvp",15,MAX(0.1,Skills!D6-IF(Skills!E6=TRUE,Inputs!$B$32,0))),0)</f>
        <v/>
      </c>
      <c r="R899">
        <f>IF(AND(Inputs!$B$38&lt;&gt;"pvp",Inputs!$B$43&gt;0),IF(MAX(0,Inputs!$B$43-B930)&lt;=0,0,(INT(MAX(0,Inputs!$B$43-B930)/IF(Inputs!$B$38="pvp",15,MAX(0.1,Skills!D6-IF(Skills!E6=TRUE,Inputs!$B$32,0))))+1)),0)</f>
        <v/>
      </c>
      <c r="S899">
        <f>IFERROR(O899/N899,0)</f>
        <v/>
      </c>
      <c r="T899">
        <f>IF(C899,(H899*N899*IF(AND(Inputs!$B$38&lt;&gt;"pvp",Inputs!$B$43&gt;0),((Skills!G6*((R899-1)*IF(Skills!H6&gt;0,Skills!I6/Skills!H6,1)+IF(Skills!H6&gt;0,MIN(Skills!I6,MAX(0,MAX(0,Inputs!$B$43-B930)-((R899-1)*IF(Inputs!$B$38="pvp",15,MAX(0.1,Skills!D6-IF(Skills!E6=TRUE,Inputs!$B$32,0))))))/Skills!H6,1)))/Inputs!$B$43),G899*Q899))*IF(Inputs!$B$38="pvp",1,1+(Inputs!$B$20+0+Skills!P6)/100),0)</f>
        <v/>
      </c>
      <c r="V899">
        <f>IF(C899,(H899*N899*IF(AND(Inputs!$B$38&lt;&gt;"pvp",Inputs!$B$43&gt;0),((Skills!G6*((R899-1)*IF(Skills!H6&gt;0,Skills!I6/Skills!H6,1)+IF(Skills!H6&gt;0,MIN(Skills!I6,MAX(0,MAX(0,Inputs!$B$43-B930)-((R899-1)*IF(Inputs!$B$38="pvp",15,MAX(0.1,Skills!D6-IF(Skills!E6=TRUE,Inputs!$B$32,0))))))/Skills!H6,1)))/Inputs!$B$43),G899*Q899))*IF(Inputs!$B$38="pvp",1,(1+(Inputs!$B$21+Skills!Q6)/100)*(MIN(Skills!R6,Inputs!$B$37))),0)</f>
        <v/>
      </c>
    </row>
    <row r="900">
      <c r="A900">
        <f>Skills!A7</f>
        <v/>
      </c>
      <c r="B900">
        <f>Skills!B7</f>
        <v/>
      </c>
      <c r="C900">
        <f>Inputs!$B$3&gt;=66</f>
        <v/>
      </c>
      <c r="D900">
        <f>IF(Skills!C7=1,60+Inputs!$B$25+(Inputs!$B$29+1),IF(Skills!C7=2,90+Inputs!$B$26+(Inputs!$B$29+1),IF(Skills!C7=3,120+Inputs!$B$27+(Inputs!$B$29+1),MAX(0,(Inputs!$B$3-100)*3)+Inputs!$B$28+(Inputs!$B$29+1))))</f>
        <v/>
      </c>
      <c r="E900">
        <f>INDEX(FactorTable!$B$2:$Y$301, MATCH(ROUND(MIN(300,MAX(1,D900)),0), FactorTable!$A$2:$A$301,0), Skills!M7+1)</f>
        <v/>
      </c>
      <c r="F900">
        <f>IF(Skills!N7=TRUE,(Skills!L7/10)*(E900/1000),Skills!L7/10)+Skills!O7</f>
        <v/>
      </c>
      <c r="G900">
        <f>Skills!G7*IF(Skills!H7&gt;0,Skills!I7/Skills!H7,1)</f>
        <v/>
      </c>
      <c r="H900">
        <f>1-(1-Skills!J7/100)^Skills!K7</f>
        <v/>
      </c>
      <c r="I900" t="inlineStr">
        <is>
          <t>1</t>
        </is>
      </c>
      <c r="J900">
        <f>((Inputs!$B$6*(1+Inputs!$B$7/100))+(((Inputs!$B$12*(1+Inputs!$B$13/100))-(Inputs!$B$12*(1+Inputs!$B$13/100)))+0.25*(Inputs!$B$14-Inputs!$B$14))*(1+Inputs!$B$7/100))*(F900/100)</f>
        <v/>
      </c>
      <c r="K900">
        <f>J900*(1+((Inputs!$B$12*(1+Inputs!$B$13/100))*0.01+Inputs!$B$14*0.0025)/100)*(1+Inputs!$B$15/100)*(1+Inputs!$B$16/100)*(5000/(6000+Inputs!$B$42*(1-(Inputs!$B$19+0)/100)))*(1+(Inputs!$B$24+((C919=TRUE)*(F919-Calc!F26))+B929)/100)*(1+1.0*IF(C908=TRUE,F908,0)/100)*(1+(IF(Skills!A7="EIGHT_LEGS_EASTON",Inputs!$B$17+((C916=TRUE)*(F916-Calc!F23))+((C920=TRUE)*(F920-Calc!F27)),Inputs!$B$18+0))/100)*((1+(((C910=TRUE)*F910)+((C917=TRUE)*(F917-Calc!F24)))/100)*I900)</f>
        <v/>
      </c>
      <c r="L900">
        <f>K900*(MIN(Inputs!$B$22+((C915=TRUE)*(F915-Calc!F22)),Inputs!$B$23+0)/100+(Inputs!$B$23+0)/100)/2</f>
        <v/>
      </c>
      <c r="M900">
        <f>L900*(1+(Inputs!$B$10+((C918=TRUE)*(F918-Calc!F25))+B928)/100)</f>
        <v/>
      </c>
      <c r="N900">
        <f>L900*(1-MIN((Inputs!$B$9+((C912=TRUE)*(F912-Calc!F19))+B923),100)/100)+M900*(MIN((Inputs!$B$9+((C912=TRUE)*(F912-Calc!F19))+B923),100)/100)</f>
        <v/>
      </c>
      <c r="O900">
        <f>(1-Summary!$B$55)*T900+Summary!$B$55*V900</f>
        <v/>
      </c>
      <c r="P900">
        <f>IF(B933=0,0,O900/B933)</f>
        <v/>
      </c>
      <c r="Q900">
        <f>IFERROR(1/IF(Inputs!$B$38="pvp",15,MAX(0.1,Skills!D7-IF(Skills!E7=TRUE,Inputs!$B$32,0))),0)</f>
        <v/>
      </c>
      <c r="R900">
        <f>IF(AND(Inputs!$B$38&lt;&gt;"pvp",Inputs!$B$43&gt;0),IF(MAX(0,Inputs!$B$43-B930)&lt;=0,0,(INT(MAX(0,Inputs!$B$43-B930)/IF(Inputs!$B$38="pvp",15,MAX(0.1,Skills!D7-IF(Skills!E7=TRUE,Inputs!$B$32,0))))+1)),0)</f>
        <v/>
      </c>
      <c r="S900">
        <f>IFERROR(O900/N900,0)</f>
        <v/>
      </c>
      <c r="T900">
        <f>IF(C900,(H900*N900*IF(AND(Inputs!$B$38&lt;&gt;"pvp",Inputs!$B$43&gt;0),((Skills!G7*((R900-1)*IF(Skills!H7&gt;0,Skills!I7/Skills!H7,1)+IF(Skills!H7&gt;0,MIN(Skills!I7,MAX(0,MAX(0,Inputs!$B$43-B930)-((R900-1)*IF(Inputs!$B$38="pvp",15,MAX(0.1,Skills!D7-IF(Skills!E7=TRUE,Inputs!$B$32,0))))))/Skills!H7,1)))/Inputs!$B$43),G900*Q900))*IF(Inputs!$B$38="pvp",1,1+(Inputs!$B$20+0+Skills!P7)/100),0)</f>
        <v/>
      </c>
      <c r="V900">
        <f>IF(C900,(H900*N900*IF(AND(Inputs!$B$38&lt;&gt;"pvp",Inputs!$B$43&gt;0),((Skills!G7*((R900-1)*IF(Skills!H7&gt;0,Skills!I7/Skills!H7,1)+IF(Skills!H7&gt;0,MIN(Skills!I7,MAX(0,MAX(0,Inputs!$B$43-B930)-((R900-1)*IF(Inputs!$B$38="pvp",15,MAX(0.1,Skills!D7-IF(Skills!E7=TRUE,Inputs!$B$32,0))))))/Skills!H7,1)))/Inputs!$B$43),G900*Q900))*IF(Inputs!$B$38="pvp",1,(1+(Inputs!$B$21+Skills!Q7)/100)*(MIN(Skills!R7,Inputs!$B$37))),0)</f>
        <v/>
      </c>
    </row>
    <row r="901">
      <c r="A901">
        <f>Skills!A8</f>
        <v/>
      </c>
      <c r="B901">
        <f>Skills!B8</f>
        <v/>
      </c>
      <c r="C901">
        <f>Inputs!$B$3&gt;=100</f>
        <v/>
      </c>
      <c r="D901">
        <f>IF(Skills!C8=1,60+Inputs!$B$25+(Inputs!$B$29+1),IF(Skills!C8=2,90+Inputs!$B$26+(Inputs!$B$29+1),IF(Skills!C8=3,120+Inputs!$B$27+(Inputs!$B$29+1),MAX(0,(Inputs!$B$3-100)*3)+Inputs!$B$28+(Inputs!$B$29+1))))</f>
        <v/>
      </c>
      <c r="E901">
        <f>INDEX(FactorTable!$B$2:$Y$301, MATCH(ROUND(MIN(300,MAX(1,D901)),0), FactorTable!$A$2:$A$301,0), Skills!M8+1)</f>
        <v/>
      </c>
      <c r="F901">
        <f>IF(Skills!N8=TRUE,(Skills!L8/10)*(E901/1000),Skills!L8/10)+Skills!O8</f>
        <v/>
      </c>
      <c r="G901">
        <f>Skills!G8*IF(Skills!H8&gt;0,Skills!I8/Skills!H8,1)</f>
        <v/>
      </c>
      <c r="H901">
        <f>1-(1-Skills!J8/100)^Skills!K8</f>
        <v/>
      </c>
      <c r="I901" t="inlineStr">
        <is>
          <t>1</t>
        </is>
      </c>
      <c r="J901">
        <f>((Inputs!$B$6*(1+Inputs!$B$7/100))+(((Inputs!$B$12*(1+Inputs!$B$13/100))-(Inputs!$B$12*(1+Inputs!$B$13/100)))+0.25*(Inputs!$B$14-Inputs!$B$14))*(1+Inputs!$B$7/100))*(F901/100)</f>
        <v/>
      </c>
      <c r="K901">
        <f>J901*(1+((Inputs!$B$12*(1+Inputs!$B$13/100))*0.01+Inputs!$B$14*0.0025)/100)*(1+Inputs!$B$15/100)*(1+Inputs!$B$16/100)*(5000/(6000+Inputs!$B$42*(1-(Inputs!$B$19+0)/100)))*(1+(Inputs!$B$24+((C919=TRUE)*(F919-Calc!F26))+B929)/100)*(1+(IF(Skills!A8="EIGHT_LEGS_EASTON",Inputs!$B$17+((C916=TRUE)*(F916-Calc!F23))+((C920=TRUE)*(F920-Calc!F27)),Inputs!$B$18+0))/100)*((1+(((C910=TRUE)*F910)+((C917=TRUE)*(F917-Calc!F24)))/100)*I901)</f>
        <v/>
      </c>
      <c r="L901">
        <f>K901*(MIN(Inputs!$B$22+((C915=TRUE)*(F915-Calc!F22)),Inputs!$B$23+0)/100+(Inputs!$B$23+0)/100)/2</f>
        <v/>
      </c>
      <c r="M901">
        <f>L901*(1+(Inputs!$B$10+((C918=TRUE)*(F918-Calc!F25))+B928)/100)</f>
        <v/>
      </c>
      <c r="N901">
        <f>L901*(1-MIN((Inputs!$B$9+((C912=TRUE)*(F912-Calc!F19))+B923),100)/100)+M901*(MIN((Inputs!$B$9+((C912=TRUE)*(F912-Calc!F19))+B923),100)/100)</f>
        <v/>
      </c>
      <c r="O901">
        <f>(1-Summary!$B$55)*T901+Summary!$B$55*V901</f>
        <v/>
      </c>
      <c r="P901">
        <f>IF(B933=0,0,O901/B933)</f>
        <v/>
      </c>
      <c r="Q901">
        <f>IFERROR(1/IF(Inputs!$B$38="pvp",15,MAX(0.1,Skills!D8-IF(Skills!E8=TRUE,Inputs!$B$32,0))),0)</f>
        <v/>
      </c>
      <c r="R901">
        <f>IF(AND(Inputs!$B$38&lt;&gt;"pvp",Inputs!$B$43&gt;0),IF(MAX(0,Inputs!$B$43-B930)&lt;=0,0,(INT(MAX(0,Inputs!$B$43-B930)/IF(Inputs!$B$38="pvp",15,MAX(0.1,Skills!D8-IF(Skills!E8=TRUE,Inputs!$B$32,0))))+1)),0)</f>
        <v/>
      </c>
      <c r="S901">
        <f>IFERROR(O901/N901,0)</f>
        <v/>
      </c>
      <c r="T901">
        <f>IF(C901,(H901*N901*IF(AND(Inputs!$B$38&lt;&gt;"pvp",Inputs!$B$43&gt;0),((Skills!G8*((R901-1)*IF(Skills!H8&gt;0,Skills!I8/Skills!H8,1)+IF(Skills!H8&gt;0,MIN(Skills!I8,MAX(0,MAX(0,Inputs!$B$43-B930)-((R901-1)*IF(Inputs!$B$38="pvp",15,MAX(0.1,Skills!D8-IF(Skills!E8=TRUE,Inputs!$B$32,0))))))/Skills!H8,1)))/Inputs!$B$43),G901*Q901))*IF(Inputs!$B$38="pvp",1,1+(Inputs!$B$20+0+Skills!P8)/100),0)</f>
        <v/>
      </c>
      <c r="V901">
        <f>IF(C901,(H901*N901*IF(AND(Inputs!$B$38&lt;&gt;"pvp",Inputs!$B$43&gt;0),((Skills!G8*((R901-1)*IF(Skills!H8&gt;0,Skills!I8/Skills!H8,1)+IF(Skills!H8&gt;0,MIN(Skills!I8,MAX(0,MAX(0,Inputs!$B$43-B930)-((R901-1)*IF(Inputs!$B$38="pvp",15,MAX(0.1,Skills!D8-IF(Skills!E8=TRUE,Inputs!$B$32,0))))))/Skills!H8,1)))/Inputs!$B$43),G901*Q901))*IF(Inputs!$B$38="pvp",1,(1+(Inputs!$B$21+Skills!Q8)/100)*(MIN(Skills!R8,Inputs!$B$37))),0)</f>
        <v/>
      </c>
    </row>
    <row r="902">
      <c r="A902">
        <f>Skills!A9</f>
        <v/>
      </c>
      <c r="B902">
        <f>Skills!B9</f>
        <v/>
      </c>
      <c r="C902">
        <f>Inputs!$B$3&gt;=103</f>
        <v/>
      </c>
      <c r="D902">
        <f>IF(Skills!C9=1,60+Inputs!$B$25+(Inputs!$B$29+1),IF(Skills!C9=2,90+Inputs!$B$26+(Inputs!$B$29+1),IF(Skills!C9=3,120+Inputs!$B$27+(Inputs!$B$29+1),MAX(0,(Inputs!$B$3-100)*3)+Inputs!$B$28+(Inputs!$B$29+1))))</f>
        <v/>
      </c>
      <c r="E902">
        <f>INDEX(FactorTable!$B$2:$Y$301, MATCH(ROUND(MIN(300,MAX(1,D902)),0), FactorTable!$A$2:$A$301,0), Skills!M9+1)</f>
        <v/>
      </c>
      <c r="F902">
        <f>IF(Skills!N9=TRUE,(Skills!L9/10)*(E902/1000),Skills!L9/10)+Skills!O9</f>
        <v/>
      </c>
      <c r="G902">
        <f>Skills!G9*IF(Skills!H9&gt;0,Skills!I9/Skills!H9,1)</f>
        <v/>
      </c>
      <c r="H902">
        <f>1-(1-Skills!J9/100)^Skills!K9</f>
        <v/>
      </c>
      <c r="I902" t="inlineStr">
        <is>
          <t>1</t>
        </is>
      </c>
      <c r="J902">
        <f>((Inputs!$B$6*(1+Inputs!$B$7/100))+(((Inputs!$B$12*(1+Inputs!$B$13/100))-(Inputs!$B$12*(1+Inputs!$B$13/100)))+0.25*(Inputs!$B$14-Inputs!$B$14))*(1+Inputs!$B$7/100))*(F902/100)</f>
        <v/>
      </c>
      <c r="K902">
        <f>J902*(1+((Inputs!$B$12*(1+Inputs!$B$13/100))*0.01+Inputs!$B$14*0.0025)/100)*(1+Inputs!$B$15/100)*(1+Inputs!$B$16/100)*(5000/(6000+Inputs!$B$42*(1-(Inputs!$B$19+0)/100)))*(1+(Inputs!$B$24+((C919=TRUE)*(F919-Calc!F26))+B929)/100)*(1+(IF(Skills!A9="EIGHT_LEGS_EASTON",Inputs!$B$17+((C916=TRUE)*(F916-Calc!F23))+((C920=TRUE)*(F920-Calc!F27)),Inputs!$B$18+0))/100)*((1+(((C910=TRUE)*F910)+((C917=TRUE)*(F917-Calc!F24)))/100)*I902)</f>
        <v/>
      </c>
      <c r="L902">
        <f>K902*(MIN(Inputs!$B$22+((C915=TRUE)*(F915-Calc!F22)),Inputs!$B$23+0)/100+(Inputs!$B$23+0)/100)/2</f>
        <v/>
      </c>
      <c r="M902">
        <f>L902*(1+(Inputs!$B$10+((C918=TRUE)*(F918-Calc!F25))+B928)/100)</f>
        <v/>
      </c>
      <c r="N902">
        <f>L902*(1-MIN((Inputs!$B$9+((C912=TRUE)*(F912-Calc!F19))+B923),100)/100)+M902*(MIN((Inputs!$B$9+((C912=TRUE)*(F912-Calc!F19))+B923),100)/100)</f>
        <v/>
      </c>
      <c r="O902">
        <f>(1-Summary!$B$55)*T902+Summary!$B$55*V902</f>
        <v/>
      </c>
      <c r="P902">
        <f>IF(B933=0,0,O902/B933)</f>
        <v/>
      </c>
      <c r="Q902">
        <f>IFERROR(1/IF(Inputs!$B$38="pvp",15,MAX(0.1,Skills!D9-IF(Skills!E9=TRUE,Inputs!$B$32,0))),0)</f>
        <v/>
      </c>
      <c r="R902">
        <f>IF(AND(Inputs!$B$38&lt;&gt;"pvp",Inputs!$B$43&gt;0),IF(MAX(0,Inputs!$B$43-B930)&lt;=0,0,(INT(MAX(0,Inputs!$B$43-B930)/IF(Inputs!$B$38="pvp",15,MAX(0.1,Skills!D9-IF(Skills!E9=TRUE,Inputs!$B$32,0))))+1)),0)</f>
        <v/>
      </c>
      <c r="S902">
        <f>IFERROR(O902/N902,0)</f>
        <v/>
      </c>
      <c r="T902">
        <f>IF(C902,(H902*N902*IF(AND(Inputs!$B$38&lt;&gt;"pvp",Inputs!$B$43&gt;0),((Skills!G9*((R902-1)*IF(Skills!H9&gt;0,Skills!I9/Skills!H9,1)+IF(Skills!H9&gt;0,MIN(Skills!I9,MAX(0,MAX(0,Inputs!$B$43-B930)-((R902-1)*IF(Inputs!$B$38="pvp",15,MAX(0.1,Skills!D9-IF(Skills!E9=TRUE,Inputs!$B$32,0))))))/Skills!H9,1)))/Inputs!$B$43),G902*Q902))*IF(Inputs!$B$38="pvp",1,1+(Inputs!$B$20+0+Skills!P9)/100),0)</f>
        <v/>
      </c>
      <c r="V902">
        <f>IF(C902,(H902*N902*IF(AND(Inputs!$B$38&lt;&gt;"pvp",Inputs!$B$43&gt;0),((Skills!G9*((R902-1)*IF(Skills!H9&gt;0,Skills!I9/Skills!H9,1)+IF(Skills!H9&gt;0,MIN(Skills!I9,MAX(0,MAX(0,Inputs!$B$43-B930)-((R902-1)*IF(Inputs!$B$38="pvp",15,MAX(0.1,Skills!D9-IF(Skills!E9=TRUE,Inputs!$B$32,0))))))/Skills!H9,1)))/Inputs!$B$43),G902*Q902))*IF(Inputs!$B$38="pvp",1,(1+(Inputs!$B$21+Skills!Q9)/100)*(MIN(Skills!R9,Inputs!$B$37))),0)</f>
        <v/>
      </c>
    </row>
    <row r="903">
      <c r="A903">
        <f>Skills!A10</f>
        <v/>
      </c>
      <c r="B903">
        <f>Skills!B10</f>
        <v/>
      </c>
      <c r="C903">
        <f>Inputs!$B$3&gt;=113</f>
        <v/>
      </c>
      <c r="D903">
        <f>IF(Skills!C10=1,60+Inputs!$B$25+(Inputs!$B$29+1),IF(Skills!C10=2,90+Inputs!$B$26+(Inputs!$B$29+1),IF(Skills!C10=3,120+Inputs!$B$27+(Inputs!$B$29+1),MAX(0,(Inputs!$B$3-100)*3)+Inputs!$B$28+(Inputs!$B$29+1))))</f>
        <v/>
      </c>
      <c r="E903">
        <f>INDEX(FactorTable!$B$2:$Y$301, MATCH(ROUND(MIN(300,MAX(1,D903)),0), FactorTable!$A$2:$A$301,0), Skills!M10+1)</f>
        <v/>
      </c>
      <c r="F903">
        <f>IF(Skills!N10=TRUE,(Skills!L10/10)*(E903/1000),Skills!L10/10)+Skills!O10</f>
        <v/>
      </c>
      <c r="G903">
        <f>Skills!G10*IF(Skills!H10&gt;0,Skills!I10/Skills!H10,1)</f>
        <v/>
      </c>
      <c r="H903">
        <f>1-(1-Skills!J10/100)^Skills!K10</f>
        <v/>
      </c>
      <c r="I903" t="inlineStr">
        <is>
          <t>1</t>
        </is>
      </c>
      <c r="J903">
        <f>((Inputs!$B$6*(1+Inputs!$B$7/100))+(((Inputs!$B$12*(1+Inputs!$B$13/100))-(Inputs!$B$12*(1+Inputs!$B$13/100)))+0.25*(Inputs!$B$14-Inputs!$B$14))*(1+Inputs!$B$7/100))*(F903/100)</f>
        <v/>
      </c>
      <c r="K903">
        <f>J903*(1+((Inputs!$B$12*(1+Inputs!$B$13/100))*0.01+Inputs!$B$14*0.0025)/100)*(1+Inputs!$B$15/100)*(1+Inputs!$B$16/100)*(5000/(6000+Inputs!$B$42*(1-(Inputs!$B$19+0)/100)))*(1+(Inputs!$B$24+((C919=TRUE)*(F919-Calc!F26))+B929)/100)*(1+(IF(Skills!A10="EIGHT_LEGS_EASTON",Inputs!$B$17+((C916=TRUE)*(F916-Calc!F23))+((C920=TRUE)*(F920-Calc!F27)),Inputs!$B$18+0))/100)*((1+(((C910=TRUE)*F910)+((C917=TRUE)*(F917-Calc!F24)))/100)*I903)</f>
        <v/>
      </c>
      <c r="L903">
        <f>K903*(MIN(Inputs!$B$22+((C915=TRUE)*(F915-Calc!F22)),Inputs!$B$23+0)/100+(Inputs!$B$23+0)/100)/2</f>
        <v/>
      </c>
      <c r="M903">
        <f>L903*(1+(Inputs!$B$10+((C918=TRUE)*(F918-Calc!F25))+B928)/100)</f>
        <v/>
      </c>
      <c r="N903">
        <f>L903*(1-MIN((Inputs!$B$9+((C912=TRUE)*(F912-Calc!F19))+B923),100)/100)+M903*(MIN((Inputs!$B$9+((C912=TRUE)*(F912-Calc!F19))+B923),100)/100)</f>
        <v/>
      </c>
      <c r="O903">
        <f>(1-Summary!$B$55)*T903+Summary!$B$55*V903</f>
        <v/>
      </c>
      <c r="P903">
        <f>IF(B933=0,0,O903/B933)</f>
        <v/>
      </c>
      <c r="Q903">
        <f>IFERROR(1/IF(Inputs!$B$38="pvp",15,MAX(0.1,Skills!D10-IF(Skills!E10=TRUE,Inputs!$B$32,0))),0)</f>
        <v/>
      </c>
      <c r="R903">
        <f>IF(AND(Inputs!$B$38&lt;&gt;"pvp",Inputs!$B$43&gt;0),IF(MAX(0,Inputs!$B$43-B930)&lt;=0,0,(INT(MAX(0,Inputs!$B$43-B930)/IF(Inputs!$B$38="pvp",15,MAX(0.1,Skills!D10-IF(Skills!E10=TRUE,Inputs!$B$32,0))))+1)),0)</f>
        <v/>
      </c>
      <c r="S903">
        <f>IFERROR(O903/N903,0)</f>
        <v/>
      </c>
      <c r="T903">
        <f>IF(C903,(H903*N903*IF(AND(Inputs!$B$38&lt;&gt;"pvp",Inputs!$B$43&gt;0),((Skills!G10*((R903-1)*IF(Skills!H10&gt;0,Skills!I10/Skills!H10,1)+IF(Skills!H10&gt;0,MIN(Skills!I10,MAX(0,MAX(0,Inputs!$B$43-B930)-((R903-1)*IF(Inputs!$B$38="pvp",15,MAX(0.1,Skills!D10-IF(Skills!E10=TRUE,Inputs!$B$32,0))))))/Skills!H10,1)))/Inputs!$B$43),G903*Q903))*IF(Inputs!$B$38="pvp",1,1+(Inputs!$B$20+0+Skills!P10)/100),0)</f>
        <v/>
      </c>
      <c r="V903">
        <f>IF(C903,(H903*N903*IF(AND(Inputs!$B$38&lt;&gt;"pvp",Inputs!$B$43&gt;0),((Skills!G10*((R903-1)*IF(Skills!H10&gt;0,Skills!I10/Skills!H10,1)+IF(Skills!H10&gt;0,MIN(Skills!I10,MAX(0,MAX(0,Inputs!$B$43-B930)-((R903-1)*IF(Inputs!$B$38="pvp",15,MAX(0.1,Skills!D10-IF(Skills!E10=TRUE,Inputs!$B$32,0))))))/Skills!H10,1)))/Inputs!$B$43),G903*Q903))*IF(Inputs!$B$38="pvp",1,(1+(Inputs!$B$21+Skills!Q10)/100)*(MIN(Skills!R10,Inputs!$B$37))),0)</f>
        <v/>
      </c>
    </row>
    <row r="904">
      <c r="A904">
        <f>Skills!A11</f>
        <v/>
      </c>
      <c r="B904">
        <f>Skills!B11</f>
        <v/>
      </c>
      <c r="C904">
        <f>Inputs!$B$3&gt;=107</f>
        <v/>
      </c>
      <c r="D904">
        <f>IF(Skills!C11=1,60+Inputs!$B$25+(Inputs!$B$29+1),IF(Skills!C11=2,90+Inputs!$B$26+(Inputs!$B$29+1),IF(Skills!C11=3,120+Inputs!$B$27+(Inputs!$B$29+1),MAX(0,(Inputs!$B$3-100)*3)+Inputs!$B$28+(Inputs!$B$29+1))))</f>
        <v/>
      </c>
      <c r="E904">
        <f>INDEX(FactorTable!$B$2:$Y$301, MATCH(ROUND(MIN(300,MAX(1,D904)),0), FactorTable!$A$2:$A$301,0), Skills!M11+1)</f>
        <v/>
      </c>
      <c r="F904">
        <f>IF(Skills!N11=TRUE,(Skills!L11/10)*(E904/1000),Skills!L11/10)+Skills!O11</f>
        <v/>
      </c>
      <c r="G904">
        <f>Skills!G11*IF(Skills!H11&gt;0,Skills!I11/Skills!H11,1)</f>
        <v/>
      </c>
      <c r="H904">
        <f>1-(1-Skills!J11/100)^Skills!K11</f>
        <v/>
      </c>
      <c r="I904" t="inlineStr">
        <is>
          <t>1</t>
        </is>
      </c>
      <c r="J904">
        <f>((Inputs!$B$6*(1+Inputs!$B$7/100))+(((Inputs!$B$12*(1+Inputs!$B$13/100))-(Inputs!$B$12*(1+Inputs!$B$13/100)))+0.25*(Inputs!$B$14-Inputs!$B$14))*(1+Inputs!$B$7/100))*(F904/100)</f>
        <v/>
      </c>
      <c r="K904">
        <f>J904*(1+((Inputs!$B$12*(1+Inputs!$B$13/100))*0.01+Inputs!$B$14*0.0025)/100)*(1+Inputs!$B$15/100)*(1+Inputs!$B$16/100)*(5000/(6000+Inputs!$B$42*(1-(Inputs!$B$19+0)/100)))*(1+(Inputs!$B$24+((C919=TRUE)*(F919-Calc!F26))+B929)/100)*(1+(IF(Skills!A11="EIGHT_LEGS_EASTON",Inputs!$B$17+((C916=TRUE)*(F916-Calc!F23))+((C920=TRUE)*(F920-Calc!F27)),Inputs!$B$18+0))/100)*((1+(((C910=TRUE)*F910)+((C917=TRUE)*(F917-Calc!F24)))/100)*I904)</f>
        <v/>
      </c>
      <c r="L904">
        <f>K904*(MIN(Inputs!$B$22+((C915=TRUE)*(F915-Calc!F22)),Inputs!$B$23+0)/100+(Inputs!$B$23+0)/100)/2</f>
        <v/>
      </c>
      <c r="M904">
        <f>L904*(1+(Inputs!$B$10+((C918=TRUE)*(F918-Calc!F25))+B928)/100)</f>
        <v/>
      </c>
      <c r="N904">
        <f>L904*(1-MIN((Inputs!$B$9+((C912=TRUE)*(F912-Calc!F19))+B923),100)/100)+M904*(MIN((Inputs!$B$9+((C912=TRUE)*(F912-Calc!F19))+B923),100)/100)</f>
        <v/>
      </c>
      <c r="O904">
        <f>(1-Summary!$B$55)*T904+Summary!$B$55*V904</f>
        <v/>
      </c>
      <c r="P904">
        <f>IF(B933=0,0,O904/B933)</f>
        <v/>
      </c>
      <c r="Q904">
        <f>IFERROR(1/IF(Inputs!$B$38="pvp",15,MAX(0.1,Skills!D11-IF(Skills!E11=TRUE,Inputs!$B$32,0))),0)</f>
        <v/>
      </c>
      <c r="R904">
        <f>IF(AND(Inputs!$B$38&lt;&gt;"pvp",Inputs!$B$43&gt;0),IF(MAX(0,Inputs!$B$43-B930)&lt;=0,0,(INT(MAX(0,Inputs!$B$43-B930)/IF(Inputs!$B$38="pvp",15,MAX(0.1,Skills!D11-IF(Skills!E11=TRUE,Inputs!$B$32,0))))+1)),0)</f>
        <v/>
      </c>
      <c r="S904">
        <f>IFERROR(O904/N904,0)</f>
        <v/>
      </c>
      <c r="T904">
        <f>IF(C904,(H904*N904*IF(AND(Inputs!$B$38&lt;&gt;"pvp",Inputs!$B$43&gt;0),((Skills!G11*((R904-1)*IF(Skills!H11&gt;0,Skills!I11/Skills!H11,1)+IF(Skills!H11&gt;0,MIN(Skills!I11,MAX(0,MAX(0,Inputs!$B$43-B930)-((R904-1)*IF(Inputs!$B$38="pvp",15,MAX(0.1,Skills!D11-IF(Skills!E11=TRUE,Inputs!$B$32,0))))))/Skills!H11,1)))/Inputs!$B$43),G904*Q904))*IF(Inputs!$B$38="pvp",1,1+(Inputs!$B$20+0+Skills!P11)/100),0)</f>
        <v/>
      </c>
      <c r="V904">
        <f>IF(C904,(H904*N904*IF(AND(Inputs!$B$38&lt;&gt;"pvp",Inputs!$B$43&gt;0),((Skills!G11*((R904-1)*IF(Skills!H11&gt;0,Skills!I11/Skills!H11,1)+IF(Skills!H11&gt;0,MIN(Skills!I11,MAX(0,MAX(0,Inputs!$B$43-B930)-((R904-1)*IF(Inputs!$B$38="pvp",15,MAX(0.1,Skills!D11-IF(Skills!E11=TRUE,Inputs!$B$32,0))))))/Skills!H11,1)))/Inputs!$B$43),G904*Q904))*IF(Inputs!$B$38="pvp",1,(1+(Inputs!$B$21+Skills!Q11)/100)*(MIN(Skills!R11,Inputs!$B$37))),0)</f>
        <v/>
      </c>
    </row>
    <row r="905">
      <c r="A905">
        <f>Skills!A12</f>
        <v/>
      </c>
      <c r="B905">
        <f>Skills!B12</f>
        <v/>
      </c>
      <c r="C905">
        <f>Inputs!$B$3&gt;=110</f>
        <v/>
      </c>
      <c r="D905">
        <f>IF(Skills!C12=1,60+Inputs!$B$25+(Inputs!$B$29+1),IF(Skills!C12=2,90+Inputs!$B$26+(Inputs!$B$29+1),IF(Skills!C12=3,120+Inputs!$B$27+(Inputs!$B$29+1),MAX(0,(Inputs!$B$3-100)*3)+Inputs!$B$28+(Inputs!$B$29+1))))</f>
        <v/>
      </c>
      <c r="E905">
        <f>INDEX(FactorTable!$B$2:$Y$301, MATCH(ROUND(MIN(300,MAX(1,D905)),0), FactorTable!$A$2:$A$301,0), Skills!M12+1)</f>
        <v/>
      </c>
      <c r="F905">
        <f>IF(Skills!N12=TRUE,(Skills!L12/10)*(E905/1000),Skills!L12/10)+Skills!O12</f>
        <v/>
      </c>
      <c r="G905">
        <f>Skills!G12*IF(Skills!H12&gt;0,Skills!I12/Skills!H12,1)</f>
        <v/>
      </c>
      <c r="H905">
        <f>1-(1-Skills!J12/100)^Skills!K12</f>
        <v/>
      </c>
      <c r="I905" t="inlineStr">
        <is>
          <t>1</t>
        </is>
      </c>
      <c r="J905">
        <f>((Inputs!$B$6*(1+Inputs!$B$7/100))+(((Inputs!$B$12*(1+Inputs!$B$13/100))-(Inputs!$B$12*(1+Inputs!$B$13/100)))+0.25*(Inputs!$B$14-Inputs!$B$14))*(1+Inputs!$B$7/100))*(F905/100)</f>
        <v/>
      </c>
      <c r="K905">
        <f>J905*(1+((Inputs!$B$12*(1+Inputs!$B$13/100))*0.01+Inputs!$B$14*0.0025)/100)*(1+Inputs!$B$15/100)*(1+Inputs!$B$16/100)*(5000/(6000+Inputs!$B$42*(1-(Inputs!$B$19+0)/100)))*(1+(Inputs!$B$24+((C919=TRUE)*(F919-Calc!F26))+B929)/100)*(1+(IF(Skills!A12="EIGHT_LEGS_EASTON",Inputs!$B$17+((C916=TRUE)*(F916-Calc!F23))+((C920=TRUE)*(F920-Calc!F27)),Inputs!$B$18+0))/100)*((1+(((C910=TRUE)*F910)+((C917=TRUE)*(F917-Calc!F24)))/100)*I905)</f>
        <v/>
      </c>
      <c r="L905">
        <f>K905*(MIN(Inputs!$B$22+((C915=TRUE)*(F915-Calc!F22)),Inputs!$B$23+0)/100+(Inputs!$B$23+0)/100)/2</f>
        <v/>
      </c>
      <c r="M905">
        <f>L905*(1+(Inputs!$B$10+((C918=TRUE)*(F918-Calc!F25))+B928)/100)</f>
        <v/>
      </c>
      <c r="N905">
        <f>L905*(1-MIN((Inputs!$B$9+((C912=TRUE)*(F912-Calc!F19))+B923),100)/100)+M905*(MIN((Inputs!$B$9+((C912=TRUE)*(F912-Calc!F19))+B923),100)/100)</f>
        <v/>
      </c>
      <c r="O905">
        <f>(1-Summary!$B$55)*T905+Summary!$B$55*V905</f>
        <v/>
      </c>
      <c r="P905">
        <f>IF(B933=0,0,O905/B933)</f>
        <v/>
      </c>
      <c r="Q905">
        <f>IFERROR(1/IF(Inputs!$B$38="pvp",15,MAX(0.1,Skills!D12-IF(Skills!E12=TRUE,Inputs!$B$32,0))),0)</f>
        <v/>
      </c>
      <c r="R905">
        <f>IF(AND(Inputs!$B$38&lt;&gt;"pvp",Inputs!$B$43&gt;0),IF(MAX(0,Inputs!$B$43-B930)&lt;=0,0,(INT(MAX(0,Inputs!$B$43-B930)/IF(Inputs!$B$38="pvp",15,MAX(0.1,Skills!D12-IF(Skills!E12=TRUE,Inputs!$B$32,0))))+1)),0)</f>
        <v/>
      </c>
      <c r="S905">
        <f>IFERROR(O905/N905,0)</f>
        <v/>
      </c>
      <c r="T905">
        <f>IF(C905,(H905*N905*IF(AND(Inputs!$B$38&lt;&gt;"pvp",Inputs!$B$43&gt;0),((Skills!G12*((R905-1)*IF(Skills!H12&gt;0,Skills!I12/Skills!H12,1)+IF(Skills!H12&gt;0,MIN(Skills!I12,MAX(0,MAX(0,Inputs!$B$43-B930)-((R905-1)*IF(Inputs!$B$38="pvp",15,MAX(0.1,Skills!D12-IF(Skills!E12=TRUE,Inputs!$B$32,0))))))/Skills!H12,1)))/Inputs!$B$43),G905*Q905))*IF(Inputs!$B$38="pvp",1,1+(Inputs!$B$20+0+Skills!P12)/100),0)</f>
        <v/>
      </c>
      <c r="V905">
        <f>IF(C905,(H905*N905*IF(AND(Inputs!$B$38&lt;&gt;"pvp",Inputs!$B$43&gt;0),((Skills!G12*((R905-1)*IF(Skills!H12&gt;0,Skills!I12/Skills!H12,1)+IF(Skills!H12&gt;0,MIN(Skills!I12,MAX(0,MAX(0,Inputs!$B$43-B930)-((R905-1)*IF(Inputs!$B$38="pvp",15,MAX(0.1,Skills!D12-IF(Skills!E12=TRUE,Inputs!$B$32,0))))))/Skills!H12,1)))/Inputs!$B$43),G905*Q905))*IF(Inputs!$B$38="pvp",1,(1+(Inputs!$B$21+Skills!Q12)/100)*(MIN(Skills!R12,Inputs!$B$37))),0)</f>
        <v/>
      </c>
    </row>
    <row r="906">
      <c r="A906">
        <f>Skills!A13</f>
        <v/>
      </c>
      <c r="B906">
        <f>Skills!B13</f>
        <v/>
      </c>
      <c r="C906">
        <f>Inputs!$B$3&gt;=110</f>
        <v/>
      </c>
      <c r="D906">
        <f>IF(Skills!C13=1,60+Inputs!$B$25+(Inputs!$B$29+1),IF(Skills!C13=2,90+Inputs!$B$26+(Inputs!$B$29+1),IF(Skills!C13=3,120+Inputs!$B$27+(Inputs!$B$29+1),MAX(0,(Inputs!$B$3-100)*3)+Inputs!$B$28+(Inputs!$B$29+1))))</f>
        <v/>
      </c>
      <c r="E906">
        <f>INDEX(FactorTable!$B$2:$Y$301, MATCH(ROUND(MIN(300,MAX(1,D906)),0), FactorTable!$A$2:$A$301,0), Skills!M13+1)</f>
        <v/>
      </c>
      <c r="F906">
        <f>IF(Skills!N13=TRUE,(Skills!L13/10)*(E906/1000),Skills!L13/10)+Skills!O13</f>
        <v/>
      </c>
      <c r="G906">
        <f>Skills!G13*IF(Skills!H13&gt;0,Skills!I13/Skills!H13,1)</f>
        <v/>
      </c>
      <c r="H906">
        <f>1-(1-Skills!J13/100)^Skills!K13</f>
        <v/>
      </c>
      <c r="I906" t="inlineStr">
        <is>
          <t>1</t>
        </is>
      </c>
      <c r="J906">
        <f>((Inputs!$B$6*(1+Inputs!$B$7/100))+(((Inputs!$B$12*(1+Inputs!$B$13/100))-(Inputs!$B$12*(1+Inputs!$B$13/100)))+0.25*(Inputs!$B$14-Inputs!$B$14))*(1+Inputs!$B$7/100))*(F906/100)</f>
        <v/>
      </c>
      <c r="K906">
        <f>J906*(1+((Inputs!$B$12*(1+Inputs!$B$13/100))*0.01+Inputs!$B$14*0.0025)/100)*(1+Inputs!$B$15/100)*(1+Inputs!$B$16/100)*(5000/(6000+Inputs!$B$42*(1-(Inputs!$B$19+0)/100)))*(1+(Inputs!$B$24+((C919=TRUE)*(F919-Calc!F26))+B929)/100)*(1+(IF(Skills!A13="EIGHT_LEGS_EASTON",Inputs!$B$17+((C916=TRUE)*(F916-Calc!F23))+((C920=TRUE)*(F920-Calc!F27)),Inputs!$B$18+0))/100)*((1+(((C910=TRUE)*F910)+((C917=TRUE)*(F917-Calc!F24)))/100)*I906)</f>
        <v/>
      </c>
      <c r="L906">
        <f>K906*(MIN(Inputs!$B$22+((C915=TRUE)*(F915-Calc!F22)),Inputs!$B$23+0)/100+(Inputs!$B$23+0)/100)/2</f>
        <v/>
      </c>
      <c r="M906">
        <f>L906*(1+(Inputs!$B$10+((C918=TRUE)*(F918-Calc!F25))+B928)/100)</f>
        <v/>
      </c>
      <c r="N906">
        <f>L906*(1-MIN((Inputs!$B$9+((C912=TRUE)*(F912-Calc!F19))+B923),100)/100)+M906*(MIN((Inputs!$B$9+((C912=TRUE)*(F912-Calc!F19))+B923),100)/100)</f>
        <v/>
      </c>
      <c r="O906">
        <f>(1-Summary!$B$55)*T906+Summary!$B$55*V906</f>
        <v/>
      </c>
      <c r="P906">
        <f>IF(B933=0,0,O906/B933)</f>
        <v/>
      </c>
      <c r="Q906">
        <f>IFERROR(1/IF(Inputs!$B$38="pvp",15,MAX(0.1,Skills!D13-IF(Skills!E13=TRUE,Inputs!$B$32,0))),0)</f>
        <v/>
      </c>
      <c r="R906">
        <f>IF(AND(Inputs!$B$38&lt;&gt;"pvp",Inputs!$B$43&gt;0),IF(MAX(0,Inputs!$B$43-B930)&lt;=0,0,(INT(MAX(0,Inputs!$B$43-B930)/IF(Inputs!$B$38="pvp",15,MAX(0.1,Skills!D13-IF(Skills!E13=TRUE,Inputs!$B$32,0))))+1)),0)</f>
        <v/>
      </c>
      <c r="S906">
        <f>IFERROR(O906/N906,0)</f>
        <v/>
      </c>
      <c r="T906">
        <f>IF(C906,(H906*N906*IF(AND(Inputs!$B$38&lt;&gt;"pvp",Inputs!$B$43&gt;0),((Skills!G13*((R906-1)*IF(Skills!H13&gt;0,Skills!I13/Skills!H13,1)+IF(Skills!H13&gt;0,MIN(Skills!I13,MAX(0,MAX(0,Inputs!$B$43-B930)-((R906-1)*IF(Inputs!$B$38="pvp",15,MAX(0.1,Skills!D13-IF(Skills!E13=TRUE,Inputs!$B$32,0))))))/Skills!H13,1)))/Inputs!$B$43),G906*Q906))*IF(Inputs!$B$38="pvp",1,1+(Inputs!$B$20+0+Skills!P13)/100),0)</f>
        <v/>
      </c>
      <c r="V906">
        <f>IF(C906,(H906*N906*IF(AND(Inputs!$B$38&lt;&gt;"pvp",Inputs!$B$43&gt;0),((Skills!G13*((R906-1)*IF(Skills!H13&gt;0,Skills!I13/Skills!H13,1)+IF(Skills!H13&gt;0,MIN(Skills!I13,MAX(0,MAX(0,Inputs!$B$43-B930)-((R906-1)*IF(Inputs!$B$38="pvp",15,MAX(0.1,Skills!D13-IF(Skills!E13=TRUE,Inputs!$B$32,0))))))/Skills!H13,1)))/Inputs!$B$43),G906*Q906))*IF(Inputs!$B$38="pvp",1,(1+(Inputs!$B$21+Skills!Q13)/100)*(MIN(Skills!R13,Inputs!$B$37))),0)</f>
        <v/>
      </c>
    </row>
    <row r="907">
      <c r="A907">
        <f>Skills!A14</f>
        <v/>
      </c>
      <c r="B907">
        <f>Skills!B14</f>
        <v/>
      </c>
      <c r="C907">
        <f>Inputs!$B$3&gt;=125</f>
        <v/>
      </c>
      <c r="D907">
        <f>IF(Skills!C14=1,60+Inputs!$B$25+(Inputs!$B$29+1),IF(Skills!C14=2,90+Inputs!$B$26+(Inputs!$B$29+1),IF(Skills!C14=3,120+Inputs!$B$27+(Inputs!$B$29+1),MAX(0,(Inputs!$B$3-100)*3)+Inputs!$B$28+(Inputs!$B$29+1))))</f>
        <v/>
      </c>
      <c r="E907">
        <f>INDEX(FactorTable!$B$2:$Y$301, MATCH(ROUND(MIN(300,MAX(1,D907)),0), FactorTable!$A$2:$A$301,0), Skills!M14+1)</f>
        <v/>
      </c>
      <c r="F907">
        <f>IF(Skills!N14=TRUE,(Skills!L14/10)*(E907/1000),Skills!L14/10)+Skills!O14</f>
        <v/>
      </c>
      <c r="G907">
        <f>Skills!G14*IF(Skills!H14&gt;0,Skills!I14/Skills!H14,1)</f>
        <v/>
      </c>
      <c r="H907">
        <f>1-(1-Skills!J14/100)^Skills!K14</f>
        <v/>
      </c>
      <c r="I907" t="inlineStr">
        <is>
          <t>1</t>
        </is>
      </c>
      <c r="J907">
        <f>((Inputs!$B$6*(1+Inputs!$B$7/100))+(((Inputs!$B$12*(1+Inputs!$B$13/100))-(Inputs!$B$12*(1+Inputs!$B$13/100)))+0.25*(Inputs!$B$14-Inputs!$B$14))*(1+Inputs!$B$7/100))*(F907/100)</f>
        <v/>
      </c>
      <c r="K907">
        <f>J907*(1+((Inputs!$B$12*(1+Inputs!$B$13/100))*0.01+Inputs!$B$14*0.0025)/100)*(1+Inputs!$B$15/100)*(1+Inputs!$B$16/100)*(5000/(6000+Inputs!$B$42*(1-(Inputs!$B$19+0)/100)))*(1+(Inputs!$B$24+((C919=TRUE)*(F919-Calc!F26))+B929)/100)*(1+(IF(Skills!A14="EIGHT_LEGS_EASTON",Inputs!$B$17+((C916=TRUE)*(F916-Calc!F23))+((C920=TRUE)*(F920-Calc!F27)),Inputs!$B$18+0))/100)*((1+(((C910=TRUE)*F910)+((C917=TRUE)*(F917-Calc!F24)))/100)*I907)</f>
        <v/>
      </c>
      <c r="L907">
        <f>K907*(MIN(Inputs!$B$22+((C915=TRUE)*(F915-Calc!F22)),Inputs!$B$23+0)/100+(Inputs!$B$23+0)/100)/2</f>
        <v/>
      </c>
      <c r="M907">
        <f>L907*(1+(Inputs!$B$10+((C918=TRUE)*(F918-Calc!F25))+B928)/100)</f>
        <v/>
      </c>
      <c r="N907">
        <f>L907*(1-MIN((Inputs!$B$9+((C912=TRUE)*(F912-Calc!F19))+B923),100)/100)+M907*(MIN((Inputs!$B$9+((C912=TRUE)*(F912-Calc!F19))+B923),100)/100)</f>
        <v/>
      </c>
      <c r="O907">
        <f>(1-Summary!$B$55)*T907+Summary!$B$55*V907</f>
        <v/>
      </c>
      <c r="P907">
        <f>IF(B933=0,0,O907/B933)</f>
        <v/>
      </c>
      <c r="Q907" t="n">
        <v>0</v>
      </c>
      <c r="R907" t="n">
        <v>0</v>
      </c>
      <c r="S907">
        <f>IFERROR(O907/N907,0)</f>
        <v/>
      </c>
      <c r="T907">
        <f>IF(C907,(H907*N907*(B927+IF(AND(Inputs!$B$38&lt;&gt;"pvp",Inputs!$B$43&gt;0),((Skills!G8*((R901-1)*IF(Skills!H8&gt;0,Skills!I8/Skills!H8,1)+IF(Skills!H8&gt;0,MIN(Skills!I8,MAX(0,MAX(0,Inputs!$B$43-B930)-((R901-1)*IF(Inputs!$B$38="pvp",15,MAX(0.1,Skills!D8-IF(Skills!E8=TRUE,Inputs!$B$32,0))))))/Skills!H8,1)))/Inputs!$B$43),G901*Q901)+IF(AND(Inputs!$B$38&lt;&gt;"pvp",Inputs!$B$43&gt;0),((Skills!G11*((R904-1)*IF(Skills!H11&gt;0,Skills!I11/Skills!H11,1)+IF(Skills!H11&gt;0,MIN(Skills!I11,MAX(0,MAX(0,Inputs!$B$43-B930)-((R904-1)*IF(Inputs!$B$38="pvp",15,MAX(0.1,Skills!D11-IF(Skills!E11=TRUE,Inputs!$B$32,0))))))/Skills!H11,1)))/Inputs!$B$43),G904*Q904)))*IF(Inputs!$B$38="pvp",1,1+(Inputs!$B$20+0+Skills!P14)/100),0)</f>
        <v/>
      </c>
      <c r="V907">
        <f>IF(C907,(H907*N907*(B927+IF(AND(Inputs!$B$38&lt;&gt;"pvp",Inputs!$B$43&gt;0),((Skills!G8*((R901-1)*IF(Skills!H8&gt;0,Skills!I8/Skills!H8,1)+IF(Skills!H8&gt;0,MIN(Skills!I8,MAX(0,MAX(0,Inputs!$B$43-B930)-((R901-1)*IF(Inputs!$B$38="pvp",15,MAX(0.1,Skills!D8-IF(Skills!E8=TRUE,Inputs!$B$32,0))))))/Skills!H8,1)))/Inputs!$B$43),G901*Q901)+IF(AND(Inputs!$B$38&lt;&gt;"pvp",Inputs!$B$43&gt;0),((Skills!G11*((R904-1)*IF(Skills!H11&gt;0,Skills!I11/Skills!H11,1)+IF(Skills!H11&gt;0,MIN(Skills!I11,MAX(0,MAX(0,Inputs!$B$43-B930)-((R904-1)*IF(Inputs!$B$38="pvp",15,MAX(0.1,Skills!D11-IF(Skills!E11=TRUE,Inputs!$B$32,0))))))/Skills!H11,1)))/Inputs!$B$43),G904*Q904)))*IF(Inputs!$B$38="pvp",1,(1+(Inputs!$B$21+Skills!Q14)/100)*(MIN(Skills!R14,Inputs!$B$37))),0)</f>
        <v/>
      </c>
    </row>
    <row r="908">
      <c r="A908">
        <f>Skills!A15</f>
        <v/>
      </c>
      <c r="B908">
        <f>Skills!B15</f>
        <v/>
      </c>
      <c r="C908">
        <f>Inputs!$B$3&gt;=100</f>
        <v/>
      </c>
      <c r="D908">
        <f>IF(Skills!C15=1,60+Inputs!$B$25+(Inputs!$B$29+1),IF(Skills!C15=2,90+Inputs!$B$26+(Inputs!$B$29+1),IF(Skills!C15=3,120+Inputs!$B$27+(Inputs!$B$29+1),MAX(0,(Inputs!$B$3-100)*3)+Inputs!$B$28+(Inputs!$B$29+1))))</f>
        <v/>
      </c>
      <c r="E908">
        <f>INDEX(FactorTable!$B$2:$Y$301, MATCH(ROUND(MIN(300,MAX(1,D908)),0), FactorTable!$A$2:$A$301,0), Skills!M15+1)</f>
        <v/>
      </c>
      <c r="F908">
        <f>IF(Skills!N15=TRUE,(Skills!L15/10)*(E908/1000),Skills!L15/10)+Skills!O15</f>
        <v/>
      </c>
      <c r="G908" t="inlineStr"/>
      <c r="H908" t="inlineStr"/>
      <c r="I908" t="inlineStr">
        <is>
          <t>1</t>
        </is>
      </c>
      <c r="J908" t="inlineStr"/>
      <c r="K908" t="inlineStr"/>
      <c r="L908" t="inlineStr"/>
      <c r="M908" t="inlineStr"/>
      <c r="N908" t="inlineStr"/>
      <c r="O908" t="inlineStr"/>
      <c r="P908" t="inlineStr"/>
      <c r="Q908" t="inlineStr"/>
      <c r="R908" t="inlineStr"/>
      <c r="S908" t="inlineStr"/>
    </row>
    <row r="909">
      <c r="A909">
        <f>Skills!A16</f>
        <v/>
      </c>
      <c r="B909">
        <f>Skills!B16</f>
        <v/>
      </c>
      <c r="C909">
        <f>Inputs!$B$3&gt;=120</f>
        <v/>
      </c>
      <c r="D909">
        <f>IF(Skills!C16=1,60+Inputs!$B$25+(Inputs!$B$29+1),IF(Skills!C16=2,90+Inputs!$B$26+(Inputs!$B$29+1),IF(Skills!C16=3,120+Inputs!$B$27+(Inputs!$B$29+1),MAX(0,(Inputs!$B$3-100)*3)+Inputs!$B$28+(Inputs!$B$29+1))))</f>
        <v/>
      </c>
      <c r="E909">
        <f>INDEX(FactorTable!$B$2:$Y$301, MATCH(ROUND(MIN(300,MAX(1,D909)),0), FactorTable!$A$2:$A$301,0), Skills!M16+1)</f>
        <v/>
      </c>
      <c r="F909">
        <f>IF(Skills!N16=TRUE,(Skills!L16/10)*(E909/1000),Skills!L16/10)+Skills!O16</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Skills!A17</f>
        <v/>
      </c>
      <c r="B910">
        <f>Skills!B17</f>
        <v/>
      </c>
      <c r="C910">
        <f>Inputs!$B$3&gt;=66</f>
        <v/>
      </c>
      <c r="D910">
        <f>IF(Skills!C17=1,60+Inputs!$B$25+(Inputs!$B$29+1),IF(Skills!C17=2,90+Inputs!$B$26+(Inputs!$B$29+1),IF(Skills!C17=3,120+Inputs!$B$27+(Inputs!$B$29+1),MAX(0,(Inputs!$B$3-100)*3)+Inputs!$B$28+(Inputs!$B$29+1))))</f>
        <v/>
      </c>
      <c r="E910">
        <f>INDEX(FactorTable!$B$2:$Y$301, MATCH(ROUND(MIN(300,MAX(1,D910)),0), FactorTable!$A$2:$A$301,0), Skills!M17+1)</f>
        <v/>
      </c>
      <c r="F910">
        <f>IF(Skills!N17=TRUE,(Skills!L17/10)*(E910/1000),Skills!L17/10)+Skills!O17</f>
        <v/>
      </c>
      <c r="G910">
        <f>Skills!G17*IF(Skills!H17&gt;0,Skills!I17/Skills!H17,1)</f>
        <v/>
      </c>
      <c r="H910">
        <f>1-(1-Skills!J17/100)^Skills!K17</f>
        <v/>
      </c>
      <c r="I910" t="inlineStr">
        <is>
          <t>1</t>
        </is>
      </c>
      <c r="J910" t="inlineStr"/>
      <c r="K910" t="inlineStr"/>
      <c r="L910" t="inlineStr"/>
      <c r="M910" t="inlineStr"/>
      <c r="N910" t="inlineStr"/>
      <c r="O910">
        <f>(1-Summary!$B$55)*T910+Summary!$B$55*V910</f>
        <v/>
      </c>
      <c r="P910">
        <f>IF(B933=0,0,O910/B933)</f>
        <v/>
      </c>
      <c r="Q910" t="n">
        <v>0</v>
      </c>
      <c r="R910" t="n">
        <v>0</v>
      </c>
      <c r="S910">
        <f>IFERROR(O910/N910,0)</f>
        <v/>
      </c>
      <c r="T910" t="n">
        <v>0</v>
      </c>
      <c r="V910" t="n">
        <v>0</v>
      </c>
    </row>
    <row r="911">
      <c r="A911">
        <f>Skills!A18</f>
        <v/>
      </c>
      <c r="B911">
        <f>Skills!B18</f>
        <v/>
      </c>
      <c r="C911">
        <f>Inputs!$B$3&gt;=115</f>
        <v/>
      </c>
      <c r="D911">
        <f>IF(Skills!C18=1,60+Inputs!$B$25+(Inputs!$B$29+1),IF(Skills!C18=2,90+Inputs!$B$26+(Inputs!$B$29+1),IF(Skills!C18=3,120+Inputs!$B$27+(Inputs!$B$29+1),MAX(0,(Inputs!$B$3-100)*3)+Inputs!$B$28+(Inputs!$B$29+1))))</f>
        <v/>
      </c>
      <c r="E911">
        <f>INDEX(FactorTable!$B$2:$Y$301, MATCH(ROUND(MIN(300,MAX(1,D911)),0), FactorTable!$A$2:$A$301,0), Skills!M18+1)</f>
        <v/>
      </c>
      <c r="F911">
        <f>IF(Skills!N18=TRUE,(Skills!L18/10)*(E911/1000),Skills!L18/10)+Skills!O18</f>
        <v/>
      </c>
      <c r="G911">
        <f>Skills!G18*IF(Skills!H18&gt;0,Skills!I18/Skills!H18,1)</f>
        <v/>
      </c>
      <c r="H911">
        <f>1-(1-Skills!J18/100)^Skills!K18</f>
        <v/>
      </c>
      <c r="I911" t="inlineStr">
        <is>
          <t>1</t>
        </is>
      </c>
      <c r="J911" t="inlineStr"/>
      <c r="K911" t="inlineStr"/>
      <c r="L911" t="inlineStr"/>
      <c r="M911" t="inlineStr"/>
      <c r="N911" t="inlineStr"/>
      <c r="O911">
        <f>(1-Summary!$B$55)*T911+Summary!$B$55*V911</f>
        <v/>
      </c>
      <c r="P911">
        <f>IF(B933=0,0,O911/B933)</f>
        <v/>
      </c>
      <c r="Q911" t="n">
        <v>0</v>
      </c>
      <c r="R911" t="n">
        <v>0</v>
      </c>
      <c r="S911">
        <f>IFERROR(O911/N911,0)</f>
        <v/>
      </c>
      <c r="T911" t="n">
        <v>0</v>
      </c>
      <c r="V911" t="n">
        <v>0</v>
      </c>
    </row>
    <row r="912">
      <c r="A912">
        <f>Skills!A19</f>
        <v/>
      </c>
      <c r="B912">
        <f>Skills!B19</f>
        <v/>
      </c>
      <c r="C912">
        <f>Inputs!$B$3&gt;=15</f>
        <v/>
      </c>
      <c r="D912">
        <f>IF(Skills!C19=1,60+Inputs!$B$25+(Inputs!$B$29+1),IF(Skills!C19=2,90+Inputs!$B$26+(Inputs!$B$29+1),IF(Skills!C19=3,120+Inputs!$B$27+(Inputs!$B$29+1),MAX(0,(Inputs!$B$3-100)*3)+Inputs!$B$28+(Inputs!$B$29+1))))</f>
        <v/>
      </c>
      <c r="E912">
        <f>INDEX(FactorTable!$B$2:$Y$301, MATCH(ROUND(MIN(300,MAX(1,D912)),0), FactorTable!$A$2:$A$301,0), Skills!M19+1)</f>
        <v/>
      </c>
      <c r="F912">
        <f>IF(Skills!N19=TRUE,(Skills!L19/10)*(E912/1000),Skills!L19/10)+Skills!O19</f>
        <v/>
      </c>
      <c r="G912">
        <f>Skills!G19*IF(Skills!H19&gt;0,Skills!I19/Skills!H19,1)</f>
        <v/>
      </c>
      <c r="H912">
        <f>1-(1-Skills!J19/100)^Skills!K19</f>
        <v/>
      </c>
      <c r="I912" t="inlineStr">
        <is>
          <t>1</t>
        </is>
      </c>
      <c r="J912" t="inlineStr"/>
      <c r="K912" t="inlineStr"/>
      <c r="L912" t="inlineStr"/>
      <c r="M912" t="inlineStr"/>
      <c r="N912" t="inlineStr"/>
      <c r="O912">
        <f>(1-Summary!$B$55)*T912+Summary!$B$55*V912</f>
        <v/>
      </c>
      <c r="P912">
        <f>IF(B933=0,0,O912/B933)</f>
        <v/>
      </c>
      <c r="Q912" t="n">
        <v>0</v>
      </c>
      <c r="R912" t="n">
        <v>0</v>
      </c>
      <c r="S912">
        <f>IFERROR(O912/N912,0)</f>
        <v/>
      </c>
      <c r="T912" t="n">
        <v>0</v>
      </c>
      <c r="V912" t="n">
        <v>0</v>
      </c>
    </row>
    <row r="913">
      <c r="A913">
        <f>Skills!A20</f>
        <v/>
      </c>
      <c r="B913">
        <f>Skills!B20</f>
        <v/>
      </c>
      <c r="C913">
        <f>Inputs!$B$3&gt;=10</f>
        <v/>
      </c>
      <c r="D913">
        <f>IF(Skills!C20=1,60+Inputs!$B$25+(Inputs!$B$29+1),IF(Skills!C20=2,90+Inputs!$B$26+(Inputs!$B$29+1),IF(Skills!C20=3,120+Inputs!$B$27+(Inputs!$B$29+1),MAX(0,(Inputs!$B$3-100)*3)+Inputs!$B$28+(Inputs!$B$29+1))))</f>
        <v/>
      </c>
      <c r="E913">
        <f>INDEX(FactorTable!$B$2:$Y$301, MATCH(ROUND(MIN(300,MAX(1,D913)),0), FactorTable!$A$2:$A$301,0), Skills!M20+1)</f>
        <v/>
      </c>
      <c r="F913">
        <f>IF(Skills!N20=TRUE,(Skills!L20/10)*(E913/1000),Skills!L20/10)+Skills!O20</f>
        <v/>
      </c>
      <c r="G913">
        <f>Skills!G20*IF(Skills!H20&gt;0,Skills!I20/Skills!H20,1)</f>
        <v/>
      </c>
      <c r="H913">
        <f>1-(1-Skills!J20/100)^Skills!K20</f>
        <v/>
      </c>
      <c r="I913" t="inlineStr">
        <is>
          <t>1</t>
        </is>
      </c>
      <c r="J913" t="inlineStr"/>
      <c r="K913" t="inlineStr"/>
      <c r="L913" t="inlineStr"/>
      <c r="M913" t="inlineStr"/>
      <c r="N913" t="inlineStr"/>
      <c r="O913">
        <f>(1-Summary!$B$55)*T913+Summary!$B$55*V913</f>
        <v/>
      </c>
      <c r="P913">
        <f>IF(B933=0,0,O913/B933)</f>
        <v/>
      </c>
      <c r="Q913" t="n">
        <v>0</v>
      </c>
      <c r="R913" t="n">
        <v>0</v>
      </c>
      <c r="S913">
        <f>IFERROR(O913/N913,0)</f>
        <v/>
      </c>
      <c r="T913" t="n">
        <v>0</v>
      </c>
      <c r="V913" t="n">
        <v>0</v>
      </c>
    </row>
    <row r="914">
      <c r="A914">
        <f>Skills!A21</f>
        <v/>
      </c>
      <c r="B914">
        <f>Skills!B21</f>
        <v/>
      </c>
      <c r="C914">
        <f>Inputs!$B$3&gt;=33</f>
        <v/>
      </c>
      <c r="D914">
        <f>IF(Skills!C21=1,60+Inputs!$B$25+(Inputs!$B$29+1),IF(Skills!C21=2,90+Inputs!$B$26+(Inputs!$B$29+1),IF(Skills!C21=3,120+Inputs!$B$27+(Inputs!$B$29+1),MAX(0,(Inputs!$B$3-100)*3)+Inputs!$B$28+(Inputs!$B$29+1))))</f>
        <v/>
      </c>
      <c r="E914">
        <f>INDEX(FactorTable!$B$2:$Y$301, MATCH(ROUND(MIN(300,MAX(1,D914)),0), FactorTable!$A$2:$A$301,0), Skills!M21+1)</f>
        <v/>
      </c>
      <c r="F914">
        <f>IF(Skills!N21=TRUE,(Skills!L21/10)*(E914/1000),Skills!L21/10)+Skills!O21</f>
        <v/>
      </c>
      <c r="G914">
        <f>Skills!G21*IF(Skills!H21&gt;0,Skills!I21/Skills!H21,1)</f>
        <v/>
      </c>
      <c r="H914">
        <f>1-(1-Skills!J21/100)^Skills!K21</f>
        <v/>
      </c>
      <c r="I914" t="inlineStr">
        <is>
          <t>1</t>
        </is>
      </c>
      <c r="J914" t="inlineStr"/>
      <c r="K914" t="inlineStr"/>
      <c r="L914" t="inlineStr"/>
      <c r="M914" t="inlineStr"/>
      <c r="N914" t="inlineStr"/>
      <c r="O914">
        <f>(1-Summary!$B$55)*T914+Summary!$B$55*V914</f>
        <v/>
      </c>
      <c r="P914">
        <f>IF(B933=0,0,O914/B933)</f>
        <v/>
      </c>
      <c r="Q914" t="n">
        <v>0</v>
      </c>
      <c r="R914" t="n">
        <v>0</v>
      </c>
      <c r="S914">
        <f>IFERROR(O914/N914,0)</f>
        <v/>
      </c>
      <c r="T914" t="n">
        <v>0</v>
      </c>
      <c r="V914" t="n">
        <v>0</v>
      </c>
    </row>
    <row r="915">
      <c r="A915">
        <f>Skills!A22</f>
        <v/>
      </c>
      <c r="B915">
        <f>Skills!B22</f>
        <v/>
      </c>
      <c r="C915">
        <f>Inputs!$B$3&gt;=43</f>
        <v/>
      </c>
      <c r="D915">
        <f>IF(Skills!C22=1,60+Inputs!$B$25+(Inputs!$B$29+1),IF(Skills!C22=2,90+Inputs!$B$26+(Inputs!$B$29+1),IF(Skills!C22=3,120+Inputs!$B$27+(Inputs!$B$29+1),MAX(0,(Inputs!$B$3-100)*3)+Inputs!$B$28+(Inputs!$B$29+1))))</f>
        <v/>
      </c>
      <c r="E915">
        <f>INDEX(FactorTable!$B$2:$Y$301, MATCH(ROUND(MIN(300,MAX(1,D915)),0), FactorTable!$A$2:$A$301,0), Skills!M22+1)</f>
        <v/>
      </c>
      <c r="F915">
        <f>IF(Skills!N22=TRUE,(Skills!L22/10)*(E915/1000),Skills!L22/10)+Skills!O22</f>
        <v/>
      </c>
      <c r="G915">
        <f>Skills!G22*IF(Skills!H22&gt;0,Skills!I22/Skills!H22,1)</f>
        <v/>
      </c>
      <c r="H915">
        <f>1-(1-Skills!J22/100)^Skills!K22</f>
        <v/>
      </c>
      <c r="I915" t="inlineStr">
        <is>
          <t>1</t>
        </is>
      </c>
      <c r="J915" t="inlineStr"/>
      <c r="K915" t="inlineStr"/>
      <c r="L915" t="inlineStr"/>
      <c r="M915" t="inlineStr"/>
      <c r="N915" t="inlineStr"/>
      <c r="O915">
        <f>(1-Summary!$B$55)*T915+Summary!$B$55*V915</f>
        <v/>
      </c>
      <c r="P915">
        <f>IF(B933=0,0,O915/B933)</f>
        <v/>
      </c>
      <c r="Q915" t="n">
        <v>0</v>
      </c>
      <c r="R915" t="n">
        <v>0</v>
      </c>
      <c r="S915">
        <f>IFERROR(O915/N915,0)</f>
        <v/>
      </c>
      <c r="T915" t="n">
        <v>0</v>
      </c>
      <c r="V915" t="n">
        <v>0</v>
      </c>
    </row>
    <row r="916">
      <c r="A916">
        <f>Skills!A23</f>
        <v/>
      </c>
      <c r="B916">
        <f>Skills!B23</f>
        <v/>
      </c>
      <c r="C916">
        <f>Inputs!$B$3&gt;=38</f>
        <v/>
      </c>
      <c r="D916">
        <f>IF(Skills!C23=1,60+Inputs!$B$25+(Inputs!$B$29+1),IF(Skills!C23=2,90+Inputs!$B$26+(Inputs!$B$29+1),IF(Skills!C23=3,120+Inputs!$B$27+(Inputs!$B$29+1),MAX(0,(Inputs!$B$3-100)*3)+Inputs!$B$28+(Inputs!$B$29+1))))</f>
        <v/>
      </c>
      <c r="E916">
        <f>INDEX(FactorTable!$B$2:$Y$301, MATCH(ROUND(MIN(300,MAX(1,D916)),0), FactorTable!$A$2:$A$301,0), Skills!M23+1)</f>
        <v/>
      </c>
      <c r="F916">
        <f>IF(Skills!N23=TRUE,(Skills!L23/10)*(E916/1000),Skills!L23/10)+Skills!O23</f>
        <v/>
      </c>
      <c r="G916">
        <f>Skills!G23*IF(Skills!H23&gt;0,Skills!I23/Skills!H23,1)</f>
        <v/>
      </c>
      <c r="H916">
        <f>1-(1-Skills!J23/100)^Skills!K23</f>
        <v/>
      </c>
      <c r="I916" t="inlineStr">
        <is>
          <t>1</t>
        </is>
      </c>
      <c r="J916" t="inlineStr"/>
      <c r="K916" t="inlineStr"/>
      <c r="L916" t="inlineStr"/>
      <c r="M916" t="inlineStr"/>
      <c r="N916" t="inlineStr"/>
      <c r="O916">
        <f>(1-Summary!$B$55)*T916+Summary!$B$55*V916</f>
        <v/>
      </c>
      <c r="P916">
        <f>IF(B933=0,0,O916/B933)</f>
        <v/>
      </c>
      <c r="Q916" t="n">
        <v>0</v>
      </c>
      <c r="R916" t="n">
        <v>0</v>
      </c>
      <c r="S916">
        <f>IFERROR(O916/N916,0)</f>
        <v/>
      </c>
      <c r="T916" t="n">
        <v>0</v>
      </c>
      <c r="V916" t="n">
        <v>0</v>
      </c>
    </row>
    <row r="917">
      <c r="A917">
        <f>Skills!A24</f>
        <v/>
      </c>
      <c r="B917">
        <f>Skills!B24</f>
        <v/>
      </c>
      <c r="C917">
        <f>Inputs!$B$3&gt;=40</f>
        <v/>
      </c>
      <c r="D917">
        <f>IF(Skills!C24=1,60+Inputs!$B$25+(Inputs!$B$29+1),IF(Skills!C24=2,90+Inputs!$B$26+(Inputs!$B$29+1),IF(Skills!C24=3,120+Inputs!$B$27+(Inputs!$B$29+1),MAX(0,(Inputs!$B$3-100)*3)+Inputs!$B$28+(Inputs!$B$29+1))))</f>
        <v/>
      </c>
      <c r="E917">
        <f>INDEX(FactorTable!$B$2:$Y$301, MATCH(ROUND(MIN(300,MAX(1,D917)),0), FactorTable!$A$2:$A$301,0), Skills!M24+1)</f>
        <v/>
      </c>
      <c r="F917">
        <f>IF(Skills!N24=TRUE,(Skills!L24/10)*(E917/1000),Skills!L24/10)+Skills!O24</f>
        <v/>
      </c>
      <c r="G917">
        <f>Skills!G24*IF(Skills!H24&gt;0,Skills!I24/Skills!H24,1)</f>
        <v/>
      </c>
      <c r="H917">
        <f>1-(1-Skills!J24/100)^Skills!K24</f>
        <v/>
      </c>
      <c r="I917" t="inlineStr">
        <is>
          <t>1</t>
        </is>
      </c>
      <c r="J917" t="inlineStr"/>
      <c r="K917" t="inlineStr"/>
      <c r="L917" t="inlineStr"/>
      <c r="M917" t="inlineStr"/>
      <c r="N917" t="inlineStr"/>
      <c r="O917">
        <f>(1-Summary!$B$55)*T917+Summary!$B$55*V917</f>
        <v/>
      </c>
      <c r="P917">
        <f>IF(B933=0,0,O917/B933)</f>
        <v/>
      </c>
      <c r="Q917" t="n">
        <v>0</v>
      </c>
      <c r="R917" t="n">
        <v>0</v>
      </c>
      <c r="S917">
        <f>IFERROR(O917/N917,0)</f>
        <v/>
      </c>
      <c r="T917" t="n">
        <v>0</v>
      </c>
      <c r="V917" t="n">
        <v>0</v>
      </c>
    </row>
    <row r="918">
      <c r="A918">
        <f>Skills!A25</f>
        <v/>
      </c>
      <c r="B918">
        <f>Skills!B25</f>
        <v/>
      </c>
      <c r="C918">
        <f>Inputs!$B$3&gt;=72</f>
        <v/>
      </c>
      <c r="D918">
        <f>IF(Skills!C25=1,60+Inputs!$B$25+(Inputs!$B$29+1),IF(Skills!C25=2,90+Inputs!$B$26+(Inputs!$B$29+1),IF(Skills!C25=3,120+Inputs!$B$27+(Inputs!$B$29+1),MAX(0,(Inputs!$B$3-100)*3)+Inputs!$B$28+(Inputs!$B$29+1))))</f>
        <v/>
      </c>
      <c r="E918">
        <f>INDEX(FactorTable!$B$2:$Y$301, MATCH(ROUND(MIN(300,MAX(1,D918)),0), FactorTable!$A$2:$A$301,0), Skills!M25+1)</f>
        <v/>
      </c>
      <c r="F918">
        <f>IF(Skills!N25=TRUE,(Skills!L25/10)*(E918/1000),Skills!L25/10)+Skills!O25</f>
        <v/>
      </c>
      <c r="G918">
        <f>Skills!G25*IF(Skills!H25&gt;0,Skills!I25/Skills!H25,1)</f>
        <v/>
      </c>
      <c r="H918">
        <f>1-(1-Skills!J25/100)^Skills!K25</f>
        <v/>
      </c>
      <c r="I918" t="inlineStr">
        <is>
          <t>1</t>
        </is>
      </c>
      <c r="J918" t="inlineStr"/>
      <c r="K918" t="inlineStr"/>
      <c r="L918" t="inlineStr"/>
      <c r="M918" t="inlineStr"/>
      <c r="N918" t="inlineStr"/>
      <c r="O918">
        <f>(1-Summary!$B$55)*T918+Summary!$B$55*V918</f>
        <v/>
      </c>
      <c r="P918">
        <f>IF(B933=0,0,O918/B933)</f>
        <v/>
      </c>
      <c r="Q918" t="n">
        <v>0</v>
      </c>
      <c r="R918" t="n">
        <v>0</v>
      </c>
      <c r="S918">
        <f>IFERROR(O918/N918,0)</f>
        <v/>
      </c>
      <c r="T918" t="n">
        <v>0</v>
      </c>
      <c r="V918" t="n">
        <v>0</v>
      </c>
    </row>
    <row r="919">
      <c r="A919">
        <f>Skills!A26</f>
        <v/>
      </c>
      <c r="B919">
        <f>Skills!B26</f>
        <v/>
      </c>
      <c r="C919">
        <f>Inputs!$B$3&gt;=75</f>
        <v/>
      </c>
      <c r="D919">
        <f>IF(Skills!C26=1,60+Inputs!$B$25+(Inputs!$B$29+1),IF(Skills!C26=2,90+Inputs!$B$26+(Inputs!$B$29+1),IF(Skills!C26=3,120+Inputs!$B$27+(Inputs!$B$29+1),MAX(0,(Inputs!$B$3-100)*3)+Inputs!$B$28+(Inputs!$B$29+1))))</f>
        <v/>
      </c>
      <c r="E919">
        <f>INDEX(FactorTable!$B$2:$Y$301, MATCH(ROUND(MIN(300,MAX(1,D919)),0), FactorTable!$A$2:$A$301,0), Skills!M26+1)</f>
        <v/>
      </c>
      <c r="F919">
        <f>IF(Skills!N26=TRUE,(Skills!L26/10)*(E919/1000),Skills!L26/10)+Skills!O26</f>
        <v/>
      </c>
      <c r="G919">
        <f>Skills!G26*IF(Skills!H26&gt;0,Skills!I26/Skills!H26,1)</f>
        <v/>
      </c>
      <c r="H919">
        <f>1-(1-Skills!J26/100)^Skills!K26</f>
        <v/>
      </c>
      <c r="I919" t="inlineStr">
        <is>
          <t>1</t>
        </is>
      </c>
      <c r="J919" t="inlineStr"/>
      <c r="K919" t="inlineStr"/>
      <c r="L919" t="inlineStr"/>
      <c r="M919" t="inlineStr"/>
      <c r="N919" t="inlineStr"/>
      <c r="O919">
        <f>(1-Summary!$B$55)*T919+Summary!$B$55*V919</f>
        <v/>
      </c>
      <c r="P919">
        <f>IF(B933=0,0,O919/B933)</f>
        <v/>
      </c>
      <c r="Q919" t="n">
        <v>0</v>
      </c>
      <c r="R919" t="n">
        <v>0</v>
      </c>
      <c r="S919">
        <f>IFERROR(O919/N919,0)</f>
        <v/>
      </c>
      <c r="T919" t="n">
        <v>0</v>
      </c>
      <c r="V919" t="n">
        <v>0</v>
      </c>
    </row>
    <row r="920">
      <c r="A920">
        <f>Skills!A27</f>
        <v/>
      </c>
      <c r="B920">
        <f>Skills!B27</f>
        <v/>
      </c>
      <c r="C920">
        <f>Inputs!$B$3&gt;=117</f>
        <v/>
      </c>
      <c r="D920">
        <f>IF(Skills!C27=1,60+Inputs!$B$25+(Inputs!$B$29+1),IF(Skills!C27=2,90+Inputs!$B$26+(Inputs!$B$29+1),IF(Skills!C27=3,120+Inputs!$B$27+(Inputs!$B$29+1),MAX(0,(Inputs!$B$3-100)*3)+Inputs!$B$28+(Inputs!$B$29+1))))</f>
        <v/>
      </c>
      <c r="E920">
        <f>INDEX(FactorTable!$B$2:$Y$301, MATCH(ROUND(MIN(300,MAX(1,D920)),0), FactorTable!$A$2:$A$301,0), Skills!M27+1)</f>
        <v/>
      </c>
      <c r="F920">
        <f>IF(Skills!N27=TRUE,(Skills!L27/10)*(E920/1000),Skills!L27/10)+Skills!O27</f>
        <v/>
      </c>
      <c r="G920">
        <f>Skills!G27*IF(Skills!H27&gt;0,Skills!I27/Skills!H27,1)</f>
        <v/>
      </c>
      <c r="H920">
        <f>1-(1-Skills!J27/100)^Skills!K27</f>
        <v/>
      </c>
      <c r="I920" t="inlineStr">
        <is>
          <t>1</t>
        </is>
      </c>
      <c r="J920" t="inlineStr"/>
      <c r="K920" t="inlineStr"/>
      <c r="L920" t="inlineStr"/>
      <c r="M920" t="inlineStr"/>
      <c r="N920" t="inlineStr"/>
      <c r="O920">
        <f>(1-Summary!$B$55)*T920+Summary!$B$55*V920</f>
        <v/>
      </c>
      <c r="P920">
        <f>IF(B933=0,0,O920/B933)</f>
        <v/>
      </c>
      <c r="Q920" t="n">
        <v>0</v>
      </c>
      <c r="R920" t="n">
        <v>0</v>
      </c>
      <c r="S920">
        <f>IFERROR(O920/N920,0)</f>
        <v/>
      </c>
      <c r="T920" t="n">
        <v>0</v>
      </c>
      <c r="V920" t="n">
        <v>0</v>
      </c>
    </row>
    <row r="922">
      <c r="A922" t="inlineStr">
        <is>
          <t>Attack% Bucket Multiplier</t>
        </is>
      </c>
      <c r="B922">
        <f>(1+(((C910=TRUE)*F910)+((C917=TRUE)*(F917-Calc!F24)))/100)</f>
        <v/>
      </c>
    </row>
    <row r="923">
      <c r="A923" t="inlineStr">
        <is>
          <t>Global Crit Rate Bonus %</t>
        </is>
      </c>
      <c r="B923" t="n">
        <v>0</v>
      </c>
    </row>
    <row r="924">
      <c r="A924" t="inlineStr">
        <is>
          <t>Attack Speed Buff Bonus % (unused)</t>
        </is>
      </c>
      <c r="B924" t="n">
        <v>0</v>
      </c>
    </row>
    <row r="925">
      <c r="A925" t="inlineStr">
        <is>
          <t>Actions Per Second</t>
        </is>
      </c>
      <c r="B925">
        <f>1+MIN(150,150*(1-(1-(Inputs!$B$11+((C913=TRUE)*(F913-Calc!F20))+((C914=TRUE)*(F914-Calc!F21)))/150)*(1-B924/150)))/100</f>
        <v/>
      </c>
    </row>
    <row r="926">
      <c r="A926" t="inlineStr">
        <is>
          <t>Skill + Buff Cast Rate</t>
        </is>
      </c>
      <c r="B926">
        <f>IF(AND(Inputs!$B$38&lt;&gt;"pvp",Inputs!$B$43&gt;0),SUMPRODUCT((Skills!E2:E27=TRUE)*(C895:C920=TRUE)*R895:R920*Skills!F2:F27)/Inputs!$B$43,SUMPRODUCT((Skills!E2:E27=TRUE)*(C895:C920=TRUE)*Q895:Q920*Skills!F2:F27))</f>
        <v/>
      </c>
    </row>
    <row r="927">
      <c r="A927" t="inlineStr">
        <is>
          <t>Eight-Legs Easton Casts Per Second</t>
        </is>
      </c>
      <c r="B927">
        <f>MAX(0,B925-B926)</f>
        <v/>
      </c>
    </row>
    <row r="928">
      <c r="A928" t="inlineStr">
        <is>
          <t>Global Critical Damage Bonus % (unused)</t>
        </is>
      </c>
      <c r="B928" t="n">
        <v>0</v>
      </c>
    </row>
    <row r="929">
      <c r="A929" t="inlineStr">
        <is>
          <t>Global Final Damage Bonus % (Jolly Roger only)</t>
        </is>
      </c>
      <c r="B929">
        <f>((C911=TRUE)*F911)</f>
        <v/>
      </c>
    </row>
    <row r="930">
      <c r="A930" t="inlineStr">
        <is>
          <t>Buff-Casting Startup Delay (s, fixed-duration only)</t>
        </is>
      </c>
      <c r="B930">
        <f>IF(AND(Inputs!$B$38&lt;&gt;"pvp",Inputs!$B$43&gt;0),SUMPRODUCT((Skills!T2:T27&gt;0)*(Skills!E2:E27=TRUE)*(C895:C920=TRUE))/B925,0)</f>
        <v/>
      </c>
    </row>
    <row r="931">
      <c r="A931" t="inlineStr">
        <is>
          <t>Boss-Only Total DPS (this block's swept value)</t>
        </is>
      </c>
      <c r="B931">
        <f>SUM(T895:T920)</f>
        <v/>
      </c>
    </row>
    <row r="932">
      <c r="A932" t="inlineStr">
        <is>
          <t>Normal-Only Total DPS (this block's swept value)</t>
        </is>
      </c>
      <c r="B932">
        <f>SUM(V895:V920)</f>
        <v/>
      </c>
    </row>
    <row r="933">
      <c r="A933" s="5" t="inlineStr">
        <is>
          <t>TOTAL DPS</t>
        </is>
      </c>
      <c r="B933" s="5">
        <f>SUM(O895:O920)</f>
        <v/>
      </c>
    </row>
    <row r="936">
      <c r="A936" s="5" t="inlineStr">
        <is>
          <t>Stat: Flat ATTACK</t>
        </is>
      </c>
    </row>
    <row r="937">
      <c r="A937" s="9" t="inlineStr">
        <is>
          <t>Key</t>
        </is>
      </c>
      <c r="B937" s="9" t="inlineStr">
        <is>
          <t>Name</t>
        </is>
      </c>
      <c r="C937" s="9" t="inlineStr">
        <is>
          <t>Unlocked</t>
        </is>
      </c>
      <c r="D937" s="9" t="inlineStr">
        <is>
          <t>InputLevel</t>
        </is>
      </c>
      <c r="E937" s="9" t="inlineStr">
        <is>
          <t>Factor</t>
        </is>
      </c>
      <c r="F937" s="9" t="inlineStr">
        <is>
          <t>CoefficientPercent</t>
        </is>
      </c>
      <c r="G937" s="9" t="inlineStr">
        <is>
          <t>EffectiveHits</t>
        </is>
      </c>
      <c r="H937" s="9" t="inlineStr">
        <is>
          <t>ProcProbability</t>
        </is>
      </c>
      <c r="I937" s="9" t="inlineStr">
        <is>
          <t>MapleHeroMultiplier</t>
        </is>
      </c>
      <c r="J937" s="9" t="inlineStr">
        <is>
          <t>BaseDamage</t>
        </is>
      </c>
      <c r="K937" s="9" t="inlineStr">
        <is>
          <t>BaseHitDamage</t>
        </is>
      </c>
      <c r="L937" s="9" t="inlineStr">
        <is>
          <t>NonCritAvg</t>
        </is>
      </c>
      <c r="M937" s="9" t="inlineStr">
        <is>
          <t>CritAvg</t>
        </is>
      </c>
      <c r="N937" s="9" t="inlineStr">
        <is>
          <t>ExpectedDamage(perHit)</t>
        </is>
      </c>
      <c r="O937" s="9" t="inlineStr">
        <is>
          <t>DPS</t>
        </is>
      </c>
      <c r="P937" s="9" t="inlineStr">
        <is>
          <t>% of Total</t>
        </is>
      </c>
      <c r="Q937" s="9" t="inlineStr">
        <is>
          <t>InvCooldown</t>
        </is>
      </c>
      <c r="R937" s="9" t="inlineStr">
        <is>
          <t>CastsInFight</t>
        </is>
      </c>
      <c r="S937" s="9" t="inlineStr">
        <is>
          <t>HitRate(perSec)</t>
        </is>
      </c>
      <c r="U937" t="inlineStr">
        <is>
          <t>helpers</t>
        </is>
      </c>
    </row>
    <row r="938">
      <c r="A938">
        <f>Skills!A2</f>
        <v/>
      </c>
      <c r="B938">
        <f>Skills!B2</f>
        <v/>
      </c>
      <c r="C938">
        <f>Inputs!$B$3&gt;=100</f>
        <v/>
      </c>
      <c r="D938" t="inlineStr"/>
      <c r="E938" t="inlineStr"/>
      <c r="F938">
        <f>U940+Skills!O2</f>
        <v/>
      </c>
      <c r="G938">
        <f>Skills!G2*IF(Skills!H2&gt;0,Skills!I2/Skills!H2,1)</f>
        <v/>
      </c>
      <c r="H938">
        <f>1-(1-Skills!J2/100)^Skills!K2</f>
        <v/>
      </c>
      <c r="I938" t="inlineStr">
        <is>
          <t>1</t>
        </is>
      </c>
      <c r="J938">
        <f>(((Inputs!$B$6+1)*(1+Inputs!$B$7/100))+(((Inputs!$B$12*(1+Inputs!$B$13/100))-(Inputs!$B$12*(1+Inputs!$B$13/100)))+0.25*(Inputs!$B$14-Inputs!$B$14))*(1+Inputs!$B$7/100))*(F938/100)</f>
        <v/>
      </c>
      <c r="K938">
        <f>J938*(1+((Inputs!$B$12*(1+Inputs!$B$13/100))*0.01+Inputs!$B$14*0.0025)/100)*(1+Inputs!$B$15/100)*(1+Inputs!$B$16/100)*(5000/(6000+Inputs!$B$42*(1-(Inputs!$B$19+0)/100)))*(1+(Inputs!$B$24+((C962=TRUE)*(F962-Calc!F26))+B972)/100)*(1+(IF(Skills!A2="EIGHT_LEGS_EASTON",Inputs!$B$17+((C959=TRUE)*(F959-Calc!F23))+((C963=TRUE)*(F963-Calc!F27)),Inputs!$B$18+0))/100)*((1+(((C953=TRUE)*F953)+((C960=TRUE)*(F960-Calc!F24)))/100)*I938)</f>
        <v/>
      </c>
      <c r="L938">
        <f>K938*(MIN(Inputs!$B$22+((C958=TRUE)*(F958-Calc!F22)),Inputs!$B$23+0)/100+(Inputs!$B$23+0)/100)/2</f>
        <v/>
      </c>
      <c r="M938">
        <f>L938*(1+(Inputs!$B$10+((C961=TRUE)*(F961-Calc!F25))+B971)/100)</f>
        <v/>
      </c>
      <c r="N938">
        <f>L938*(1-MIN((Inputs!$B$9+((C955=TRUE)*(F955-Calc!F19))+B966),100)/100)+M938*(MIN((Inputs!$B$9+((C955=TRUE)*(F955-Calc!F19))+B966),100)/100)</f>
        <v/>
      </c>
      <c r="O938">
        <f>(1-Summary!$B$55)*T938+Summary!$B$55*V938</f>
        <v/>
      </c>
      <c r="P938">
        <f>IF(B976=0,0,O938/B976)</f>
        <v/>
      </c>
      <c r="Q938" t="n">
        <v>0</v>
      </c>
      <c r="R938" t="n">
        <v>0</v>
      </c>
      <c r="S938">
        <f>IFERROR(O938/N938,0)</f>
        <v/>
      </c>
      <c r="T938">
        <f>IF(C938,(Skills!G2*N938*B970)*IF(Inputs!$B$38="pvp",1,1+(Inputs!$B$20+0+Skills!P2)/100),0)</f>
        <v/>
      </c>
      <c r="U938">
        <f>MAX(0,(Inputs!$B$3-100)*3)+Inputs!$B$28+Inputs!$B$29</f>
        <v/>
      </c>
      <c r="V938">
        <f>IF(C938,(Skills!G2*N938*B970)*IF(Inputs!$B$38="pvp",1,(1+(Inputs!$B$21+Skills!Q2)/100)*(MIN((6+Inputs!$B$33),Inputs!$B$37))),0)</f>
        <v/>
      </c>
    </row>
    <row r="939">
      <c r="A939">
        <f>Skills!A3</f>
        <v/>
      </c>
      <c r="B939">
        <f>Skills!B3</f>
        <v/>
      </c>
      <c r="C939">
        <f>Inputs!$B$3&gt;=35</f>
        <v/>
      </c>
      <c r="D939">
        <f>IF(Skills!C3=1,60+Inputs!$B$25+Inputs!$B$29,IF(Skills!C3=2,90+Inputs!$B$26+Inputs!$B$29,IF(Skills!C3=3,120+Inputs!$B$27+Inputs!$B$29,MAX(0,(Inputs!$B$3-100)*3)+Inputs!$B$28+Inputs!$B$29)))</f>
        <v/>
      </c>
      <c r="E939">
        <f>INDEX(FactorTable!$B$2:$Y$301, MATCH(ROUND(MIN(300,MAX(1,D939)),0), FactorTable!$A$2:$A$301,0), Skills!M3+1)</f>
        <v/>
      </c>
      <c r="F939">
        <f>IF(Skills!N3=TRUE,(Skills!L3/10)*(E939/1000),Skills!L3/10)+Skills!O3</f>
        <v/>
      </c>
      <c r="G939">
        <f>Skills!G3*IF(Skills!H3&gt;0,Skills!I3/Skills!H3,1)</f>
        <v/>
      </c>
      <c r="H939">
        <f>1-(1-Skills!J3/100)^Skills!K3</f>
        <v/>
      </c>
      <c r="I939" t="inlineStr">
        <is>
          <t>1</t>
        </is>
      </c>
      <c r="J939">
        <f>(((Inputs!$B$6+1)*(1+Inputs!$B$7/100))+(((Inputs!$B$12*(1+Inputs!$B$13/100))-(Inputs!$B$12*(1+Inputs!$B$13/100)))+0.25*(Inputs!$B$14-Inputs!$B$14))*(1+Inputs!$B$7/100))*(F939/100)</f>
        <v/>
      </c>
      <c r="K939">
        <f>J939*(1+((Inputs!$B$12*(1+Inputs!$B$13/100))*0.01+Inputs!$B$14*0.0025)/100)*(1+Inputs!$B$15/100)*(1+Inputs!$B$16/100)*(5000/(6000+Inputs!$B$42*(1-(Inputs!$B$19+0)/100)))*(1+(Inputs!$B$24+((C962=TRUE)*(F962-Calc!F26))+B972)/100)*(1+4.0*IF(C951=TRUE,F951,0)/100)*(1+(IF(Skills!A3="EIGHT_LEGS_EASTON",Inputs!$B$17+((C959=TRUE)*(F959-Calc!F23))+((C963=TRUE)*(F963-Calc!F27)),Inputs!$B$18+0))/100)*((1+(((C953=TRUE)*F953)+((C960=TRUE)*(F960-Calc!F24)))/100)*I939)</f>
        <v/>
      </c>
      <c r="L939">
        <f>K939*(MIN(Inputs!$B$22+((C958=TRUE)*(F958-Calc!F22)),Inputs!$B$23+0)/100+(Inputs!$B$23+0)/100)/2</f>
        <v/>
      </c>
      <c r="M939">
        <f>L939*(1+(Inputs!$B$10+((C961=TRUE)*(F961-Calc!F25))+B971)/100)</f>
        <v/>
      </c>
      <c r="N939">
        <f>L939*(1-MIN((Inputs!$B$9+((C955=TRUE)*(F955-Calc!F19))+B966),100)/100)+M939*(MIN((Inputs!$B$9+((C955=TRUE)*(F955-Calc!F19))+B966),100)/100)</f>
        <v/>
      </c>
      <c r="O939">
        <f>(1-Summary!$B$55)*T939+Summary!$B$55*V939</f>
        <v/>
      </c>
      <c r="P939">
        <f>IF(B976=0,0,O939/B976)</f>
        <v/>
      </c>
      <c r="Q939">
        <f>IFERROR(1/IF(Inputs!$B$38="pvp",15,MAX(0.1,Skills!D3-IF(Skills!E3=TRUE,Inputs!$B$32,0))),0)</f>
        <v/>
      </c>
      <c r="R939">
        <f>IF(AND(Inputs!$B$38&lt;&gt;"pvp",Inputs!$B$43&gt;0),IF(MAX(0,Inputs!$B$43-B973)&lt;=0,0,(INT(MAX(0,Inputs!$B$43-B973)/IF(Inputs!$B$38="pvp",15,MAX(0.1,Skills!D3-IF(Skills!E3=TRUE,Inputs!$B$32,0))))+1)),0)</f>
        <v/>
      </c>
      <c r="S939">
        <f>IFERROR(O939/N939,0)</f>
        <v/>
      </c>
      <c r="T939">
        <f>IF(C939,(H939*N939*IF(AND(Inputs!$B$38&lt;&gt;"pvp",Inputs!$B$43&gt;0),((Skills!G3*((R939-1)*IF(Skills!H3&gt;0,Skills!I3/Skills!H3,1)+IF(Skills!H3&gt;0,MIN(Skills!I3,MAX(0,MAX(0,Inputs!$B$43-B973)-((R939-1)*IF(Inputs!$B$38="pvp",15,MAX(0.1,Skills!D3-IF(Skills!E3=TRUE,Inputs!$B$32,0))))))/Skills!H3,1)))/Inputs!$B$43),G939*Q939))*IF(Inputs!$B$38="pvp",1,1+(Inputs!$B$20+0+Skills!P3)/100),0)</f>
        <v/>
      </c>
      <c r="U939">
        <f>INDEX(FactorTable!$B$2:$Y$301, MATCH(ROUND(MIN(300,MAX(1,U938)),0), FactorTable!$A$2:$A$301,0), 22)</f>
        <v/>
      </c>
      <c r="V939">
        <f>IF(C939,(H939*N939*IF(AND(Inputs!$B$38&lt;&gt;"pvp",Inputs!$B$43&gt;0),((Skills!G3*((R939-1)*IF(Skills!H3&gt;0,Skills!I3/Skills!H3,1)+IF(Skills!H3&gt;0,MIN(Skills!I3,MAX(0,MAX(0,Inputs!$B$43-B973)-((R939-1)*IF(Inputs!$B$38="pvp",15,MAX(0.1,Skills!D3-IF(Skills!E3=TRUE,Inputs!$B$32,0))))))/Skills!H3,1)))/Inputs!$B$43),G939*Q939))*IF(Inputs!$B$38="pvp",1,(1+(Inputs!$B$21+Skills!Q3)/100)*(MIN(Skills!R3,Inputs!$B$37))),0)</f>
        <v/>
      </c>
    </row>
    <row r="940">
      <c r="A940">
        <f>Skills!A4</f>
        <v/>
      </c>
      <c r="B940">
        <f>Skills!B4</f>
        <v/>
      </c>
      <c r="C940">
        <f>Inputs!$B$3&gt;=40</f>
        <v/>
      </c>
      <c r="D940">
        <f>IF(Skills!C4=1,60+Inputs!$B$25+Inputs!$B$29,IF(Skills!C4=2,90+Inputs!$B$26+Inputs!$B$29,IF(Skills!C4=3,120+Inputs!$B$27+Inputs!$B$29,MAX(0,(Inputs!$B$3-100)*3)+Inputs!$B$28+Inputs!$B$29)))</f>
        <v/>
      </c>
      <c r="E940">
        <f>INDEX(FactorTable!$B$2:$Y$301, MATCH(ROUND(MIN(300,MAX(1,D940)),0), FactorTable!$A$2:$A$301,0), Skills!M4+1)</f>
        <v/>
      </c>
      <c r="F940">
        <f>IF(Skills!N4=TRUE,(Skills!L4/10)*(E940/1000),Skills!L4/10)+Skills!O4</f>
        <v/>
      </c>
      <c r="G940">
        <f>Skills!G4*IF(Skills!H4&gt;0,Skills!I4/Skills!H4,1)</f>
        <v/>
      </c>
      <c r="H940">
        <f>1-(1-Skills!J4/100)^Skills!K4</f>
        <v/>
      </c>
      <c r="I940" t="inlineStr">
        <is>
          <t>1</t>
        </is>
      </c>
      <c r="J940">
        <f>(((Inputs!$B$6+1)*(1+Inputs!$B$7/100))+(((Inputs!$B$12*(1+Inputs!$B$13/100))-(Inputs!$B$12*(1+Inputs!$B$13/100)))+0.25*(Inputs!$B$14-Inputs!$B$14))*(1+Inputs!$B$7/100))*(F940/100)</f>
        <v/>
      </c>
      <c r="K940">
        <f>J940*(1+((Inputs!$B$12*(1+Inputs!$B$13/100))*0.01+Inputs!$B$14*0.0025)/100)*(1+Inputs!$B$15/100)*(1+Inputs!$B$16/100)*(5000/(6000+Inputs!$B$42*(1-(Inputs!$B$19+0)/100)))*(1+(Inputs!$B$24+((C962=TRUE)*(F962-Calc!F26))+B972)/100)*(1+1.0*IF(C952=TRUE,F952,0)/100)*(1+(IF(Skills!A4="EIGHT_LEGS_EASTON",Inputs!$B$17+((C959=TRUE)*(F959-Calc!F23))+((C963=TRUE)*(F963-Calc!F27)),Inputs!$B$18+0))/100)*((1+(((C953=TRUE)*F953)+((C960=TRUE)*(F960-Calc!F24)))/100)*I940)</f>
        <v/>
      </c>
      <c r="L940">
        <f>K940*(MIN(Inputs!$B$22+((C958=TRUE)*(F958-Calc!F22)),Inputs!$B$23+0)/100+(Inputs!$B$23+0)/100)/2</f>
        <v/>
      </c>
      <c r="M940">
        <f>L940*(1+(Inputs!$B$10+((C961=TRUE)*(F961-Calc!F25))+B971)/100)</f>
        <v/>
      </c>
      <c r="N940">
        <f>L940*(1-MIN((Inputs!$B$9+((C955=TRUE)*(F955-Calc!F19))+B966),100)/100)+M940*(MIN((Inputs!$B$9+((C955=TRUE)*(F955-Calc!F19))+B966),100)/100)</f>
        <v/>
      </c>
      <c r="O940">
        <f>(1-Summary!$B$55)*T940+Summary!$B$55*V940</f>
        <v/>
      </c>
      <c r="P940">
        <f>IF(B976=0,0,O940/B976)</f>
        <v/>
      </c>
      <c r="Q940">
        <f>IFERROR(1/IF(Inputs!$B$38="pvp",15,MAX(0.1,Skills!D4-IF(Skills!E4=TRUE,Inputs!$B$32,0))),0)</f>
        <v/>
      </c>
      <c r="R940">
        <f>IF(AND(Inputs!$B$38&lt;&gt;"pvp",Inputs!$B$43&gt;0),IF(MAX(0,Inputs!$B$43-B973)&lt;=0,0,(INT(MAX(0,Inputs!$B$43-B973)/IF(Inputs!$B$38="pvp",15,MAX(0.1,Skills!D4-IF(Skills!E4=TRUE,Inputs!$B$32,0))))+1)),0)</f>
        <v/>
      </c>
      <c r="S940">
        <f>IFERROR(O940/N940,0)</f>
        <v/>
      </c>
      <c r="T940">
        <f>IF(C940,(H940*N940*IF(AND(Inputs!$B$38&lt;&gt;"pvp",Inputs!$B$43&gt;0),((Skills!G4*((R940-1)*IF(Skills!H4&gt;0,Skills!I4/Skills!H4,1)+IF(Skills!H4&gt;0,MIN(Skills!I4,MAX(0,MAX(0,Inputs!$B$43-B973)-((R940-1)*IF(Inputs!$B$38="pvp",15,MAX(0.1,Skills!D4-IF(Skills!E4=TRUE,Inputs!$B$32,0))))))/Skills!H4,1)))/Inputs!$B$43),G940*Q940))*IF(Inputs!$B$38="pvp",1,1+(Inputs!$B$20+0+Skills!P4)/100),0)</f>
        <v/>
      </c>
      <c r="U940">
        <f>290*U939/1000</f>
        <v/>
      </c>
      <c r="V940">
        <f>IF(C940,(H940*N940*IF(AND(Inputs!$B$38&lt;&gt;"pvp",Inputs!$B$43&gt;0),((Skills!G4*((R940-1)*IF(Skills!H4&gt;0,Skills!I4/Skills!H4,1)+IF(Skills!H4&gt;0,MIN(Skills!I4,MAX(0,MAX(0,Inputs!$B$43-B973)-((R940-1)*IF(Inputs!$B$38="pvp",15,MAX(0.1,Skills!D4-IF(Skills!E4=TRUE,Inputs!$B$32,0))))))/Skills!H4,1)))/Inputs!$B$43),G940*Q940))*IF(Inputs!$B$38="pvp",1,(1+(Inputs!$B$21+Skills!Q4)/100)*(MIN(Skills!R4,Inputs!$B$37))),0)</f>
        <v/>
      </c>
    </row>
    <row r="941">
      <c r="A941">
        <f>Skills!A5</f>
        <v/>
      </c>
      <c r="B941">
        <f>Skills!B5</f>
        <v/>
      </c>
      <c r="C941">
        <f>Inputs!$B$3&gt;=45</f>
        <v/>
      </c>
      <c r="D941">
        <f>IF(Skills!C5=1,60+Inputs!$B$25+Inputs!$B$29,IF(Skills!C5=2,90+Inputs!$B$26+Inputs!$B$29,IF(Skills!C5=3,120+Inputs!$B$27+Inputs!$B$29,MAX(0,(Inputs!$B$3-100)*3)+Inputs!$B$28+Inputs!$B$29)))</f>
        <v/>
      </c>
      <c r="E941">
        <f>INDEX(FactorTable!$B$2:$Y$301, MATCH(ROUND(MIN(300,MAX(1,D941)),0), FactorTable!$A$2:$A$301,0), Skills!M5+1)</f>
        <v/>
      </c>
      <c r="F941">
        <f>IF(Skills!N5=TRUE,(Skills!L5/10)*(E941/1000),Skills!L5/10)+Skills!O5</f>
        <v/>
      </c>
      <c r="G941">
        <f>Skills!G5*IF(Skills!H5&gt;0,Skills!I5/Skills!H5,1)</f>
        <v/>
      </c>
      <c r="H941">
        <f>1-(1-Skills!J5/100)^Skills!K5</f>
        <v/>
      </c>
      <c r="I941" t="inlineStr">
        <is>
          <t>1</t>
        </is>
      </c>
      <c r="J941">
        <f>(((Inputs!$B$6+1)*(1+Inputs!$B$7/100))+(((Inputs!$B$12*(1+Inputs!$B$13/100))-(Inputs!$B$12*(1+Inputs!$B$13/100)))+0.25*(Inputs!$B$14-Inputs!$B$14))*(1+Inputs!$B$7/100))*(F941/100)</f>
        <v/>
      </c>
      <c r="K941">
        <f>J941*(1+((Inputs!$B$12*(1+Inputs!$B$13/100))*0.01+Inputs!$B$14*0.0025)/100)*(1+Inputs!$B$15/100)*(1+Inputs!$B$16/100)*(5000/(6000+Inputs!$B$42*(1-(Inputs!$B$19+0)/100)))*(1+(Inputs!$B$24+((C962=TRUE)*(F962-Calc!F26))+B972)/100)*(1+0.4*IF(C952=TRUE,F952,0)/100)*(1+(IF(Skills!A5="EIGHT_LEGS_EASTON",Inputs!$B$17+((C959=TRUE)*(F959-Calc!F23))+((C963=TRUE)*(F963-Calc!F27)),Inputs!$B$18+0))/100)*((1+(((C953=TRUE)*F953)+((C960=TRUE)*(F960-Calc!F24)))/100)*I941)</f>
        <v/>
      </c>
      <c r="L941">
        <f>K941*(MIN(Inputs!$B$22+((C958=TRUE)*(F958-Calc!F22)),Inputs!$B$23+0)/100+(Inputs!$B$23+0)/100)/2</f>
        <v/>
      </c>
      <c r="M941">
        <f>L941*(1+(Inputs!$B$10+((C961=TRUE)*(F961-Calc!F25))+B971)/100)</f>
        <v/>
      </c>
      <c r="N941">
        <f>L941*(1-MIN((Inputs!$B$9+((C955=TRUE)*(F955-Calc!F19))+B966),100)/100)+M941*(MIN((Inputs!$B$9+((C955=TRUE)*(F955-Calc!F19))+B966),100)/100)</f>
        <v/>
      </c>
      <c r="O941">
        <f>(1-Summary!$B$55)*T941+Summary!$B$55*V941</f>
        <v/>
      </c>
      <c r="P941">
        <f>IF(B976=0,0,O941/B976)</f>
        <v/>
      </c>
      <c r="Q941">
        <f>IFERROR(1/IF(Inputs!$B$38="pvp",15,MAX(0.1,Skills!D5-IF(Skills!E5=TRUE,Inputs!$B$32,0))),0)</f>
        <v/>
      </c>
      <c r="R941">
        <f>IF(AND(Inputs!$B$38&lt;&gt;"pvp",Inputs!$B$43&gt;0),IF(MAX(0,Inputs!$B$43-B973)&lt;=0,0,(INT(MAX(0,Inputs!$B$43-B973)/IF(Inputs!$B$38="pvp",15,MAX(0.1,Skills!D5-IF(Skills!E5=TRUE,Inputs!$B$32,0))))+1)),0)</f>
        <v/>
      </c>
      <c r="S941">
        <f>IFERROR(O941/N941,0)</f>
        <v/>
      </c>
      <c r="T941">
        <f>IF(C941,(H941*N941*IF(AND(Inputs!$B$38&lt;&gt;"pvp",Inputs!$B$43&gt;0),((Skills!G5*((R941-1)*IF(Skills!H5&gt;0,Skills!I5/Skills!H5,1)+IF(Skills!H5&gt;0,MIN(Skills!I5,MAX(0,MAX(0,Inputs!$B$43-B973)-((R941-1)*IF(Inputs!$B$38="pvp",15,MAX(0.1,Skills!D5-IF(Skills!E5=TRUE,Inputs!$B$32,0))))))/Skills!H5,1)))/Inputs!$B$43),G941*Q941))*IF(Inputs!$B$38="pvp",1,1+(Inputs!$B$20+0+Skills!P5)/100),0)</f>
        <v/>
      </c>
      <c r="V941">
        <f>IF(C941,(H941*N941*IF(AND(Inputs!$B$38&lt;&gt;"pvp",Inputs!$B$43&gt;0),((Skills!G5*((R941-1)*IF(Skills!H5&gt;0,Skills!I5/Skills!H5,1)+IF(Skills!H5&gt;0,MIN(Skills!I5,MAX(0,MAX(0,Inputs!$B$43-B973)-((R941-1)*IF(Inputs!$B$38="pvp",15,MAX(0.1,Skills!D5-IF(Skills!E5=TRUE,Inputs!$B$32,0))))))/Skills!H5,1)))/Inputs!$B$43),G941*Q941))*IF(Inputs!$B$38="pvp",1,(1+(Inputs!$B$21+Skills!Q5)/100)*(MIN(Skills!R5,Inputs!$B$37))),0)</f>
        <v/>
      </c>
    </row>
    <row r="942">
      <c r="A942">
        <f>Skills!A6</f>
        <v/>
      </c>
      <c r="B942">
        <f>Skills!B6</f>
        <v/>
      </c>
      <c r="C942">
        <f>Inputs!$B$3&gt;=63</f>
        <v/>
      </c>
      <c r="D942">
        <f>IF(Skills!C6=1,60+Inputs!$B$25+Inputs!$B$29,IF(Skills!C6=2,90+Inputs!$B$26+Inputs!$B$29,IF(Skills!C6=3,120+Inputs!$B$27+Inputs!$B$29,MAX(0,(Inputs!$B$3-100)*3)+Inputs!$B$28+Inputs!$B$29)))</f>
        <v/>
      </c>
      <c r="E942">
        <f>INDEX(FactorTable!$B$2:$Y$301, MATCH(ROUND(MIN(300,MAX(1,D942)),0), FactorTable!$A$2:$A$301,0), Skills!M6+1)</f>
        <v/>
      </c>
      <c r="F942">
        <f>IF(Skills!N6=TRUE,(Skills!L6/10)*(E942/1000),Skills!L6/10)+Skills!O6</f>
        <v/>
      </c>
      <c r="G942">
        <f>Skills!G6*IF(Skills!H6&gt;0,Skills!I6/Skills!H6,1)</f>
        <v/>
      </c>
      <c r="H942">
        <f>1-(1-Skills!J6/100)^Skills!K6</f>
        <v/>
      </c>
      <c r="I942" t="inlineStr">
        <is>
          <t>1</t>
        </is>
      </c>
      <c r="J942">
        <f>(((Inputs!$B$6+1)*(1+Inputs!$B$7/100))+(((Inputs!$B$12*(1+Inputs!$B$13/100))-(Inputs!$B$12*(1+Inputs!$B$13/100)))+0.25*(Inputs!$B$14-Inputs!$B$14))*(1+Inputs!$B$7/100))*(F942/100)</f>
        <v/>
      </c>
      <c r="K942">
        <f>J942*(1+((Inputs!$B$12*(1+Inputs!$B$13/100))*0.01+Inputs!$B$14*0.0025)/100)*(1+Inputs!$B$15/100)*(1+Inputs!$B$16/100)*(5000/(6000+Inputs!$B$42*(1-(Inputs!$B$19+0)/100)))*(1+(Inputs!$B$24+((C962=TRUE)*(F962-Calc!F26))+B972)/100)*(1+2.0*IF(C951=TRUE,F951,0)/100)*(1+(IF(Skills!A6="EIGHT_LEGS_EASTON",Inputs!$B$17+((C959=TRUE)*(F959-Calc!F23))+((C963=TRUE)*(F963-Calc!F27)),Inputs!$B$18+0))/100)*((1+(((C953=TRUE)*F953)+((C960=TRUE)*(F960-Calc!F24)))/100)*I942)</f>
        <v/>
      </c>
      <c r="L942">
        <f>K942*(MIN(Inputs!$B$22+((C958=TRUE)*(F958-Calc!F22)),Inputs!$B$23+0)/100+(Inputs!$B$23+0)/100)/2</f>
        <v/>
      </c>
      <c r="M942">
        <f>L942*(1+(Inputs!$B$10+((C961=TRUE)*(F961-Calc!F25))+B971)/100)</f>
        <v/>
      </c>
      <c r="N942">
        <f>L942*(1-MIN((Inputs!$B$9+((C955=TRUE)*(F955-Calc!F19))+B966),100)/100)+M942*(MIN((Inputs!$B$9+((C955=TRUE)*(F955-Calc!F19))+B966),100)/100)</f>
        <v/>
      </c>
      <c r="O942">
        <f>(1-Summary!$B$55)*T942+Summary!$B$55*V942</f>
        <v/>
      </c>
      <c r="P942">
        <f>IF(B976=0,0,O942/B976)</f>
        <v/>
      </c>
      <c r="Q942">
        <f>IFERROR(1/IF(Inputs!$B$38="pvp",15,MAX(0.1,Skills!D6-IF(Skills!E6=TRUE,Inputs!$B$32,0))),0)</f>
        <v/>
      </c>
      <c r="R942">
        <f>IF(AND(Inputs!$B$38&lt;&gt;"pvp",Inputs!$B$43&gt;0),IF(MAX(0,Inputs!$B$43-B973)&lt;=0,0,(INT(MAX(0,Inputs!$B$43-B973)/IF(Inputs!$B$38="pvp",15,MAX(0.1,Skills!D6-IF(Skills!E6=TRUE,Inputs!$B$32,0))))+1)),0)</f>
        <v/>
      </c>
      <c r="S942">
        <f>IFERROR(O942/N942,0)</f>
        <v/>
      </c>
      <c r="T942">
        <f>IF(C942,(H942*N942*IF(AND(Inputs!$B$38&lt;&gt;"pvp",Inputs!$B$43&gt;0),((Skills!G6*((R942-1)*IF(Skills!H6&gt;0,Skills!I6/Skills!H6,1)+IF(Skills!H6&gt;0,MIN(Skills!I6,MAX(0,MAX(0,Inputs!$B$43-B973)-((R942-1)*IF(Inputs!$B$38="pvp",15,MAX(0.1,Skills!D6-IF(Skills!E6=TRUE,Inputs!$B$32,0))))))/Skills!H6,1)))/Inputs!$B$43),G942*Q942))*IF(Inputs!$B$38="pvp",1,1+(Inputs!$B$20+0+Skills!P6)/100),0)</f>
        <v/>
      </c>
      <c r="V942">
        <f>IF(C942,(H942*N942*IF(AND(Inputs!$B$38&lt;&gt;"pvp",Inputs!$B$43&gt;0),((Skills!G6*((R942-1)*IF(Skills!H6&gt;0,Skills!I6/Skills!H6,1)+IF(Skills!H6&gt;0,MIN(Skills!I6,MAX(0,MAX(0,Inputs!$B$43-B973)-((R942-1)*IF(Inputs!$B$38="pvp",15,MAX(0.1,Skills!D6-IF(Skills!E6=TRUE,Inputs!$B$32,0))))))/Skills!H6,1)))/Inputs!$B$43),G942*Q942))*IF(Inputs!$B$38="pvp",1,(1+(Inputs!$B$21+Skills!Q6)/100)*(MIN(Skills!R6,Inputs!$B$37))),0)</f>
        <v/>
      </c>
    </row>
    <row r="943">
      <c r="A943">
        <f>Skills!A7</f>
        <v/>
      </c>
      <c r="B943">
        <f>Skills!B7</f>
        <v/>
      </c>
      <c r="C943">
        <f>Inputs!$B$3&gt;=66</f>
        <v/>
      </c>
      <c r="D943">
        <f>IF(Skills!C7=1,60+Inputs!$B$25+Inputs!$B$29,IF(Skills!C7=2,90+Inputs!$B$26+Inputs!$B$29,IF(Skills!C7=3,120+Inputs!$B$27+Inputs!$B$29,MAX(0,(Inputs!$B$3-100)*3)+Inputs!$B$28+Inputs!$B$29)))</f>
        <v/>
      </c>
      <c r="E943">
        <f>INDEX(FactorTable!$B$2:$Y$301, MATCH(ROUND(MIN(300,MAX(1,D943)),0), FactorTable!$A$2:$A$301,0), Skills!M7+1)</f>
        <v/>
      </c>
      <c r="F943">
        <f>IF(Skills!N7=TRUE,(Skills!L7/10)*(E943/1000),Skills!L7/10)+Skills!O7</f>
        <v/>
      </c>
      <c r="G943">
        <f>Skills!G7*IF(Skills!H7&gt;0,Skills!I7/Skills!H7,1)</f>
        <v/>
      </c>
      <c r="H943">
        <f>1-(1-Skills!J7/100)^Skills!K7</f>
        <v/>
      </c>
      <c r="I943" t="inlineStr">
        <is>
          <t>1</t>
        </is>
      </c>
      <c r="J943">
        <f>(((Inputs!$B$6+1)*(1+Inputs!$B$7/100))+(((Inputs!$B$12*(1+Inputs!$B$13/100))-(Inputs!$B$12*(1+Inputs!$B$13/100)))+0.25*(Inputs!$B$14-Inputs!$B$14))*(1+Inputs!$B$7/100))*(F943/100)</f>
        <v/>
      </c>
      <c r="K943">
        <f>J943*(1+((Inputs!$B$12*(1+Inputs!$B$13/100))*0.01+Inputs!$B$14*0.0025)/100)*(1+Inputs!$B$15/100)*(1+Inputs!$B$16/100)*(5000/(6000+Inputs!$B$42*(1-(Inputs!$B$19+0)/100)))*(1+(Inputs!$B$24+((C962=TRUE)*(F962-Calc!F26))+B972)/100)*(1+1.0*IF(C951=TRUE,F951,0)/100)*(1+(IF(Skills!A7="EIGHT_LEGS_EASTON",Inputs!$B$17+((C959=TRUE)*(F959-Calc!F23))+((C963=TRUE)*(F963-Calc!F27)),Inputs!$B$18+0))/100)*((1+(((C953=TRUE)*F953)+((C960=TRUE)*(F960-Calc!F24)))/100)*I943)</f>
        <v/>
      </c>
      <c r="L943">
        <f>K943*(MIN(Inputs!$B$22+((C958=TRUE)*(F958-Calc!F22)),Inputs!$B$23+0)/100+(Inputs!$B$23+0)/100)/2</f>
        <v/>
      </c>
      <c r="M943">
        <f>L943*(1+(Inputs!$B$10+((C961=TRUE)*(F961-Calc!F25))+B971)/100)</f>
        <v/>
      </c>
      <c r="N943">
        <f>L943*(1-MIN((Inputs!$B$9+((C955=TRUE)*(F955-Calc!F19))+B966),100)/100)+M943*(MIN((Inputs!$B$9+((C955=TRUE)*(F955-Calc!F19))+B966),100)/100)</f>
        <v/>
      </c>
      <c r="O943">
        <f>(1-Summary!$B$55)*T943+Summary!$B$55*V943</f>
        <v/>
      </c>
      <c r="P943">
        <f>IF(B976=0,0,O943/B976)</f>
        <v/>
      </c>
      <c r="Q943">
        <f>IFERROR(1/IF(Inputs!$B$38="pvp",15,MAX(0.1,Skills!D7-IF(Skills!E7=TRUE,Inputs!$B$32,0))),0)</f>
        <v/>
      </c>
      <c r="R943">
        <f>IF(AND(Inputs!$B$38&lt;&gt;"pvp",Inputs!$B$43&gt;0),IF(MAX(0,Inputs!$B$43-B973)&lt;=0,0,(INT(MAX(0,Inputs!$B$43-B973)/IF(Inputs!$B$38="pvp",15,MAX(0.1,Skills!D7-IF(Skills!E7=TRUE,Inputs!$B$32,0))))+1)),0)</f>
        <v/>
      </c>
      <c r="S943">
        <f>IFERROR(O943/N943,0)</f>
        <v/>
      </c>
      <c r="T943">
        <f>IF(C943,(H943*N943*IF(AND(Inputs!$B$38&lt;&gt;"pvp",Inputs!$B$43&gt;0),((Skills!G7*((R943-1)*IF(Skills!H7&gt;0,Skills!I7/Skills!H7,1)+IF(Skills!H7&gt;0,MIN(Skills!I7,MAX(0,MAX(0,Inputs!$B$43-B973)-((R943-1)*IF(Inputs!$B$38="pvp",15,MAX(0.1,Skills!D7-IF(Skills!E7=TRUE,Inputs!$B$32,0))))))/Skills!H7,1)))/Inputs!$B$43),G943*Q943))*IF(Inputs!$B$38="pvp",1,1+(Inputs!$B$20+0+Skills!P7)/100),0)</f>
        <v/>
      </c>
      <c r="V943">
        <f>IF(C943,(H943*N943*IF(AND(Inputs!$B$38&lt;&gt;"pvp",Inputs!$B$43&gt;0),((Skills!G7*((R943-1)*IF(Skills!H7&gt;0,Skills!I7/Skills!H7,1)+IF(Skills!H7&gt;0,MIN(Skills!I7,MAX(0,MAX(0,Inputs!$B$43-B973)-((R943-1)*IF(Inputs!$B$38="pvp",15,MAX(0.1,Skills!D7-IF(Skills!E7=TRUE,Inputs!$B$32,0))))))/Skills!H7,1)))/Inputs!$B$43),G943*Q943))*IF(Inputs!$B$38="pvp",1,(1+(Inputs!$B$21+Skills!Q7)/100)*(MIN(Skills!R7,Inputs!$B$37))),0)</f>
        <v/>
      </c>
    </row>
    <row r="944">
      <c r="A944">
        <f>Skills!A8</f>
        <v/>
      </c>
      <c r="B944">
        <f>Skills!B8</f>
        <v/>
      </c>
      <c r="C944">
        <f>Inputs!$B$3&gt;=100</f>
        <v/>
      </c>
      <c r="D944">
        <f>IF(Skills!C8=1,60+Inputs!$B$25+Inputs!$B$29,IF(Skills!C8=2,90+Inputs!$B$26+Inputs!$B$29,IF(Skills!C8=3,120+Inputs!$B$27+Inputs!$B$29,MAX(0,(Inputs!$B$3-100)*3)+Inputs!$B$28+Inputs!$B$29)))</f>
        <v/>
      </c>
      <c r="E944">
        <f>INDEX(FactorTable!$B$2:$Y$301, MATCH(ROUND(MIN(300,MAX(1,D944)),0), FactorTable!$A$2:$A$301,0), Skills!M8+1)</f>
        <v/>
      </c>
      <c r="F944">
        <f>IF(Skills!N8=TRUE,(Skills!L8/10)*(E944/1000),Skills!L8/10)+Skills!O8</f>
        <v/>
      </c>
      <c r="G944">
        <f>Skills!G8*IF(Skills!H8&gt;0,Skills!I8/Skills!H8,1)</f>
        <v/>
      </c>
      <c r="H944">
        <f>1-(1-Skills!J8/100)^Skills!K8</f>
        <v/>
      </c>
      <c r="I944" t="inlineStr">
        <is>
          <t>1</t>
        </is>
      </c>
      <c r="J944">
        <f>(((Inputs!$B$6+1)*(1+Inputs!$B$7/100))+(((Inputs!$B$12*(1+Inputs!$B$13/100))-(Inputs!$B$12*(1+Inputs!$B$13/100)))+0.25*(Inputs!$B$14-Inputs!$B$14))*(1+Inputs!$B$7/100))*(F944/100)</f>
        <v/>
      </c>
      <c r="K944">
        <f>J944*(1+((Inputs!$B$12*(1+Inputs!$B$13/100))*0.01+Inputs!$B$14*0.0025)/100)*(1+Inputs!$B$15/100)*(1+Inputs!$B$16/100)*(5000/(6000+Inputs!$B$42*(1-(Inputs!$B$19+0)/100)))*(1+(Inputs!$B$24+((C962=TRUE)*(F962-Calc!F26))+B972)/100)*(1+(IF(Skills!A8="EIGHT_LEGS_EASTON",Inputs!$B$17+((C959=TRUE)*(F959-Calc!F23))+((C963=TRUE)*(F963-Calc!F27)),Inputs!$B$18+0))/100)*((1+(((C953=TRUE)*F953)+((C960=TRUE)*(F960-Calc!F24)))/100)*I944)</f>
        <v/>
      </c>
      <c r="L944">
        <f>K944*(MIN(Inputs!$B$22+((C958=TRUE)*(F958-Calc!F22)),Inputs!$B$23+0)/100+(Inputs!$B$23+0)/100)/2</f>
        <v/>
      </c>
      <c r="M944">
        <f>L944*(1+(Inputs!$B$10+((C961=TRUE)*(F961-Calc!F25))+B971)/100)</f>
        <v/>
      </c>
      <c r="N944">
        <f>L944*(1-MIN((Inputs!$B$9+((C955=TRUE)*(F955-Calc!F19))+B966),100)/100)+M944*(MIN((Inputs!$B$9+((C955=TRUE)*(F955-Calc!F19))+B966),100)/100)</f>
        <v/>
      </c>
      <c r="O944">
        <f>(1-Summary!$B$55)*T944+Summary!$B$55*V944</f>
        <v/>
      </c>
      <c r="P944">
        <f>IF(B976=0,0,O944/B976)</f>
        <v/>
      </c>
      <c r="Q944">
        <f>IFERROR(1/IF(Inputs!$B$38="pvp",15,MAX(0.1,Skills!D8-IF(Skills!E8=TRUE,Inputs!$B$32,0))),0)</f>
        <v/>
      </c>
      <c r="R944">
        <f>IF(AND(Inputs!$B$38&lt;&gt;"pvp",Inputs!$B$43&gt;0),IF(MAX(0,Inputs!$B$43-B973)&lt;=0,0,(INT(MAX(0,Inputs!$B$43-B973)/IF(Inputs!$B$38="pvp",15,MAX(0.1,Skills!D8-IF(Skills!E8=TRUE,Inputs!$B$32,0))))+1)),0)</f>
        <v/>
      </c>
      <c r="S944">
        <f>IFERROR(O944/N944,0)</f>
        <v/>
      </c>
      <c r="T944">
        <f>IF(C944,(H944*N944*IF(AND(Inputs!$B$38&lt;&gt;"pvp",Inputs!$B$43&gt;0),((Skills!G8*((R944-1)*IF(Skills!H8&gt;0,Skills!I8/Skills!H8,1)+IF(Skills!H8&gt;0,MIN(Skills!I8,MAX(0,MAX(0,Inputs!$B$43-B973)-((R944-1)*IF(Inputs!$B$38="pvp",15,MAX(0.1,Skills!D8-IF(Skills!E8=TRUE,Inputs!$B$32,0))))))/Skills!H8,1)))/Inputs!$B$43),G944*Q944))*IF(Inputs!$B$38="pvp",1,1+(Inputs!$B$20+0+Skills!P8)/100),0)</f>
        <v/>
      </c>
      <c r="V944">
        <f>IF(C944,(H944*N944*IF(AND(Inputs!$B$38&lt;&gt;"pvp",Inputs!$B$43&gt;0),((Skills!G8*((R944-1)*IF(Skills!H8&gt;0,Skills!I8/Skills!H8,1)+IF(Skills!H8&gt;0,MIN(Skills!I8,MAX(0,MAX(0,Inputs!$B$43-B973)-((R944-1)*IF(Inputs!$B$38="pvp",15,MAX(0.1,Skills!D8-IF(Skills!E8=TRUE,Inputs!$B$32,0))))))/Skills!H8,1)))/Inputs!$B$43),G944*Q944))*IF(Inputs!$B$38="pvp",1,(1+(Inputs!$B$21+Skills!Q8)/100)*(MIN(Skills!R8,Inputs!$B$37))),0)</f>
        <v/>
      </c>
    </row>
    <row r="945">
      <c r="A945">
        <f>Skills!A9</f>
        <v/>
      </c>
      <c r="B945">
        <f>Skills!B9</f>
        <v/>
      </c>
      <c r="C945">
        <f>Inputs!$B$3&gt;=103</f>
        <v/>
      </c>
      <c r="D945">
        <f>IF(Skills!C9=1,60+Inputs!$B$25+Inputs!$B$29,IF(Skills!C9=2,90+Inputs!$B$26+Inputs!$B$29,IF(Skills!C9=3,120+Inputs!$B$27+Inputs!$B$29,MAX(0,(Inputs!$B$3-100)*3)+Inputs!$B$28+Inputs!$B$29)))</f>
        <v/>
      </c>
      <c r="E945">
        <f>INDEX(FactorTable!$B$2:$Y$301, MATCH(ROUND(MIN(300,MAX(1,D945)),0), FactorTable!$A$2:$A$301,0), Skills!M9+1)</f>
        <v/>
      </c>
      <c r="F945">
        <f>IF(Skills!N9=TRUE,(Skills!L9/10)*(E945/1000),Skills!L9/10)+Skills!O9</f>
        <v/>
      </c>
      <c r="G945">
        <f>Skills!G9*IF(Skills!H9&gt;0,Skills!I9/Skills!H9,1)</f>
        <v/>
      </c>
      <c r="H945">
        <f>1-(1-Skills!J9/100)^Skills!K9</f>
        <v/>
      </c>
      <c r="I945" t="inlineStr">
        <is>
          <t>1</t>
        </is>
      </c>
      <c r="J945">
        <f>(((Inputs!$B$6+1)*(1+Inputs!$B$7/100))+(((Inputs!$B$12*(1+Inputs!$B$13/100))-(Inputs!$B$12*(1+Inputs!$B$13/100)))+0.25*(Inputs!$B$14-Inputs!$B$14))*(1+Inputs!$B$7/100))*(F945/100)</f>
        <v/>
      </c>
      <c r="K945">
        <f>J945*(1+((Inputs!$B$12*(1+Inputs!$B$13/100))*0.01+Inputs!$B$14*0.0025)/100)*(1+Inputs!$B$15/100)*(1+Inputs!$B$16/100)*(5000/(6000+Inputs!$B$42*(1-(Inputs!$B$19+0)/100)))*(1+(Inputs!$B$24+((C962=TRUE)*(F962-Calc!F26))+B972)/100)*(1+(IF(Skills!A9="EIGHT_LEGS_EASTON",Inputs!$B$17+((C959=TRUE)*(F959-Calc!F23))+((C963=TRUE)*(F963-Calc!F27)),Inputs!$B$18+0))/100)*((1+(((C953=TRUE)*F953)+((C960=TRUE)*(F960-Calc!F24)))/100)*I945)</f>
        <v/>
      </c>
      <c r="L945">
        <f>K945*(MIN(Inputs!$B$22+((C958=TRUE)*(F958-Calc!F22)),Inputs!$B$23+0)/100+(Inputs!$B$23+0)/100)/2</f>
        <v/>
      </c>
      <c r="M945">
        <f>L945*(1+(Inputs!$B$10+((C961=TRUE)*(F961-Calc!F25))+B971)/100)</f>
        <v/>
      </c>
      <c r="N945">
        <f>L945*(1-MIN((Inputs!$B$9+((C955=TRUE)*(F955-Calc!F19))+B966),100)/100)+M945*(MIN((Inputs!$B$9+((C955=TRUE)*(F955-Calc!F19))+B966),100)/100)</f>
        <v/>
      </c>
      <c r="O945">
        <f>(1-Summary!$B$55)*T945+Summary!$B$55*V945</f>
        <v/>
      </c>
      <c r="P945">
        <f>IF(B976=0,0,O945/B976)</f>
        <v/>
      </c>
      <c r="Q945">
        <f>IFERROR(1/IF(Inputs!$B$38="pvp",15,MAX(0.1,Skills!D9-IF(Skills!E9=TRUE,Inputs!$B$32,0))),0)</f>
        <v/>
      </c>
      <c r="R945">
        <f>IF(AND(Inputs!$B$38&lt;&gt;"pvp",Inputs!$B$43&gt;0),IF(MAX(0,Inputs!$B$43-B973)&lt;=0,0,(INT(MAX(0,Inputs!$B$43-B973)/IF(Inputs!$B$38="pvp",15,MAX(0.1,Skills!D9-IF(Skills!E9=TRUE,Inputs!$B$32,0))))+1)),0)</f>
        <v/>
      </c>
      <c r="S945">
        <f>IFERROR(O945/N945,0)</f>
        <v/>
      </c>
      <c r="T945">
        <f>IF(C945,(H945*N945*IF(AND(Inputs!$B$38&lt;&gt;"pvp",Inputs!$B$43&gt;0),((Skills!G9*((R945-1)*IF(Skills!H9&gt;0,Skills!I9/Skills!H9,1)+IF(Skills!H9&gt;0,MIN(Skills!I9,MAX(0,MAX(0,Inputs!$B$43-B973)-((R945-1)*IF(Inputs!$B$38="pvp",15,MAX(0.1,Skills!D9-IF(Skills!E9=TRUE,Inputs!$B$32,0))))))/Skills!H9,1)))/Inputs!$B$43),G945*Q945))*IF(Inputs!$B$38="pvp",1,1+(Inputs!$B$20+0+Skills!P9)/100),0)</f>
        <v/>
      </c>
      <c r="V945">
        <f>IF(C945,(H945*N945*IF(AND(Inputs!$B$38&lt;&gt;"pvp",Inputs!$B$43&gt;0),((Skills!G9*((R945-1)*IF(Skills!H9&gt;0,Skills!I9/Skills!H9,1)+IF(Skills!H9&gt;0,MIN(Skills!I9,MAX(0,MAX(0,Inputs!$B$43-B973)-((R945-1)*IF(Inputs!$B$38="pvp",15,MAX(0.1,Skills!D9-IF(Skills!E9=TRUE,Inputs!$B$32,0))))))/Skills!H9,1)))/Inputs!$B$43),G945*Q945))*IF(Inputs!$B$38="pvp",1,(1+(Inputs!$B$21+Skills!Q9)/100)*(MIN(Skills!R9,Inputs!$B$37))),0)</f>
        <v/>
      </c>
    </row>
    <row r="946">
      <c r="A946">
        <f>Skills!A10</f>
        <v/>
      </c>
      <c r="B946">
        <f>Skills!B10</f>
        <v/>
      </c>
      <c r="C946">
        <f>Inputs!$B$3&gt;=113</f>
        <v/>
      </c>
      <c r="D946">
        <f>IF(Skills!C10=1,60+Inputs!$B$25+Inputs!$B$29,IF(Skills!C10=2,90+Inputs!$B$26+Inputs!$B$29,IF(Skills!C10=3,120+Inputs!$B$27+Inputs!$B$29,MAX(0,(Inputs!$B$3-100)*3)+Inputs!$B$28+Inputs!$B$29)))</f>
        <v/>
      </c>
      <c r="E946">
        <f>INDEX(FactorTable!$B$2:$Y$301, MATCH(ROUND(MIN(300,MAX(1,D946)),0), FactorTable!$A$2:$A$301,0), Skills!M10+1)</f>
        <v/>
      </c>
      <c r="F946">
        <f>IF(Skills!N10=TRUE,(Skills!L10/10)*(E946/1000),Skills!L10/10)+Skills!O10</f>
        <v/>
      </c>
      <c r="G946">
        <f>Skills!G10*IF(Skills!H10&gt;0,Skills!I10/Skills!H10,1)</f>
        <v/>
      </c>
      <c r="H946">
        <f>1-(1-Skills!J10/100)^Skills!K10</f>
        <v/>
      </c>
      <c r="I946" t="inlineStr">
        <is>
          <t>1</t>
        </is>
      </c>
      <c r="J946">
        <f>(((Inputs!$B$6+1)*(1+Inputs!$B$7/100))+(((Inputs!$B$12*(1+Inputs!$B$13/100))-(Inputs!$B$12*(1+Inputs!$B$13/100)))+0.25*(Inputs!$B$14-Inputs!$B$14))*(1+Inputs!$B$7/100))*(F946/100)</f>
        <v/>
      </c>
      <c r="K946">
        <f>J946*(1+((Inputs!$B$12*(1+Inputs!$B$13/100))*0.01+Inputs!$B$14*0.0025)/100)*(1+Inputs!$B$15/100)*(1+Inputs!$B$16/100)*(5000/(6000+Inputs!$B$42*(1-(Inputs!$B$19+0)/100)))*(1+(Inputs!$B$24+((C962=TRUE)*(F962-Calc!F26))+B972)/100)*(1+(IF(Skills!A10="EIGHT_LEGS_EASTON",Inputs!$B$17+((C959=TRUE)*(F959-Calc!F23))+((C963=TRUE)*(F963-Calc!F27)),Inputs!$B$18+0))/100)*((1+(((C953=TRUE)*F953)+((C960=TRUE)*(F960-Calc!F24)))/100)*I946)</f>
        <v/>
      </c>
      <c r="L946">
        <f>K946*(MIN(Inputs!$B$22+((C958=TRUE)*(F958-Calc!F22)),Inputs!$B$23+0)/100+(Inputs!$B$23+0)/100)/2</f>
        <v/>
      </c>
      <c r="M946">
        <f>L946*(1+(Inputs!$B$10+((C961=TRUE)*(F961-Calc!F25))+B971)/100)</f>
        <v/>
      </c>
      <c r="N946">
        <f>L946*(1-MIN((Inputs!$B$9+((C955=TRUE)*(F955-Calc!F19))+B966),100)/100)+M946*(MIN((Inputs!$B$9+((C955=TRUE)*(F955-Calc!F19))+B966),100)/100)</f>
        <v/>
      </c>
      <c r="O946">
        <f>(1-Summary!$B$55)*T946+Summary!$B$55*V946</f>
        <v/>
      </c>
      <c r="P946">
        <f>IF(B976=0,0,O946/B976)</f>
        <v/>
      </c>
      <c r="Q946">
        <f>IFERROR(1/IF(Inputs!$B$38="pvp",15,MAX(0.1,Skills!D10-IF(Skills!E10=TRUE,Inputs!$B$32,0))),0)</f>
        <v/>
      </c>
      <c r="R946">
        <f>IF(AND(Inputs!$B$38&lt;&gt;"pvp",Inputs!$B$43&gt;0),IF(MAX(0,Inputs!$B$43-B973)&lt;=0,0,(INT(MAX(0,Inputs!$B$43-B973)/IF(Inputs!$B$38="pvp",15,MAX(0.1,Skills!D10-IF(Skills!E10=TRUE,Inputs!$B$32,0))))+1)),0)</f>
        <v/>
      </c>
      <c r="S946">
        <f>IFERROR(O946/N946,0)</f>
        <v/>
      </c>
      <c r="T946">
        <f>IF(C946,(H946*N946*IF(AND(Inputs!$B$38&lt;&gt;"pvp",Inputs!$B$43&gt;0),((Skills!G10*((R946-1)*IF(Skills!H10&gt;0,Skills!I10/Skills!H10,1)+IF(Skills!H10&gt;0,MIN(Skills!I10,MAX(0,MAX(0,Inputs!$B$43-B973)-((R946-1)*IF(Inputs!$B$38="pvp",15,MAX(0.1,Skills!D10-IF(Skills!E10=TRUE,Inputs!$B$32,0))))))/Skills!H10,1)))/Inputs!$B$43),G946*Q946))*IF(Inputs!$B$38="pvp",1,1+(Inputs!$B$20+0+Skills!P10)/100),0)</f>
        <v/>
      </c>
      <c r="V946">
        <f>IF(C946,(H946*N946*IF(AND(Inputs!$B$38&lt;&gt;"pvp",Inputs!$B$43&gt;0),((Skills!G10*((R946-1)*IF(Skills!H10&gt;0,Skills!I10/Skills!H10,1)+IF(Skills!H10&gt;0,MIN(Skills!I10,MAX(0,MAX(0,Inputs!$B$43-B973)-((R946-1)*IF(Inputs!$B$38="pvp",15,MAX(0.1,Skills!D10-IF(Skills!E10=TRUE,Inputs!$B$32,0))))))/Skills!H10,1)))/Inputs!$B$43),G946*Q946))*IF(Inputs!$B$38="pvp",1,(1+(Inputs!$B$21+Skills!Q10)/100)*(MIN(Skills!R10,Inputs!$B$37))),0)</f>
        <v/>
      </c>
    </row>
    <row r="947">
      <c r="A947">
        <f>Skills!A11</f>
        <v/>
      </c>
      <c r="B947">
        <f>Skills!B11</f>
        <v/>
      </c>
      <c r="C947">
        <f>Inputs!$B$3&gt;=107</f>
        <v/>
      </c>
      <c r="D947">
        <f>IF(Skills!C11=1,60+Inputs!$B$25+Inputs!$B$29,IF(Skills!C11=2,90+Inputs!$B$26+Inputs!$B$29,IF(Skills!C11=3,120+Inputs!$B$27+Inputs!$B$29,MAX(0,(Inputs!$B$3-100)*3)+Inputs!$B$28+Inputs!$B$29)))</f>
        <v/>
      </c>
      <c r="E947">
        <f>INDEX(FactorTable!$B$2:$Y$301, MATCH(ROUND(MIN(300,MAX(1,D947)),0), FactorTable!$A$2:$A$301,0), Skills!M11+1)</f>
        <v/>
      </c>
      <c r="F947">
        <f>IF(Skills!N11=TRUE,(Skills!L11/10)*(E947/1000),Skills!L11/10)+Skills!O11</f>
        <v/>
      </c>
      <c r="G947">
        <f>Skills!G11*IF(Skills!H11&gt;0,Skills!I11/Skills!H11,1)</f>
        <v/>
      </c>
      <c r="H947">
        <f>1-(1-Skills!J11/100)^Skills!K11</f>
        <v/>
      </c>
      <c r="I947" t="inlineStr">
        <is>
          <t>1</t>
        </is>
      </c>
      <c r="J947">
        <f>(((Inputs!$B$6+1)*(1+Inputs!$B$7/100))+(((Inputs!$B$12*(1+Inputs!$B$13/100))-(Inputs!$B$12*(1+Inputs!$B$13/100)))+0.25*(Inputs!$B$14-Inputs!$B$14))*(1+Inputs!$B$7/100))*(F947/100)</f>
        <v/>
      </c>
      <c r="K947">
        <f>J947*(1+((Inputs!$B$12*(1+Inputs!$B$13/100))*0.01+Inputs!$B$14*0.0025)/100)*(1+Inputs!$B$15/100)*(1+Inputs!$B$16/100)*(5000/(6000+Inputs!$B$42*(1-(Inputs!$B$19+0)/100)))*(1+(Inputs!$B$24+((C962=TRUE)*(F962-Calc!F26))+B972)/100)*(1+(IF(Skills!A11="EIGHT_LEGS_EASTON",Inputs!$B$17+((C959=TRUE)*(F959-Calc!F23))+((C963=TRUE)*(F963-Calc!F27)),Inputs!$B$18+0))/100)*((1+(((C953=TRUE)*F953)+((C960=TRUE)*(F960-Calc!F24)))/100)*I947)</f>
        <v/>
      </c>
      <c r="L947">
        <f>K947*(MIN(Inputs!$B$22+((C958=TRUE)*(F958-Calc!F22)),Inputs!$B$23+0)/100+(Inputs!$B$23+0)/100)/2</f>
        <v/>
      </c>
      <c r="M947">
        <f>L947*(1+(Inputs!$B$10+((C961=TRUE)*(F961-Calc!F25))+B971)/100)</f>
        <v/>
      </c>
      <c r="N947">
        <f>L947*(1-MIN((Inputs!$B$9+((C955=TRUE)*(F955-Calc!F19))+B966),100)/100)+M947*(MIN((Inputs!$B$9+((C955=TRUE)*(F955-Calc!F19))+B966),100)/100)</f>
        <v/>
      </c>
      <c r="O947">
        <f>(1-Summary!$B$55)*T947+Summary!$B$55*V947</f>
        <v/>
      </c>
      <c r="P947">
        <f>IF(B976=0,0,O947/B976)</f>
        <v/>
      </c>
      <c r="Q947">
        <f>IFERROR(1/IF(Inputs!$B$38="pvp",15,MAX(0.1,Skills!D11-IF(Skills!E11=TRUE,Inputs!$B$32,0))),0)</f>
        <v/>
      </c>
      <c r="R947">
        <f>IF(AND(Inputs!$B$38&lt;&gt;"pvp",Inputs!$B$43&gt;0),IF(MAX(0,Inputs!$B$43-B973)&lt;=0,0,(INT(MAX(0,Inputs!$B$43-B973)/IF(Inputs!$B$38="pvp",15,MAX(0.1,Skills!D11-IF(Skills!E11=TRUE,Inputs!$B$32,0))))+1)),0)</f>
        <v/>
      </c>
      <c r="S947">
        <f>IFERROR(O947/N947,0)</f>
        <v/>
      </c>
      <c r="T947">
        <f>IF(C947,(H947*N947*IF(AND(Inputs!$B$38&lt;&gt;"pvp",Inputs!$B$43&gt;0),((Skills!G11*((R947-1)*IF(Skills!H11&gt;0,Skills!I11/Skills!H11,1)+IF(Skills!H11&gt;0,MIN(Skills!I11,MAX(0,MAX(0,Inputs!$B$43-B973)-((R947-1)*IF(Inputs!$B$38="pvp",15,MAX(0.1,Skills!D11-IF(Skills!E11=TRUE,Inputs!$B$32,0))))))/Skills!H11,1)))/Inputs!$B$43),G947*Q947))*IF(Inputs!$B$38="pvp",1,1+(Inputs!$B$20+0+Skills!P11)/100),0)</f>
        <v/>
      </c>
      <c r="V947">
        <f>IF(C947,(H947*N947*IF(AND(Inputs!$B$38&lt;&gt;"pvp",Inputs!$B$43&gt;0),((Skills!G11*((R947-1)*IF(Skills!H11&gt;0,Skills!I11/Skills!H11,1)+IF(Skills!H11&gt;0,MIN(Skills!I11,MAX(0,MAX(0,Inputs!$B$43-B973)-((R947-1)*IF(Inputs!$B$38="pvp",15,MAX(0.1,Skills!D11-IF(Skills!E11=TRUE,Inputs!$B$32,0))))))/Skills!H11,1)))/Inputs!$B$43),G947*Q947))*IF(Inputs!$B$38="pvp",1,(1+(Inputs!$B$21+Skills!Q11)/100)*(MIN(Skills!R11,Inputs!$B$37))),0)</f>
        <v/>
      </c>
    </row>
    <row r="948">
      <c r="A948">
        <f>Skills!A12</f>
        <v/>
      </c>
      <c r="B948">
        <f>Skills!B12</f>
        <v/>
      </c>
      <c r="C948">
        <f>Inputs!$B$3&gt;=110</f>
        <v/>
      </c>
      <c r="D948">
        <f>IF(Skills!C12=1,60+Inputs!$B$25+Inputs!$B$29,IF(Skills!C12=2,90+Inputs!$B$26+Inputs!$B$29,IF(Skills!C12=3,120+Inputs!$B$27+Inputs!$B$29,MAX(0,(Inputs!$B$3-100)*3)+Inputs!$B$28+Inputs!$B$29)))</f>
        <v/>
      </c>
      <c r="E948">
        <f>INDEX(FactorTable!$B$2:$Y$301, MATCH(ROUND(MIN(300,MAX(1,D948)),0), FactorTable!$A$2:$A$301,0), Skills!M12+1)</f>
        <v/>
      </c>
      <c r="F948">
        <f>IF(Skills!N12=TRUE,(Skills!L12/10)*(E948/1000),Skills!L12/10)+Skills!O12</f>
        <v/>
      </c>
      <c r="G948">
        <f>Skills!G12*IF(Skills!H12&gt;0,Skills!I12/Skills!H12,1)</f>
        <v/>
      </c>
      <c r="H948">
        <f>1-(1-Skills!J12/100)^Skills!K12</f>
        <v/>
      </c>
      <c r="I948" t="inlineStr">
        <is>
          <t>1</t>
        </is>
      </c>
      <c r="J948">
        <f>(((Inputs!$B$6+1)*(1+Inputs!$B$7/100))+(((Inputs!$B$12*(1+Inputs!$B$13/100))-(Inputs!$B$12*(1+Inputs!$B$13/100)))+0.25*(Inputs!$B$14-Inputs!$B$14))*(1+Inputs!$B$7/100))*(F948/100)</f>
        <v/>
      </c>
      <c r="K948">
        <f>J948*(1+((Inputs!$B$12*(1+Inputs!$B$13/100))*0.01+Inputs!$B$14*0.0025)/100)*(1+Inputs!$B$15/100)*(1+Inputs!$B$16/100)*(5000/(6000+Inputs!$B$42*(1-(Inputs!$B$19+0)/100)))*(1+(Inputs!$B$24+((C962=TRUE)*(F962-Calc!F26))+B972)/100)*(1+(IF(Skills!A12="EIGHT_LEGS_EASTON",Inputs!$B$17+((C959=TRUE)*(F959-Calc!F23))+((C963=TRUE)*(F963-Calc!F27)),Inputs!$B$18+0))/100)*((1+(((C953=TRUE)*F953)+((C960=TRUE)*(F960-Calc!F24)))/100)*I948)</f>
        <v/>
      </c>
      <c r="L948">
        <f>K948*(MIN(Inputs!$B$22+((C958=TRUE)*(F958-Calc!F22)),Inputs!$B$23+0)/100+(Inputs!$B$23+0)/100)/2</f>
        <v/>
      </c>
      <c r="M948">
        <f>L948*(1+(Inputs!$B$10+((C961=TRUE)*(F961-Calc!F25))+B971)/100)</f>
        <v/>
      </c>
      <c r="N948">
        <f>L948*(1-MIN((Inputs!$B$9+((C955=TRUE)*(F955-Calc!F19))+B966),100)/100)+M948*(MIN((Inputs!$B$9+((C955=TRUE)*(F955-Calc!F19))+B966),100)/100)</f>
        <v/>
      </c>
      <c r="O948">
        <f>(1-Summary!$B$55)*T948+Summary!$B$55*V948</f>
        <v/>
      </c>
      <c r="P948">
        <f>IF(B976=0,0,O948/B976)</f>
        <v/>
      </c>
      <c r="Q948">
        <f>IFERROR(1/IF(Inputs!$B$38="pvp",15,MAX(0.1,Skills!D12-IF(Skills!E12=TRUE,Inputs!$B$32,0))),0)</f>
        <v/>
      </c>
      <c r="R948">
        <f>IF(AND(Inputs!$B$38&lt;&gt;"pvp",Inputs!$B$43&gt;0),IF(MAX(0,Inputs!$B$43-B973)&lt;=0,0,(INT(MAX(0,Inputs!$B$43-B973)/IF(Inputs!$B$38="pvp",15,MAX(0.1,Skills!D12-IF(Skills!E12=TRUE,Inputs!$B$32,0))))+1)),0)</f>
        <v/>
      </c>
      <c r="S948">
        <f>IFERROR(O948/N948,0)</f>
        <v/>
      </c>
      <c r="T948">
        <f>IF(C948,(H948*N948*IF(AND(Inputs!$B$38&lt;&gt;"pvp",Inputs!$B$43&gt;0),((Skills!G12*((R948-1)*IF(Skills!H12&gt;0,Skills!I12/Skills!H12,1)+IF(Skills!H12&gt;0,MIN(Skills!I12,MAX(0,MAX(0,Inputs!$B$43-B973)-((R948-1)*IF(Inputs!$B$38="pvp",15,MAX(0.1,Skills!D12-IF(Skills!E12=TRUE,Inputs!$B$32,0))))))/Skills!H12,1)))/Inputs!$B$43),G948*Q948))*IF(Inputs!$B$38="pvp",1,1+(Inputs!$B$20+0+Skills!P12)/100),0)</f>
        <v/>
      </c>
      <c r="V948">
        <f>IF(C948,(H948*N948*IF(AND(Inputs!$B$38&lt;&gt;"pvp",Inputs!$B$43&gt;0),((Skills!G12*((R948-1)*IF(Skills!H12&gt;0,Skills!I12/Skills!H12,1)+IF(Skills!H12&gt;0,MIN(Skills!I12,MAX(0,MAX(0,Inputs!$B$43-B973)-((R948-1)*IF(Inputs!$B$38="pvp",15,MAX(0.1,Skills!D12-IF(Skills!E12=TRUE,Inputs!$B$32,0))))))/Skills!H12,1)))/Inputs!$B$43),G948*Q948))*IF(Inputs!$B$38="pvp",1,(1+(Inputs!$B$21+Skills!Q12)/100)*(MIN(Skills!R12,Inputs!$B$37))),0)</f>
        <v/>
      </c>
    </row>
    <row r="949">
      <c r="A949">
        <f>Skills!A13</f>
        <v/>
      </c>
      <c r="B949">
        <f>Skills!B13</f>
        <v/>
      </c>
      <c r="C949">
        <f>Inputs!$B$3&gt;=110</f>
        <v/>
      </c>
      <c r="D949">
        <f>IF(Skills!C13=1,60+Inputs!$B$25+Inputs!$B$29,IF(Skills!C13=2,90+Inputs!$B$26+Inputs!$B$29,IF(Skills!C13=3,120+Inputs!$B$27+Inputs!$B$29,MAX(0,(Inputs!$B$3-100)*3)+Inputs!$B$28+Inputs!$B$29)))</f>
        <v/>
      </c>
      <c r="E949">
        <f>INDEX(FactorTable!$B$2:$Y$301, MATCH(ROUND(MIN(300,MAX(1,D949)),0), FactorTable!$A$2:$A$301,0), Skills!M13+1)</f>
        <v/>
      </c>
      <c r="F949">
        <f>IF(Skills!N13=TRUE,(Skills!L13/10)*(E949/1000),Skills!L13/10)+Skills!O13</f>
        <v/>
      </c>
      <c r="G949">
        <f>Skills!G13*IF(Skills!H13&gt;0,Skills!I13/Skills!H13,1)</f>
        <v/>
      </c>
      <c r="H949">
        <f>1-(1-Skills!J13/100)^Skills!K13</f>
        <v/>
      </c>
      <c r="I949" t="inlineStr">
        <is>
          <t>1</t>
        </is>
      </c>
      <c r="J949">
        <f>(((Inputs!$B$6+1)*(1+Inputs!$B$7/100))+(((Inputs!$B$12*(1+Inputs!$B$13/100))-(Inputs!$B$12*(1+Inputs!$B$13/100)))+0.25*(Inputs!$B$14-Inputs!$B$14))*(1+Inputs!$B$7/100))*(F949/100)</f>
        <v/>
      </c>
      <c r="K949">
        <f>J949*(1+((Inputs!$B$12*(1+Inputs!$B$13/100))*0.01+Inputs!$B$14*0.0025)/100)*(1+Inputs!$B$15/100)*(1+Inputs!$B$16/100)*(5000/(6000+Inputs!$B$42*(1-(Inputs!$B$19+0)/100)))*(1+(Inputs!$B$24+((C962=TRUE)*(F962-Calc!F26))+B972)/100)*(1+(IF(Skills!A13="EIGHT_LEGS_EASTON",Inputs!$B$17+((C959=TRUE)*(F959-Calc!F23))+((C963=TRUE)*(F963-Calc!F27)),Inputs!$B$18+0))/100)*((1+(((C953=TRUE)*F953)+((C960=TRUE)*(F960-Calc!F24)))/100)*I949)</f>
        <v/>
      </c>
      <c r="L949">
        <f>K949*(MIN(Inputs!$B$22+((C958=TRUE)*(F958-Calc!F22)),Inputs!$B$23+0)/100+(Inputs!$B$23+0)/100)/2</f>
        <v/>
      </c>
      <c r="M949">
        <f>L949*(1+(Inputs!$B$10+((C961=TRUE)*(F961-Calc!F25))+B971)/100)</f>
        <v/>
      </c>
      <c r="N949">
        <f>L949*(1-MIN((Inputs!$B$9+((C955=TRUE)*(F955-Calc!F19))+B966),100)/100)+M949*(MIN((Inputs!$B$9+((C955=TRUE)*(F955-Calc!F19))+B966),100)/100)</f>
        <v/>
      </c>
      <c r="O949">
        <f>(1-Summary!$B$55)*T949+Summary!$B$55*V949</f>
        <v/>
      </c>
      <c r="P949">
        <f>IF(B976=0,0,O949/B976)</f>
        <v/>
      </c>
      <c r="Q949">
        <f>IFERROR(1/IF(Inputs!$B$38="pvp",15,MAX(0.1,Skills!D13-IF(Skills!E13=TRUE,Inputs!$B$32,0))),0)</f>
        <v/>
      </c>
      <c r="R949">
        <f>IF(AND(Inputs!$B$38&lt;&gt;"pvp",Inputs!$B$43&gt;0),IF(MAX(0,Inputs!$B$43-B973)&lt;=0,0,(INT(MAX(0,Inputs!$B$43-B973)/IF(Inputs!$B$38="pvp",15,MAX(0.1,Skills!D13-IF(Skills!E13=TRUE,Inputs!$B$32,0))))+1)),0)</f>
        <v/>
      </c>
      <c r="S949">
        <f>IFERROR(O949/N949,0)</f>
        <v/>
      </c>
      <c r="T949">
        <f>IF(C949,(H949*N949*IF(AND(Inputs!$B$38&lt;&gt;"pvp",Inputs!$B$43&gt;0),((Skills!G13*((R949-1)*IF(Skills!H13&gt;0,Skills!I13/Skills!H13,1)+IF(Skills!H13&gt;0,MIN(Skills!I13,MAX(0,MAX(0,Inputs!$B$43-B973)-((R949-1)*IF(Inputs!$B$38="pvp",15,MAX(0.1,Skills!D13-IF(Skills!E13=TRUE,Inputs!$B$32,0))))))/Skills!H13,1)))/Inputs!$B$43),G949*Q949))*IF(Inputs!$B$38="pvp",1,1+(Inputs!$B$20+0+Skills!P13)/100),0)</f>
        <v/>
      </c>
      <c r="V949">
        <f>IF(C949,(H949*N949*IF(AND(Inputs!$B$38&lt;&gt;"pvp",Inputs!$B$43&gt;0),((Skills!G13*((R949-1)*IF(Skills!H13&gt;0,Skills!I13/Skills!H13,1)+IF(Skills!H13&gt;0,MIN(Skills!I13,MAX(0,MAX(0,Inputs!$B$43-B973)-((R949-1)*IF(Inputs!$B$38="pvp",15,MAX(0.1,Skills!D13-IF(Skills!E13=TRUE,Inputs!$B$32,0))))))/Skills!H13,1)))/Inputs!$B$43),G949*Q949))*IF(Inputs!$B$38="pvp",1,(1+(Inputs!$B$21+Skills!Q13)/100)*(MIN(Skills!R13,Inputs!$B$37))),0)</f>
        <v/>
      </c>
    </row>
    <row r="950">
      <c r="A950">
        <f>Skills!A14</f>
        <v/>
      </c>
      <c r="B950">
        <f>Skills!B14</f>
        <v/>
      </c>
      <c r="C950">
        <f>Inputs!$B$3&gt;=125</f>
        <v/>
      </c>
      <c r="D950">
        <f>IF(Skills!C14=1,60+Inputs!$B$25+Inputs!$B$29,IF(Skills!C14=2,90+Inputs!$B$26+Inputs!$B$29,IF(Skills!C14=3,120+Inputs!$B$27+Inputs!$B$29,MAX(0,(Inputs!$B$3-100)*3)+Inputs!$B$28+Inputs!$B$29)))</f>
        <v/>
      </c>
      <c r="E950">
        <f>INDEX(FactorTable!$B$2:$Y$301, MATCH(ROUND(MIN(300,MAX(1,D950)),0), FactorTable!$A$2:$A$301,0), Skills!M14+1)</f>
        <v/>
      </c>
      <c r="F950">
        <f>IF(Skills!N14=TRUE,(Skills!L14/10)*(E950/1000),Skills!L14/10)+Skills!O14</f>
        <v/>
      </c>
      <c r="G950">
        <f>Skills!G14*IF(Skills!H14&gt;0,Skills!I14/Skills!H14,1)</f>
        <v/>
      </c>
      <c r="H950">
        <f>1-(1-Skills!J14/100)^Skills!K14</f>
        <v/>
      </c>
      <c r="I950" t="inlineStr">
        <is>
          <t>1</t>
        </is>
      </c>
      <c r="J950">
        <f>(((Inputs!$B$6+1)*(1+Inputs!$B$7/100))+(((Inputs!$B$12*(1+Inputs!$B$13/100))-(Inputs!$B$12*(1+Inputs!$B$13/100)))+0.25*(Inputs!$B$14-Inputs!$B$14))*(1+Inputs!$B$7/100))*(F950/100)</f>
        <v/>
      </c>
      <c r="K950">
        <f>J950*(1+((Inputs!$B$12*(1+Inputs!$B$13/100))*0.01+Inputs!$B$14*0.0025)/100)*(1+Inputs!$B$15/100)*(1+Inputs!$B$16/100)*(5000/(6000+Inputs!$B$42*(1-(Inputs!$B$19+0)/100)))*(1+(Inputs!$B$24+((C962=TRUE)*(F962-Calc!F26))+B972)/100)*(1+(IF(Skills!A14="EIGHT_LEGS_EASTON",Inputs!$B$17+((C959=TRUE)*(F959-Calc!F23))+((C963=TRUE)*(F963-Calc!F27)),Inputs!$B$18+0))/100)*((1+(((C953=TRUE)*F953)+((C960=TRUE)*(F960-Calc!F24)))/100)*I950)</f>
        <v/>
      </c>
      <c r="L950">
        <f>K950*(MIN(Inputs!$B$22+((C958=TRUE)*(F958-Calc!F22)),Inputs!$B$23+0)/100+(Inputs!$B$23+0)/100)/2</f>
        <v/>
      </c>
      <c r="M950">
        <f>L950*(1+(Inputs!$B$10+((C961=TRUE)*(F961-Calc!F25))+B971)/100)</f>
        <v/>
      </c>
      <c r="N950">
        <f>L950*(1-MIN((Inputs!$B$9+((C955=TRUE)*(F955-Calc!F19))+B966),100)/100)+M950*(MIN((Inputs!$B$9+((C955=TRUE)*(F955-Calc!F19))+B966),100)/100)</f>
        <v/>
      </c>
      <c r="O950">
        <f>(1-Summary!$B$55)*T950+Summary!$B$55*V950</f>
        <v/>
      </c>
      <c r="P950">
        <f>IF(B976=0,0,O950/B976)</f>
        <v/>
      </c>
      <c r="Q950" t="n">
        <v>0</v>
      </c>
      <c r="R950" t="n">
        <v>0</v>
      </c>
      <c r="S950">
        <f>IFERROR(O950/N950,0)</f>
        <v/>
      </c>
      <c r="T950">
        <f>IF(C950,(H950*N950*(B970+IF(AND(Inputs!$B$38&lt;&gt;"pvp",Inputs!$B$43&gt;0),((Skills!G8*((R944-1)*IF(Skills!H8&gt;0,Skills!I8/Skills!H8,1)+IF(Skills!H8&gt;0,MIN(Skills!I8,MAX(0,MAX(0,Inputs!$B$43-B973)-((R944-1)*IF(Inputs!$B$38="pvp",15,MAX(0.1,Skills!D8-IF(Skills!E8=TRUE,Inputs!$B$32,0))))))/Skills!H8,1)))/Inputs!$B$43),G944*Q944)+IF(AND(Inputs!$B$38&lt;&gt;"pvp",Inputs!$B$43&gt;0),((Skills!G11*((R947-1)*IF(Skills!H11&gt;0,Skills!I11/Skills!H11,1)+IF(Skills!H11&gt;0,MIN(Skills!I11,MAX(0,MAX(0,Inputs!$B$43-B973)-((R947-1)*IF(Inputs!$B$38="pvp",15,MAX(0.1,Skills!D11-IF(Skills!E11=TRUE,Inputs!$B$32,0))))))/Skills!H11,1)))/Inputs!$B$43),G947*Q947)))*IF(Inputs!$B$38="pvp",1,1+(Inputs!$B$20+0+Skills!P14)/100),0)</f>
        <v/>
      </c>
      <c r="V950">
        <f>IF(C950,(H950*N950*(B970+IF(AND(Inputs!$B$38&lt;&gt;"pvp",Inputs!$B$43&gt;0),((Skills!G8*((R944-1)*IF(Skills!H8&gt;0,Skills!I8/Skills!H8,1)+IF(Skills!H8&gt;0,MIN(Skills!I8,MAX(0,MAX(0,Inputs!$B$43-B973)-((R944-1)*IF(Inputs!$B$38="pvp",15,MAX(0.1,Skills!D8-IF(Skills!E8=TRUE,Inputs!$B$32,0))))))/Skills!H8,1)))/Inputs!$B$43),G944*Q944)+IF(AND(Inputs!$B$38&lt;&gt;"pvp",Inputs!$B$43&gt;0),((Skills!G11*((R947-1)*IF(Skills!H11&gt;0,Skills!I11/Skills!H11,1)+IF(Skills!H11&gt;0,MIN(Skills!I11,MAX(0,MAX(0,Inputs!$B$43-B973)-((R947-1)*IF(Inputs!$B$38="pvp",15,MAX(0.1,Skills!D11-IF(Skills!E11=TRUE,Inputs!$B$32,0))))))/Skills!H11,1)))/Inputs!$B$43),G947*Q947)))*IF(Inputs!$B$38="pvp",1,(1+(Inputs!$B$21+Skills!Q14)/100)*(MIN(Skills!R14,Inputs!$B$37))),0)</f>
        <v/>
      </c>
    </row>
    <row r="951">
      <c r="A951">
        <f>Skills!A15</f>
        <v/>
      </c>
      <c r="B951">
        <f>Skills!B15</f>
        <v/>
      </c>
      <c r="C951">
        <f>Inputs!$B$3&gt;=100</f>
        <v/>
      </c>
      <c r="D951">
        <f>IF(Skills!C15=1,60+Inputs!$B$25+Inputs!$B$29,IF(Skills!C15=2,90+Inputs!$B$26+Inputs!$B$29,IF(Skills!C15=3,120+Inputs!$B$27+Inputs!$B$29,MAX(0,(Inputs!$B$3-100)*3)+Inputs!$B$28+Inputs!$B$29)))</f>
        <v/>
      </c>
      <c r="E951">
        <f>INDEX(FactorTable!$B$2:$Y$301, MATCH(ROUND(MIN(300,MAX(1,D951)),0), FactorTable!$A$2:$A$301,0), Skills!M15+1)</f>
        <v/>
      </c>
      <c r="F951">
        <f>IF(Skills!N15=TRUE,(Skills!L15/10)*(E951/1000),Skills!L15/10)+Skills!O15</f>
        <v/>
      </c>
      <c r="G951" t="inlineStr"/>
      <c r="H951" t="inlineStr"/>
      <c r="I951" t="inlineStr">
        <is>
          <t>1</t>
        </is>
      </c>
      <c r="J951" t="inlineStr"/>
      <c r="K951" t="inlineStr"/>
      <c r="L951" t="inlineStr"/>
      <c r="M951" t="inlineStr"/>
      <c r="N951" t="inlineStr"/>
      <c r="O951" t="inlineStr"/>
      <c r="P951" t="inlineStr"/>
      <c r="Q951" t="inlineStr"/>
      <c r="R951" t="inlineStr"/>
      <c r="S951" t="inlineStr"/>
    </row>
    <row r="952">
      <c r="A952">
        <f>Skills!A16</f>
        <v/>
      </c>
      <c r="B952">
        <f>Skills!B16</f>
        <v/>
      </c>
      <c r="C952">
        <f>Inputs!$B$3&gt;=120</f>
        <v/>
      </c>
      <c r="D952">
        <f>IF(Skills!C16=1,60+Inputs!$B$25+Inputs!$B$29,IF(Skills!C16=2,90+Inputs!$B$26+Inputs!$B$29,IF(Skills!C16=3,120+Inputs!$B$27+Inputs!$B$29,MAX(0,(Inputs!$B$3-100)*3)+Inputs!$B$28+Inputs!$B$29)))</f>
        <v/>
      </c>
      <c r="E952">
        <f>INDEX(FactorTable!$B$2:$Y$301, MATCH(ROUND(MIN(300,MAX(1,D952)),0), FactorTable!$A$2:$A$301,0), Skills!M16+1)</f>
        <v/>
      </c>
      <c r="F952">
        <f>IF(Skills!N16=TRUE,(Skills!L16/10)*(E952/1000),Skills!L16/10)+Skills!O16</f>
        <v/>
      </c>
      <c r="G952" t="inlineStr"/>
      <c r="H952" t="inlineStr"/>
      <c r="I952" t="inlineStr">
        <is>
          <t>1</t>
        </is>
      </c>
      <c r="J952" t="inlineStr"/>
      <c r="K952" t="inlineStr"/>
      <c r="L952" t="inlineStr"/>
      <c r="M952" t="inlineStr"/>
      <c r="N952" t="inlineStr"/>
      <c r="O952" t="inlineStr"/>
      <c r="P952" t="inlineStr"/>
      <c r="Q952" t="inlineStr"/>
      <c r="R952" t="inlineStr"/>
      <c r="S952" t="inlineStr"/>
    </row>
    <row r="953">
      <c r="A953">
        <f>Skills!A17</f>
        <v/>
      </c>
      <c r="B953">
        <f>Skills!B17</f>
        <v/>
      </c>
      <c r="C953">
        <f>Inputs!$B$3&gt;=66</f>
        <v/>
      </c>
      <c r="D953">
        <f>IF(Skills!C17=1,60+Inputs!$B$25+Inputs!$B$29,IF(Skills!C17=2,90+Inputs!$B$26+Inputs!$B$29,IF(Skills!C17=3,120+Inputs!$B$27+Inputs!$B$29,MAX(0,(Inputs!$B$3-100)*3)+Inputs!$B$28+Inputs!$B$29)))</f>
        <v/>
      </c>
      <c r="E953">
        <f>INDEX(FactorTable!$B$2:$Y$301, MATCH(ROUND(MIN(300,MAX(1,D953)),0), FactorTable!$A$2:$A$301,0), Skills!M17+1)</f>
        <v/>
      </c>
      <c r="F953">
        <f>IF(Skills!N17=TRUE,(Skills!L17/10)*(E953/1000),Skills!L17/10)+Skills!O17</f>
        <v/>
      </c>
      <c r="G953">
        <f>Skills!G17*IF(Skills!H17&gt;0,Skills!I17/Skills!H17,1)</f>
        <v/>
      </c>
      <c r="H953">
        <f>1-(1-Skills!J17/100)^Skills!K17</f>
        <v/>
      </c>
      <c r="I953" t="inlineStr">
        <is>
          <t>1</t>
        </is>
      </c>
      <c r="J953" t="inlineStr"/>
      <c r="K953" t="inlineStr"/>
      <c r="L953" t="inlineStr"/>
      <c r="M953" t="inlineStr"/>
      <c r="N953" t="inlineStr"/>
      <c r="O953">
        <f>(1-Summary!$B$55)*T953+Summary!$B$55*V953</f>
        <v/>
      </c>
      <c r="P953">
        <f>IF(B976=0,0,O953/B976)</f>
        <v/>
      </c>
      <c r="Q953" t="n">
        <v>0</v>
      </c>
      <c r="R953" t="n">
        <v>0</v>
      </c>
      <c r="S953">
        <f>IFERROR(O953/N953,0)</f>
        <v/>
      </c>
      <c r="T953" t="n">
        <v>0</v>
      </c>
      <c r="V953" t="n">
        <v>0</v>
      </c>
    </row>
    <row r="954">
      <c r="A954">
        <f>Skills!A18</f>
        <v/>
      </c>
      <c r="B954">
        <f>Skills!B18</f>
        <v/>
      </c>
      <c r="C954">
        <f>Inputs!$B$3&gt;=115</f>
        <v/>
      </c>
      <c r="D954">
        <f>IF(Skills!C18=1,60+Inputs!$B$25+Inputs!$B$29,IF(Skills!C18=2,90+Inputs!$B$26+Inputs!$B$29,IF(Skills!C18=3,120+Inputs!$B$27+Inputs!$B$29,MAX(0,(Inputs!$B$3-100)*3)+Inputs!$B$28+Inputs!$B$29)))</f>
        <v/>
      </c>
      <c r="E954">
        <f>INDEX(FactorTable!$B$2:$Y$301, MATCH(ROUND(MIN(300,MAX(1,D954)),0), FactorTable!$A$2:$A$301,0), Skills!M18+1)</f>
        <v/>
      </c>
      <c r="F954">
        <f>IF(Skills!N18=TRUE,(Skills!L18/10)*(E954/1000),Skills!L18/10)+Skills!O18</f>
        <v/>
      </c>
      <c r="G954">
        <f>Skills!G18*IF(Skills!H18&gt;0,Skills!I18/Skills!H18,1)</f>
        <v/>
      </c>
      <c r="H954">
        <f>1-(1-Skills!J18/100)^Skills!K18</f>
        <v/>
      </c>
      <c r="I954" t="inlineStr">
        <is>
          <t>1</t>
        </is>
      </c>
      <c r="J954" t="inlineStr"/>
      <c r="K954" t="inlineStr"/>
      <c r="L954" t="inlineStr"/>
      <c r="M954" t="inlineStr"/>
      <c r="N954" t="inlineStr"/>
      <c r="O954">
        <f>(1-Summary!$B$55)*T954+Summary!$B$55*V954</f>
        <v/>
      </c>
      <c r="P954">
        <f>IF(B976=0,0,O954/B976)</f>
        <v/>
      </c>
      <c r="Q954" t="n">
        <v>0</v>
      </c>
      <c r="R954" t="n">
        <v>0</v>
      </c>
      <c r="S954">
        <f>IFERROR(O954/N954,0)</f>
        <v/>
      </c>
      <c r="T954" t="n">
        <v>0</v>
      </c>
      <c r="V954" t="n">
        <v>0</v>
      </c>
    </row>
    <row r="955">
      <c r="A955">
        <f>Skills!A19</f>
        <v/>
      </c>
      <c r="B955">
        <f>Skills!B19</f>
        <v/>
      </c>
      <c r="C955">
        <f>Inputs!$B$3&gt;=15</f>
        <v/>
      </c>
      <c r="D955">
        <f>IF(Skills!C19=1,60+Inputs!$B$25+Inputs!$B$29,IF(Skills!C19=2,90+Inputs!$B$26+Inputs!$B$29,IF(Skills!C19=3,120+Inputs!$B$27+Inputs!$B$29,MAX(0,(Inputs!$B$3-100)*3)+Inputs!$B$28+Inputs!$B$29)))</f>
        <v/>
      </c>
      <c r="E955">
        <f>INDEX(FactorTable!$B$2:$Y$301, MATCH(ROUND(MIN(300,MAX(1,D955)),0), FactorTable!$A$2:$A$301,0), Skills!M19+1)</f>
        <v/>
      </c>
      <c r="F955">
        <f>IF(Skills!N19=TRUE,(Skills!L19/10)*(E955/1000),Skills!L19/10)+Skills!O19</f>
        <v/>
      </c>
      <c r="G955">
        <f>Skills!G19*IF(Skills!H19&gt;0,Skills!I19/Skills!H19,1)</f>
        <v/>
      </c>
      <c r="H955">
        <f>1-(1-Skills!J19/100)^Skills!K19</f>
        <v/>
      </c>
      <c r="I955" t="inlineStr">
        <is>
          <t>1</t>
        </is>
      </c>
      <c r="J955" t="inlineStr"/>
      <c r="K955" t="inlineStr"/>
      <c r="L955" t="inlineStr"/>
      <c r="M955" t="inlineStr"/>
      <c r="N955" t="inlineStr"/>
      <c r="O955">
        <f>(1-Summary!$B$55)*T955+Summary!$B$55*V955</f>
        <v/>
      </c>
      <c r="P955">
        <f>IF(B976=0,0,O955/B976)</f>
        <v/>
      </c>
      <c r="Q955" t="n">
        <v>0</v>
      </c>
      <c r="R955" t="n">
        <v>0</v>
      </c>
      <c r="S955">
        <f>IFERROR(O955/N955,0)</f>
        <v/>
      </c>
      <c r="T955" t="n">
        <v>0</v>
      </c>
      <c r="V955" t="n">
        <v>0</v>
      </c>
    </row>
    <row r="956">
      <c r="A956">
        <f>Skills!A20</f>
        <v/>
      </c>
      <c r="B956">
        <f>Skills!B20</f>
        <v/>
      </c>
      <c r="C956">
        <f>Inputs!$B$3&gt;=10</f>
        <v/>
      </c>
      <c r="D956">
        <f>IF(Skills!C20=1,60+Inputs!$B$25+Inputs!$B$29,IF(Skills!C20=2,90+Inputs!$B$26+Inputs!$B$29,IF(Skills!C20=3,120+Inputs!$B$27+Inputs!$B$29,MAX(0,(Inputs!$B$3-100)*3)+Inputs!$B$28+Inputs!$B$29)))</f>
        <v/>
      </c>
      <c r="E956">
        <f>INDEX(FactorTable!$B$2:$Y$301, MATCH(ROUND(MIN(300,MAX(1,D956)),0), FactorTable!$A$2:$A$301,0), Skills!M20+1)</f>
        <v/>
      </c>
      <c r="F956">
        <f>IF(Skills!N20=TRUE,(Skills!L20/10)*(E956/1000),Skills!L20/10)+Skills!O20</f>
        <v/>
      </c>
      <c r="G956">
        <f>Skills!G20*IF(Skills!H20&gt;0,Skills!I20/Skills!H20,1)</f>
        <v/>
      </c>
      <c r="H956">
        <f>1-(1-Skills!J20/100)^Skills!K20</f>
        <v/>
      </c>
      <c r="I956" t="inlineStr">
        <is>
          <t>1</t>
        </is>
      </c>
      <c r="J956" t="inlineStr"/>
      <c r="K956" t="inlineStr"/>
      <c r="L956" t="inlineStr"/>
      <c r="M956" t="inlineStr"/>
      <c r="N956" t="inlineStr"/>
      <c r="O956">
        <f>(1-Summary!$B$55)*T956+Summary!$B$55*V956</f>
        <v/>
      </c>
      <c r="P956">
        <f>IF(B976=0,0,O956/B976)</f>
        <v/>
      </c>
      <c r="Q956" t="n">
        <v>0</v>
      </c>
      <c r="R956" t="n">
        <v>0</v>
      </c>
      <c r="S956">
        <f>IFERROR(O956/N956,0)</f>
        <v/>
      </c>
      <c r="T956" t="n">
        <v>0</v>
      </c>
      <c r="V956" t="n">
        <v>0</v>
      </c>
    </row>
    <row r="957">
      <c r="A957">
        <f>Skills!A21</f>
        <v/>
      </c>
      <c r="B957">
        <f>Skills!B21</f>
        <v/>
      </c>
      <c r="C957">
        <f>Inputs!$B$3&gt;=33</f>
        <v/>
      </c>
      <c r="D957">
        <f>IF(Skills!C21=1,60+Inputs!$B$25+Inputs!$B$29,IF(Skills!C21=2,90+Inputs!$B$26+Inputs!$B$29,IF(Skills!C21=3,120+Inputs!$B$27+Inputs!$B$29,MAX(0,(Inputs!$B$3-100)*3)+Inputs!$B$28+Inputs!$B$29)))</f>
        <v/>
      </c>
      <c r="E957">
        <f>INDEX(FactorTable!$B$2:$Y$301, MATCH(ROUND(MIN(300,MAX(1,D957)),0), FactorTable!$A$2:$A$301,0), Skills!M21+1)</f>
        <v/>
      </c>
      <c r="F957">
        <f>IF(Skills!N21=TRUE,(Skills!L21/10)*(E957/1000),Skills!L21/10)+Skills!O21</f>
        <v/>
      </c>
      <c r="G957">
        <f>Skills!G21*IF(Skills!H21&gt;0,Skills!I21/Skills!H21,1)</f>
        <v/>
      </c>
      <c r="H957">
        <f>1-(1-Skills!J21/100)^Skills!K21</f>
        <v/>
      </c>
      <c r="I957" t="inlineStr">
        <is>
          <t>1</t>
        </is>
      </c>
      <c r="J957" t="inlineStr"/>
      <c r="K957" t="inlineStr"/>
      <c r="L957" t="inlineStr"/>
      <c r="M957" t="inlineStr"/>
      <c r="N957" t="inlineStr"/>
      <c r="O957">
        <f>(1-Summary!$B$55)*T957+Summary!$B$55*V957</f>
        <v/>
      </c>
      <c r="P957">
        <f>IF(B976=0,0,O957/B976)</f>
        <v/>
      </c>
      <c r="Q957" t="n">
        <v>0</v>
      </c>
      <c r="R957" t="n">
        <v>0</v>
      </c>
      <c r="S957">
        <f>IFERROR(O957/N957,0)</f>
        <v/>
      </c>
      <c r="T957" t="n">
        <v>0</v>
      </c>
      <c r="V957" t="n">
        <v>0</v>
      </c>
    </row>
    <row r="958">
      <c r="A958">
        <f>Skills!A22</f>
        <v/>
      </c>
      <c r="B958">
        <f>Skills!B22</f>
        <v/>
      </c>
      <c r="C958">
        <f>Inputs!$B$3&gt;=43</f>
        <v/>
      </c>
      <c r="D958">
        <f>IF(Skills!C22=1,60+Inputs!$B$25+Inputs!$B$29,IF(Skills!C22=2,90+Inputs!$B$26+Inputs!$B$29,IF(Skills!C22=3,120+Inputs!$B$27+Inputs!$B$29,MAX(0,(Inputs!$B$3-100)*3)+Inputs!$B$28+Inputs!$B$29)))</f>
        <v/>
      </c>
      <c r="E958">
        <f>INDEX(FactorTable!$B$2:$Y$301, MATCH(ROUND(MIN(300,MAX(1,D958)),0), FactorTable!$A$2:$A$301,0), Skills!M22+1)</f>
        <v/>
      </c>
      <c r="F958">
        <f>IF(Skills!N22=TRUE,(Skills!L22/10)*(E958/1000),Skills!L22/10)+Skills!O22</f>
        <v/>
      </c>
      <c r="G958">
        <f>Skills!G22*IF(Skills!H22&gt;0,Skills!I22/Skills!H22,1)</f>
        <v/>
      </c>
      <c r="H958">
        <f>1-(1-Skills!J22/100)^Skills!K22</f>
        <v/>
      </c>
      <c r="I958" t="inlineStr">
        <is>
          <t>1</t>
        </is>
      </c>
      <c r="J958" t="inlineStr"/>
      <c r="K958" t="inlineStr"/>
      <c r="L958" t="inlineStr"/>
      <c r="M958" t="inlineStr"/>
      <c r="N958" t="inlineStr"/>
      <c r="O958">
        <f>(1-Summary!$B$55)*T958+Summary!$B$55*V958</f>
        <v/>
      </c>
      <c r="P958">
        <f>IF(B976=0,0,O958/B976)</f>
        <v/>
      </c>
      <c r="Q958" t="n">
        <v>0</v>
      </c>
      <c r="R958" t="n">
        <v>0</v>
      </c>
      <c r="S958">
        <f>IFERROR(O958/N958,0)</f>
        <v/>
      </c>
      <c r="T958" t="n">
        <v>0</v>
      </c>
      <c r="V958" t="n">
        <v>0</v>
      </c>
    </row>
    <row r="959">
      <c r="A959">
        <f>Skills!A23</f>
        <v/>
      </c>
      <c r="B959">
        <f>Skills!B23</f>
        <v/>
      </c>
      <c r="C959">
        <f>Inputs!$B$3&gt;=38</f>
        <v/>
      </c>
      <c r="D959">
        <f>IF(Skills!C23=1,60+Inputs!$B$25+Inputs!$B$29,IF(Skills!C23=2,90+Inputs!$B$26+Inputs!$B$29,IF(Skills!C23=3,120+Inputs!$B$27+Inputs!$B$29,MAX(0,(Inputs!$B$3-100)*3)+Inputs!$B$28+Inputs!$B$29)))</f>
        <v/>
      </c>
      <c r="E959">
        <f>INDEX(FactorTable!$B$2:$Y$301, MATCH(ROUND(MIN(300,MAX(1,D959)),0), FactorTable!$A$2:$A$301,0), Skills!M23+1)</f>
        <v/>
      </c>
      <c r="F959">
        <f>IF(Skills!N23=TRUE,(Skills!L23/10)*(E959/1000),Skills!L23/10)+Skills!O23</f>
        <v/>
      </c>
      <c r="G959">
        <f>Skills!G23*IF(Skills!H23&gt;0,Skills!I23/Skills!H23,1)</f>
        <v/>
      </c>
      <c r="H959">
        <f>1-(1-Skills!J23/100)^Skills!K23</f>
        <v/>
      </c>
      <c r="I959" t="inlineStr">
        <is>
          <t>1</t>
        </is>
      </c>
      <c r="J959" t="inlineStr"/>
      <c r="K959" t="inlineStr"/>
      <c r="L959" t="inlineStr"/>
      <c r="M959" t="inlineStr"/>
      <c r="N959" t="inlineStr"/>
      <c r="O959">
        <f>(1-Summary!$B$55)*T959+Summary!$B$55*V959</f>
        <v/>
      </c>
      <c r="P959">
        <f>IF(B976=0,0,O959/B976)</f>
        <v/>
      </c>
      <c r="Q959" t="n">
        <v>0</v>
      </c>
      <c r="R959" t="n">
        <v>0</v>
      </c>
      <c r="S959">
        <f>IFERROR(O959/N959,0)</f>
        <v/>
      </c>
      <c r="T959" t="n">
        <v>0</v>
      </c>
      <c r="V959" t="n">
        <v>0</v>
      </c>
    </row>
    <row r="960">
      <c r="A960">
        <f>Skills!A24</f>
        <v/>
      </c>
      <c r="B960">
        <f>Skills!B24</f>
        <v/>
      </c>
      <c r="C960">
        <f>Inputs!$B$3&gt;=40</f>
        <v/>
      </c>
      <c r="D960">
        <f>IF(Skills!C24=1,60+Inputs!$B$25+Inputs!$B$29,IF(Skills!C24=2,90+Inputs!$B$26+Inputs!$B$29,IF(Skills!C24=3,120+Inputs!$B$27+Inputs!$B$29,MAX(0,(Inputs!$B$3-100)*3)+Inputs!$B$28+Inputs!$B$29)))</f>
        <v/>
      </c>
      <c r="E960">
        <f>INDEX(FactorTable!$B$2:$Y$301, MATCH(ROUND(MIN(300,MAX(1,D960)),0), FactorTable!$A$2:$A$301,0), Skills!M24+1)</f>
        <v/>
      </c>
      <c r="F960">
        <f>IF(Skills!N24=TRUE,(Skills!L24/10)*(E960/1000),Skills!L24/10)+Skills!O24</f>
        <v/>
      </c>
      <c r="G960">
        <f>Skills!G24*IF(Skills!H24&gt;0,Skills!I24/Skills!H24,1)</f>
        <v/>
      </c>
      <c r="H960">
        <f>1-(1-Skills!J24/100)^Skills!K24</f>
        <v/>
      </c>
      <c r="I960" t="inlineStr">
        <is>
          <t>1</t>
        </is>
      </c>
      <c r="J960" t="inlineStr"/>
      <c r="K960" t="inlineStr"/>
      <c r="L960" t="inlineStr"/>
      <c r="M960" t="inlineStr"/>
      <c r="N960" t="inlineStr"/>
      <c r="O960">
        <f>(1-Summary!$B$55)*T960+Summary!$B$55*V960</f>
        <v/>
      </c>
      <c r="P960">
        <f>IF(B976=0,0,O960/B976)</f>
        <v/>
      </c>
      <c r="Q960" t="n">
        <v>0</v>
      </c>
      <c r="R960" t="n">
        <v>0</v>
      </c>
      <c r="S960">
        <f>IFERROR(O960/N960,0)</f>
        <v/>
      </c>
      <c r="T960" t="n">
        <v>0</v>
      </c>
      <c r="V960" t="n">
        <v>0</v>
      </c>
    </row>
    <row r="961">
      <c r="A961">
        <f>Skills!A25</f>
        <v/>
      </c>
      <c r="B961">
        <f>Skills!B25</f>
        <v/>
      </c>
      <c r="C961">
        <f>Inputs!$B$3&gt;=72</f>
        <v/>
      </c>
      <c r="D961">
        <f>IF(Skills!C25=1,60+Inputs!$B$25+Inputs!$B$29,IF(Skills!C25=2,90+Inputs!$B$26+Inputs!$B$29,IF(Skills!C25=3,120+Inputs!$B$27+Inputs!$B$29,MAX(0,(Inputs!$B$3-100)*3)+Inputs!$B$28+Inputs!$B$29)))</f>
        <v/>
      </c>
      <c r="E961">
        <f>INDEX(FactorTable!$B$2:$Y$301, MATCH(ROUND(MIN(300,MAX(1,D961)),0), FactorTable!$A$2:$A$301,0), Skills!M25+1)</f>
        <v/>
      </c>
      <c r="F961">
        <f>IF(Skills!N25=TRUE,(Skills!L25/10)*(E961/1000),Skills!L25/10)+Skills!O25</f>
        <v/>
      </c>
      <c r="G961">
        <f>Skills!G25*IF(Skills!H25&gt;0,Skills!I25/Skills!H25,1)</f>
        <v/>
      </c>
      <c r="H961">
        <f>1-(1-Skills!J25/100)^Skills!K25</f>
        <v/>
      </c>
      <c r="I961" t="inlineStr">
        <is>
          <t>1</t>
        </is>
      </c>
      <c r="J961" t="inlineStr"/>
      <c r="K961" t="inlineStr"/>
      <c r="L961" t="inlineStr"/>
      <c r="M961" t="inlineStr"/>
      <c r="N961" t="inlineStr"/>
      <c r="O961">
        <f>(1-Summary!$B$55)*T961+Summary!$B$55*V961</f>
        <v/>
      </c>
      <c r="P961">
        <f>IF(B976=0,0,O961/B976)</f>
        <v/>
      </c>
      <c r="Q961" t="n">
        <v>0</v>
      </c>
      <c r="R961" t="n">
        <v>0</v>
      </c>
      <c r="S961">
        <f>IFERROR(O961/N961,0)</f>
        <v/>
      </c>
      <c r="T961" t="n">
        <v>0</v>
      </c>
      <c r="V961" t="n">
        <v>0</v>
      </c>
    </row>
    <row r="962">
      <c r="A962">
        <f>Skills!A26</f>
        <v/>
      </c>
      <c r="B962">
        <f>Skills!B26</f>
        <v/>
      </c>
      <c r="C962">
        <f>Inputs!$B$3&gt;=75</f>
        <v/>
      </c>
      <c r="D962">
        <f>IF(Skills!C26=1,60+Inputs!$B$25+Inputs!$B$29,IF(Skills!C26=2,90+Inputs!$B$26+Inputs!$B$29,IF(Skills!C26=3,120+Inputs!$B$27+Inputs!$B$29,MAX(0,(Inputs!$B$3-100)*3)+Inputs!$B$28+Inputs!$B$29)))</f>
        <v/>
      </c>
      <c r="E962">
        <f>INDEX(FactorTable!$B$2:$Y$301, MATCH(ROUND(MIN(300,MAX(1,D962)),0), FactorTable!$A$2:$A$301,0), Skills!M26+1)</f>
        <v/>
      </c>
      <c r="F962">
        <f>IF(Skills!N26=TRUE,(Skills!L26/10)*(E962/1000),Skills!L26/10)+Skills!O26</f>
        <v/>
      </c>
      <c r="G962">
        <f>Skills!G26*IF(Skills!H26&gt;0,Skills!I26/Skills!H26,1)</f>
        <v/>
      </c>
      <c r="H962">
        <f>1-(1-Skills!J26/100)^Skills!K26</f>
        <v/>
      </c>
      <c r="I962" t="inlineStr">
        <is>
          <t>1</t>
        </is>
      </c>
      <c r="J962" t="inlineStr"/>
      <c r="K962" t="inlineStr"/>
      <c r="L962" t="inlineStr"/>
      <c r="M962" t="inlineStr"/>
      <c r="N962" t="inlineStr"/>
      <c r="O962">
        <f>(1-Summary!$B$55)*T962+Summary!$B$55*V962</f>
        <v/>
      </c>
      <c r="P962">
        <f>IF(B976=0,0,O962/B976)</f>
        <v/>
      </c>
      <c r="Q962" t="n">
        <v>0</v>
      </c>
      <c r="R962" t="n">
        <v>0</v>
      </c>
      <c r="S962">
        <f>IFERROR(O962/N962,0)</f>
        <v/>
      </c>
      <c r="T962" t="n">
        <v>0</v>
      </c>
      <c r="V962" t="n">
        <v>0</v>
      </c>
    </row>
    <row r="963">
      <c r="A963">
        <f>Skills!A27</f>
        <v/>
      </c>
      <c r="B963">
        <f>Skills!B27</f>
        <v/>
      </c>
      <c r="C963">
        <f>Inputs!$B$3&gt;=117</f>
        <v/>
      </c>
      <c r="D963">
        <f>IF(Skills!C27=1,60+Inputs!$B$25+Inputs!$B$29,IF(Skills!C27=2,90+Inputs!$B$26+Inputs!$B$29,IF(Skills!C27=3,120+Inputs!$B$27+Inputs!$B$29,MAX(0,(Inputs!$B$3-100)*3)+Inputs!$B$28+Inputs!$B$29)))</f>
        <v/>
      </c>
      <c r="E963">
        <f>INDEX(FactorTable!$B$2:$Y$301, MATCH(ROUND(MIN(300,MAX(1,D963)),0), FactorTable!$A$2:$A$301,0), Skills!M27+1)</f>
        <v/>
      </c>
      <c r="F963">
        <f>IF(Skills!N27=TRUE,(Skills!L27/10)*(E963/1000),Skills!L27/10)+Skills!O27</f>
        <v/>
      </c>
      <c r="G963">
        <f>Skills!G27*IF(Skills!H27&gt;0,Skills!I27/Skills!H27,1)</f>
        <v/>
      </c>
      <c r="H963">
        <f>1-(1-Skills!J27/100)^Skills!K27</f>
        <v/>
      </c>
      <c r="I963" t="inlineStr">
        <is>
          <t>1</t>
        </is>
      </c>
      <c r="J963" t="inlineStr"/>
      <c r="K963" t="inlineStr"/>
      <c r="L963" t="inlineStr"/>
      <c r="M963" t="inlineStr"/>
      <c r="N963" t="inlineStr"/>
      <c r="O963">
        <f>(1-Summary!$B$55)*T963+Summary!$B$55*V963</f>
        <v/>
      </c>
      <c r="P963">
        <f>IF(B976=0,0,O963/B976)</f>
        <v/>
      </c>
      <c r="Q963" t="n">
        <v>0</v>
      </c>
      <c r="R963" t="n">
        <v>0</v>
      </c>
      <c r="S963">
        <f>IFERROR(O963/N963,0)</f>
        <v/>
      </c>
      <c r="T963" t="n">
        <v>0</v>
      </c>
      <c r="V963" t="n">
        <v>0</v>
      </c>
    </row>
    <row r="965">
      <c r="A965" t="inlineStr">
        <is>
          <t>Attack% Bucket Multiplier</t>
        </is>
      </c>
      <c r="B965">
        <f>(1+(((C953=TRUE)*F953)+((C960=TRUE)*(F960-Calc!F24)))/100)</f>
        <v/>
      </c>
    </row>
    <row r="966">
      <c r="A966" t="inlineStr">
        <is>
          <t>Global Crit Rate Bonus %</t>
        </is>
      </c>
      <c r="B966" t="n">
        <v>0</v>
      </c>
    </row>
    <row r="967">
      <c r="A967" t="inlineStr">
        <is>
          <t>Attack Speed Buff Bonus % (unused)</t>
        </is>
      </c>
      <c r="B967" t="n">
        <v>0</v>
      </c>
    </row>
    <row r="968">
      <c r="A968" t="inlineStr">
        <is>
          <t>Actions Per Second</t>
        </is>
      </c>
      <c r="B968">
        <f>1+MIN(150,150*(1-(1-(Inputs!$B$11+((C956=TRUE)*(F956-Calc!F20))+((C957=TRUE)*(F957-Calc!F21)))/150)*(1-B967/150)))/100</f>
        <v/>
      </c>
    </row>
    <row r="969">
      <c r="A969" t="inlineStr">
        <is>
          <t>Skill + Buff Cast Rate</t>
        </is>
      </c>
      <c r="B969">
        <f>IF(AND(Inputs!$B$38&lt;&gt;"pvp",Inputs!$B$43&gt;0),SUMPRODUCT((Skills!E2:E27=TRUE)*(C938:C963=TRUE)*R938:R963*Skills!F2:F27)/Inputs!$B$43,SUMPRODUCT((Skills!E2:E27=TRUE)*(C938:C963=TRUE)*Q938:Q963*Skills!F2:F27))</f>
        <v/>
      </c>
    </row>
    <row r="970">
      <c r="A970" t="inlineStr">
        <is>
          <t>Eight-Legs Easton Casts Per Second</t>
        </is>
      </c>
      <c r="B970">
        <f>MAX(0,B968-B969)</f>
        <v/>
      </c>
    </row>
    <row r="971">
      <c r="A971" t="inlineStr">
        <is>
          <t>Global Critical Damage Bonus % (unused)</t>
        </is>
      </c>
      <c r="B971" t="n">
        <v>0</v>
      </c>
    </row>
    <row r="972">
      <c r="A972" t="inlineStr">
        <is>
          <t>Global Final Damage Bonus % (Jolly Roger only)</t>
        </is>
      </c>
      <c r="B972">
        <f>((C954=TRUE)*F954)</f>
        <v/>
      </c>
    </row>
    <row r="973">
      <c r="A973" t="inlineStr">
        <is>
          <t>Buff-Casting Startup Delay (s, fixed-duration only)</t>
        </is>
      </c>
      <c r="B973">
        <f>IF(AND(Inputs!$B$38&lt;&gt;"pvp",Inputs!$B$43&gt;0),SUMPRODUCT((Skills!T2:T27&gt;0)*(Skills!E2:E27=TRUE)*(C938:C963=TRUE))/B968,0)</f>
        <v/>
      </c>
    </row>
    <row r="974">
      <c r="A974" t="inlineStr">
        <is>
          <t>Boss-Only Total DPS (this block's swept value)</t>
        </is>
      </c>
      <c r="B974">
        <f>SUM(T938:T963)</f>
        <v/>
      </c>
    </row>
    <row r="975">
      <c r="A975" t="inlineStr">
        <is>
          <t>Normal-Only Total DPS (this block's swept value)</t>
        </is>
      </c>
      <c r="B975">
        <f>SUM(V938:V963)</f>
        <v/>
      </c>
    </row>
    <row r="976">
      <c r="A976" s="5" t="inlineStr">
        <is>
          <t>TOTAL DPS</t>
        </is>
      </c>
      <c r="B976" s="5">
        <f>SUM(O938:O963)</f>
        <v/>
      </c>
    </row>
    <row r="979">
      <c r="A979" s="5" t="inlineStr">
        <is>
          <t>Stat: ATTACK %</t>
        </is>
      </c>
    </row>
    <row r="980">
      <c r="A980" s="9" t="inlineStr">
        <is>
          <t>Key</t>
        </is>
      </c>
      <c r="B980" s="9" t="inlineStr">
        <is>
          <t>Name</t>
        </is>
      </c>
      <c r="C980" s="9" t="inlineStr">
        <is>
          <t>Unlocked</t>
        </is>
      </c>
      <c r="D980" s="9" t="inlineStr">
        <is>
          <t>InputLevel</t>
        </is>
      </c>
      <c r="E980" s="9" t="inlineStr">
        <is>
          <t>Factor</t>
        </is>
      </c>
      <c r="F980" s="9" t="inlineStr">
        <is>
          <t>CoefficientPercent</t>
        </is>
      </c>
      <c r="G980" s="9" t="inlineStr">
        <is>
          <t>EffectiveHits</t>
        </is>
      </c>
      <c r="H980" s="9" t="inlineStr">
        <is>
          <t>ProcProbability</t>
        </is>
      </c>
      <c r="I980" s="9" t="inlineStr">
        <is>
          <t>MapleHeroMultiplier</t>
        </is>
      </c>
      <c r="J980" s="9" t="inlineStr">
        <is>
          <t>BaseDamage</t>
        </is>
      </c>
      <c r="K980" s="9" t="inlineStr">
        <is>
          <t>BaseHitDamage</t>
        </is>
      </c>
      <c r="L980" s="9" t="inlineStr">
        <is>
          <t>NonCritAvg</t>
        </is>
      </c>
      <c r="M980" s="9" t="inlineStr">
        <is>
          <t>CritAvg</t>
        </is>
      </c>
      <c r="N980" s="9" t="inlineStr">
        <is>
          <t>ExpectedDamage(perHit)</t>
        </is>
      </c>
      <c r="O980" s="9" t="inlineStr">
        <is>
          <t>DPS</t>
        </is>
      </c>
      <c r="P980" s="9" t="inlineStr">
        <is>
          <t>% of Total</t>
        </is>
      </c>
      <c r="Q980" s="9" t="inlineStr">
        <is>
          <t>InvCooldown</t>
        </is>
      </c>
      <c r="R980" s="9" t="inlineStr">
        <is>
          <t>CastsInFight</t>
        </is>
      </c>
      <c r="S980" s="9" t="inlineStr">
        <is>
          <t>HitRate(perSec)</t>
        </is>
      </c>
      <c r="U980" t="inlineStr">
        <is>
          <t>helpers</t>
        </is>
      </c>
    </row>
    <row r="981">
      <c r="A981">
        <f>Skills!A2</f>
        <v/>
      </c>
      <c r="B981">
        <f>Skills!B2</f>
        <v/>
      </c>
      <c r="C981">
        <f>Inputs!$B$3&gt;=100</f>
        <v/>
      </c>
      <c r="D981" t="inlineStr"/>
      <c r="E981" t="inlineStr"/>
      <c r="F981">
        <f>U983+Skills!O2</f>
        <v/>
      </c>
      <c r="G981">
        <f>Skills!G2*IF(Skills!H2&gt;0,Skills!I2/Skills!H2,1)</f>
        <v/>
      </c>
      <c r="H981">
        <f>1-(1-Skills!J2/100)^Skills!K2</f>
        <v/>
      </c>
      <c r="I981" t="inlineStr">
        <is>
          <t>1</t>
        </is>
      </c>
      <c r="J981">
        <f>((Inputs!$B$6*(1+(Inputs!$B$7+1)/100))+(((Inputs!$B$12*(1+Inputs!$B$13/100))-(Inputs!$B$12*(1+Inputs!$B$13/100)))+0.25*(Inputs!$B$14-Inputs!$B$14))*(1+(Inputs!$B$7+1)/100))*(F981/100)</f>
        <v/>
      </c>
      <c r="K981">
        <f>J981*(1+((Inputs!$B$12*(1+Inputs!$B$13/100))*0.01+Inputs!$B$14*0.0025)/100)*(1+Inputs!$B$15/100)*(1+Inputs!$B$16/100)*(5000/(6000+Inputs!$B$42*(1-(Inputs!$B$19+0)/100)))*(1+(Inputs!$B$24+((C1005=TRUE)*(F1005-Calc!F26))+B1015)/100)*(1+(IF(Skills!A2="EIGHT_LEGS_EASTON",Inputs!$B$17+((C1002=TRUE)*(F1002-Calc!F23))+((C1006=TRUE)*(F1006-Calc!F27)),Inputs!$B$18+0))/100)*((1+(((C996=TRUE)*F996)+((C1003=TRUE)*(F1003-Calc!F24)))/100)*I981)</f>
        <v/>
      </c>
      <c r="L981">
        <f>K981*(MIN(Inputs!$B$22+((C1001=TRUE)*(F1001-Calc!F22)),Inputs!$B$23+0)/100+(Inputs!$B$23+0)/100)/2</f>
        <v/>
      </c>
      <c r="M981">
        <f>L981*(1+(Inputs!$B$10+((C1004=TRUE)*(F1004-Calc!F25))+B1014)/100)</f>
        <v/>
      </c>
      <c r="N981">
        <f>L981*(1-MIN((Inputs!$B$9+((C998=TRUE)*(F998-Calc!F19))+B1009),100)/100)+M981*(MIN((Inputs!$B$9+((C998=TRUE)*(F998-Calc!F19))+B1009),100)/100)</f>
        <v/>
      </c>
      <c r="O981">
        <f>(1-Summary!$B$55)*T981+Summary!$B$55*V981</f>
        <v/>
      </c>
      <c r="P981">
        <f>IF(B1019=0,0,O981/B1019)</f>
        <v/>
      </c>
      <c r="Q981" t="n">
        <v>0</v>
      </c>
      <c r="R981" t="n">
        <v>0</v>
      </c>
      <c r="S981">
        <f>IFERROR(O981/N981,0)</f>
        <v/>
      </c>
      <c r="T981">
        <f>IF(C981,(Skills!G2*N981*B1013)*IF(Inputs!$B$38="pvp",1,1+(Inputs!$B$20+0+Skills!P2)/100),0)</f>
        <v/>
      </c>
      <c r="U981">
        <f>MAX(0,(Inputs!$B$3-100)*3)+Inputs!$B$28+Inputs!$B$29</f>
        <v/>
      </c>
      <c r="V981">
        <f>IF(C981,(Skills!G2*N981*B1013)*IF(Inputs!$B$38="pvp",1,(1+(Inputs!$B$21+Skills!Q2)/100)*(MIN((6+Inputs!$B$33),Inputs!$B$37))),0)</f>
        <v/>
      </c>
    </row>
    <row r="982">
      <c r="A982">
        <f>Skills!A3</f>
        <v/>
      </c>
      <c r="B982">
        <f>Skills!B3</f>
        <v/>
      </c>
      <c r="C982">
        <f>Inputs!$B$3&gt;=35</f>
        <v/>
      </c>
      <c r="D982">
        <f>IF(Skills!C3=1,60+Inputs!$B$25+Inputs!$B$29,IF(Skills!C3=2,90+Inputs!$B$26+Inputs!$B$29,IF(Skills!C3=3,120+Inputs!$B$27+Inputs!$B$29,MAX(0,(Inputs!$B$3-100)*3)+Inputs!$B$28+Inputs!$B$29)))</f>
        <v/>
      </c>
      <c r="E982">
        <f>INDEX(FactorTable!$B$2:$Y$301, MATCH(ROUND(MIN(300,MAX(1,D982)),0), FactorTable!$A$2:$A$301,0), Skills!M3+1)</f>
        <v/>
      </c>
      <c r="F982">
        <f>IF(Skills!N3=TRUE,(Skills!L3/10)*(E982/1000),Skills!L3/10)+Skills!O3</f>
        <v/>
      </c>
      <c r="G982">
        <f>Skills!G3*IF(Skills!H3&gt;0,Skills!I3/Skills!H3,1)</f>
        <v/>
      </c>
      <c r="H982">
        <f>1-(1-Skills!J3/100)^Skills!K3</f>
        <v/>
      </c>
      <c r="I982" t="inlineStr">
        <is>
          <t>1</t>
        </is>
      </c>
      <c r="J982">
        <f>((Inputs!$B$6*(1+(Inputs!$B$7+1)/100))+(((Inputs!$B$12*(1+Inputs!$B$13/100))-(Inputs!$B$12*(1+Inputs!$B$13/100)))+0.25*(Inputs!$B$14-Inputs!$B$14))*(1+(Inputs!$B$7+1)/100))*(F982/100)</f>
        <v/>
      </c>
      <c r="K982">
        <f>J982*(1+((Inputs!$B$12*(1+Inputs!$B$13/100))*0.01+Inputs!$B$14*0.0025)/100)*(1+Inputs!$B$15/100)*(1+Inputs!$B$16/100)*(5000/(6000+Inputs!$B$42*(1-(Inputs!$B$19+0)/100)))*(1+(Inputs!$B$24+((C1005=TRUE)*(F1005-Calc!F26))+B1015)/100)*(1+4.0*IF(C994=TRUE,F994,0)/100)*(1+(IF(Skills!A3="EIGHT_LEGS_EASTON",Inputs!$B$17+((C1002=TRUE)*(F1002-Calc!F23))+((C1006=TRUE)*(F1006-Calc!F27)),Inputs!$B$18+0))/100)*((1+(((C996=TRUE)*F996)+((C1003=TRUE)*(F1003-Calc!F24)))/100)*I982)</f>
        <v/>
      </c>
      <c r="L982">
        <f>K982*(MIN(Inputs!$B$22+((C1001=TRUE)*(F1001-Calc!F22)),Inputs!$B$23+0)/100+(Inputs!$B$23+0)/100)/2</f>
        <v/>
      </c>
      <c r="M982">
        <f>L982*(1+(Inputs!$B$10+((C1004=TRUE)*(F1004-Calc!F25))+B1014)/100)</f>
        <v/>
      </c>
      <c r="N982">
        <f>L982*(1-MIN((Inputs!$B$9+((C998=TRUE)*(F998-Calc!F19))+B1009),100)/100)+M982*(MIN((Inputs!$B$9+((C998=TRUE)*(F998-Calc!F19))+B1009),100)/100)</f>
        <v/>
      </c>
      <c r="O982">
        <f>(1-Summary!$B$55)*T982+Summary!$B$55*V982</f>
        <v/>
      </c>
      <c r="P982">
        <f>IF(B1019=0,0,O982/B1019)</f>
        <v/>
      </c>
      <c r="Q982">
        <f>IFERROR(1/IF(Inputs!$B$38="pvp",15,MAX(0.1,Skills!D3-IF(Skills!E3=TRUE,Inputs!$B$32,0))),0)</f>
        <v/>
      </c>
      <c r="R982">
        <f>IF(AND(Inputs!$B$38&lt;&gt;"pvp",Inputs!$B$43&gt;0),IF(MAX(0,Inputs!$B$43-B1016)&lt;=0,0,(INT(MAX(0,Inputs!$B$43-B1016)/IF(Inputs!$B$38="pvp",15,MAX(0.1,Skills!D3-IF(Skills!E3=TRUE,Inputs!$B$32,0))))+1)),0)</f>
        <v/>
      </c>
      <c r="S982">
        <f>IFERROR(O982/N982,0)</f>
        <v/>
      </c>
      <c r="T982">
        <f>IF(C982,(H982*N982*IF(AND(Inputs!$B$38&lt;&gt;"pvp",Inputs!$B$43&gt;0),((Skills!G3*((R982-1)*IF(Skills!H3&gt;0,Skills!I3/Skills!H3,1)+IF(Skills!H3&gt;0,MIN(Skills!I3,MAX(0,MAX(0,Inputs!$B$43-B1016)-((R982-1)*IF(Inputs!$B$38="pvp",15,MAX(0.1,Skills!D3-IF(Skills!E3=TRUE,Inputs!$B$32,0))))))/Skills!H3,1)))/Inputs!$B$43),G982*Q982))*IF(Inputs!$B$38="pvp",1,1+(Inputs!$B$20+0+Skills!P3)/100),0)</f>
        <v/>
      </c>
      <c r="U982">
        <f>INDEX(FactorTable!$B$2:$Y$301, MATCH(ROUND(MIN(300,MAX(1,U981)),0), FactorTable!$A$2:$A$301,0), 22)</f>
        <v/>
      </c>
      <c r="V982">
        <f>IF(C982,(H982*N982*IF(AND(Inputs!$B$38&lt;&gt;"pvp",Inputs!$B$43&gt;0),((Skills!G3*((R982-1)*IF(Skills!H3&gt;0,Skills!I3/Skills!H3,1)+IF(Skills!H3&gt;0,MIN(Skills!I3,MAX(0,MAX(0,Inputs!$B$43-B1016)-((R982-1)*IF(Inputs!$B$38="pvp",15,MAX(0.1,Skills!D3-IF(Skills!E3=TRUE,Inputs!$B$32,0))))))/Skills!H3,1)))/Inputs!$B$43),G982*Q982))*IF(Inputs!$B$38="pvp",1,(1+(Inputs!$B$21+Skills!Q3)/100)*(MIN(Skills!R3,Inputs!$B$37))),0)</f>
        <v/>
      </c>
    </row>
    <row r="983">
      <c r="A983">
        <f>Skills!A4</f>
        <v/>
      </c>
      <c r="B983">
        <f>Skills!B4</f>
        <v/>
      </c>
      <c r="C983">
        <f>Inputs!$B$3&gt;=40</f>
        <v/>
      </c>
      <c r="D983">
        <f>IF(Skills!C4=1,60+Inputs!$B$25+Inputs!$B$29,IF(Skills!C4=2,90+Inputs!$B$26+Inputs!$B$29,IF(Skills!C4=3,120+Inputs!$B$27+Inputs!$B$29,MAX(0,(Inputs!$B$3-100)*3)+Inputs!$B$28+Inputs!$B$29)))</f>
        <v/>
      </c>
      <c r="E983">
        <f>INDEX(FactorTable!$B$2:$Y$301, MATCH(ROUND(MIN(300,MAX(1,D983)),0), FactorTable!$A$2:$A$301,0), Skills!M4+1)</f>
        <v/>
      </c>
      <c r="F983">
        <f>IF(Skills!N4=TRUE,(Skills!L4/10)*(E983/1000),Skills!L4/10)+Skills!O4</f>
        <v/>
      </c>
      <c r="G983">
        <f>Skills!G4*IF(Skills!H4&gt;0,Skills!I4/Skills!H4,1)</f>
        <v/>
      </c>
      <c r="H983">
        <f>1-(1-Skills!J4/100)^Skills!K4</f>
        <v/>
      </c>
      <c r="I983" t="inlineStr">
        <is>
          <t>1</t>
        </is>
      </c>
      <c r="J983">
        <f>((Inputs!$B$6*(1+(Inputs!$B$7+1)/100))+(((Inputs!$B$12*(1+Inputs!$B$13/100))-(Inputs!$B$12*(1+Inputs!$B$13/100)))+0.25*(Inputs!$B$14-Inputs!$B$14))*(1+(Inputs!$B$7+1)/100))*(F983/100)</f>
        <v/>
      </c>
      <c r="K983">
        <f>J983*(1+((Inputs!$B$12*(1+Inputs!$B$13/100))*0.01+Inputs!$B$14*0.0025)/100)*(1+Inputs!$B$15/100)*(1+Inputs!$B$16/100)*(5000/(6000+Inputs!$B$42*(1-(Inputs!$B$19+0)/100)))*(1+(Inputs!$B$24+((C1005=TRUE)*(F1005-Calc!F26))+B1015)/100)*(1+1.0*IF(C995=TRUE,F995,0)/100)*(1+(IF(Skills!A4="EIGHT_LEGS_EASTON",Inputs!$B$17+((C1002=TRUE)*(F1002-Calc!F23))+((C1006=TRUE)*(F1006-Calc!F27)),Inputs!$B$18+0))/100)*((1+(((C996=TRUE)*F996)+((C1003=TRUE)*(F1003-Calc!F24)))/100)*I983)</f>
        <v/>
      </c>
      <c r="L983">
        <f>K983*(MIN(Inputs!$B$22+((C1001=TRUE)*(F1001-Calc!F22)),Inputs!$B$23+0)/100+(Inputs!$B$23+0)/100)/2</f>
        <v/>
      </c>
      <c r="M983">
        <f>L983*(1+(Inputs!$B$10+((C1004=TRUE)*(F1004-Calc!F25))+B1014)/100)</f>
        <v/>
      </c>
      <c r="N983">
        <f>L983*(1-MIN((Inputs!$B$9+((C998=TRUE)*(F998-Calc!F19))+B1009),100)/100)+M983*(MIN((Inputs!$B$9+((C998=TRUE)*(F998-Calc!F19))+B1009),100)/100)</f>
        <v/>
      </c>
      <c r="O983">
        <f>(1-Summary!$B$55)*T983+Summary!$B$55*V983</f>
        <v/>
      </c>
      <c r="P983">
        <f>IF(B1019=0,0,O983/B1019)</f>
        <v/>
      </c>
      <c r="Q983">
        <f>IFERROR(1/IF(Inputs!$B$38="pvp",15,MAX(0.1,Skills!D4-IF(Skills!E4=TRUE,Inputs!$B$32,0))),0)</f>
        <v/>
      </c>
      <c r="R983">
        <f>IF(AND(Inputs!$B$38&lt;&gt;"pvp",Inputs!$B$43&gt;0),IF(MAX(0,Inputs!$B$43-B1016)&lt;=0,0,(INT(MAX(0,Inputs!$B$43-B1016)/IF(Inputs!$B$38="pvp",15,MAX(0.1,Skills!D4-IF(Skills!E4=TRUE,Inputs!$B$32,0))))+1)),0)</f>
        <v/>
      </c>
      <c r="S983">
        <f>IFERROR(O983/N983,0)</f>
        <v/>
      </c>
      <c r="T983">
        <f>IF(C983,(H983*N983*IF(AND(Inputs!$B$38&lt;&gt;"pvp",Inputs!$B$43&gt;0),((Skills!G4*((R983-1)*IF(Skills!H4&gt;0,Skills!I4/Skills!H4,1)+IF(Skills!H4&gt;0,MIN(Skills!I4,MAX(0,MAX(0,Inputs!$B$43-B1016)-((R983-1)*IF(Inputs!$B$38="pvp",15,MAX(0.1,Skills!D4-IF(Skills!E4=TRUE,Inputs!$B$32,0))))))/Skills!H4,1)))/Inputs!$B$43),G983*Q983))*IF(Inputs!$B$38="pvp",1,1+(Inputs!$B$20+0+Skills!P4)/100),0)</f>
        <v/>
      </c>
      <c r="U983">
        <f>290*U982/1000</f>
        <v/>
      </c>
      <c r="V983">
        <f>IF(C983,(H983*N983*IF(AND(Inputs!$B$38&lt;&gt;"pvp",Inputs!$B$43&gt;0),((Skills!G4*((R983-1)*IF(Skills!H4&gt;0,Skills!I4/Skills!H4,1)+IF(Skills!H4&gt;0,MIN(Skills!I4,MAX(0,MAX(0,Inputs!$B$43-B1016)-((R983-1)*IF(Inputs!$B$38="pvp",15,MAX(0.1,Skills!D4-IF(Skills!E4=TRUE,Inputs!$B$32,0))))))/Skills!H4,1)))/Inputs!$B$43),G983*Q983))*IF(Inputs!$B$38="pvp",1,(1+(Inputs!$B$21+Skills!Q4)/100)*(MIN(Skills!R4,Inputs!$B$37))),0)</f>
        <v/>
      </c>
    </row>
    <row r="984">
      <c r="A984">
        <f>Skills!A5</f>
        <v/>
      </c>
      <c r="B984">
        <f>Skills!B5</f>
        <v/>
      </c>
      <c r="C984">
        <f>Inputs!$B$3&gt;=45</f>
        <v/>
      </c>
      <c r="D984">
        <f>IF(Skills!C5=1,60+Inputs!$B$25+Inputs!$B$29,IF(Skills!C5=2,90+Inputs!$B$26+Inputs!$B$29,IF(Skills!C5=3,120+Inputs!$B$27+Inputs!$B$29,MAX(0,(Inputs!$B$3-100)*3)+Inputs!$B$28+Inputs!$B$29)))</f>
        <v/>
      </c>
      <c r="E984">
        <f>INDEX(FactorTable!$B$2:$Y$301, MATCH(ROUND(MIN(300,MAX(1,D984)),0), FactorTable!$A$2:$A$301,0), Skills!M5+1)</f>
        <v/>
      </c>
      <c r="F984">
        <f>IF(Skills!N5=TRUE,(Skills!L5/10)*(E984/1000),Skills!L5/10)+Skills!O5</f>
        <v/>
      </c>
      <c r="G984">
        <f>Skills!G5*IF(Skills!H5&gt;0,Skills!I5/Skills!H5,1)</f>
        <v/>
      </c>
      <c r="H984">
        <f>1-(1-Skills!J5/100)^Skills!K5</f>
        <v/>
      </c>
      <c r="I984" t="inlineStr">
        <is>
          <t>1</t>
        </is>
      </c>
      <c r="J984">
        <f>((Inputs!$B$6*(1+(Inputs!$B$7+1)/100))+(((Inputs!$B$12*(1+Inputs!$B$13/100))-(Inputs!$B$12*(1+Inputs!$B$13/100)))+0.25*(Inputs!$B$14-Inputs!$B$14))*(1+(Inputs!$B$7+1)/100))*(F984/100)</f>
        <v/>
      </c>
      <c r="K984">
        <f>J984*(1+((Inputs!$B$12*(1+Inputs!$B$13/100))*0.01+Inputs!$B$14*0.0025)/100)*(1+Inputs!$B$15/100)*(1+Inputs!$B$16/100)*(5000/(6000+Inputs!$B$42*(1-(Inputs!$B$19+0)/100)))*(1+(Inputs!$B$24+((C1005=TRUE)*(F1005-Calc!F26))+B1015)/100)*(1+0.4*IF(C995=TRUE,F995,0)/100)*(1+(IF(Skills!A5="EIGHT_LEGS_EASTON",Inputs!$B$17+((C1002=TRUE)*(F1002-Calc!F23))+((C1006=TRUE)*(F1006-Calc!F27)),Inputs!$B$18+0))/100)*((1+(((C996=TRUE)*F996)+((C1003=TRUE)*(F1003-Calc!F24)))/100)*I984)</f>
        <v/>
      </c>
      <c r="L984">
        <f>K984*(MIN(Inputs!$B$22+((C1001=TRUE)*(F1001-Calc!F22)),Inputs!$B$23+0)/100+(Inputs!$B$23+0)/100)/2</f>
        <v/>
      </c>
      <c r="M984">
        <f>L984*(1+(Inputs!$B$10+((C1004=TRUE)*(F1004-Calc!F25))+B1014)/100)</f>
        <v/>
      </c>
      <c r="N984">
        <f>L984*(1-MIN((Inputs!$B$9+((C998=TRUE)*(F998-Calc!F19))+B1009),100)/100)+M984*(MIN((Inputs!$B$9+((C998=TRUE)*(F998-Calc!F19))+B1009),100)/100)</f>
        <v/>
      </c>
      <c r="O984">
        <f>(1-Summary!$B$55)*T984+Summary!$B$55*V984</f>
        <v/>
      </c>
      <c r="P984">
        <f>IF(B1019=0,0,O984/B1019)</f>
        <v/>
      </c>
      <c r="Q984">
        <f>IFERROR(1/IF(Inputs!$B$38="pvp",15,MAX(0.1,Skills!D5-IF(Skills!E5=TRUE,Inputs!$B$32,0))),0)</f>
        <v/>
      </c>
      <c r="R984">
        <f>IF(AND(Inputs!$B$38&lt;&gt;"pvp",Inputs!$B$43&gt;0),IF(MAX(0,Inputs!$B$43-B1016)&lt;=0,0,(INT(MAX(0,Inputs!$B$43-B1016)/IF(Inputs!$B$38="pvp",15,MAX(0.1,Skills!D5-IF(Skills!E5=TRUE,Inputs!$B$32,0))))+1)),0)</f>
        <v/>
      </c>
      <c r="S984">
        <f>IFERROR(O984/N984,0)</f>
        <v/>
      </c>
      <c r="T984">
        <f>IF(C984,(H984*N984*IF(AND(Inputs!$B$38&lt;&gt;"pvp",Inputs!$B$43&gt;0),((Skills!G5*((R984-1)*IF(Skills!H5&gt;0,Skills!I5/Skills!H5,1)+IF(Skills!H5&gt;0,MIN(Skills!I5,MAX(0,MAX(0,Inputs!$B$43-B1016)-((R984-1)*IF(Inputs!$B$38="pvp",15,MAX(0.1,Skills!D5-IF(Skills!E5=TRUE,Inputs!$B$32,0))))))/Skills!H5,1)))/Inputs!$B$43),G984*Q984))*IF(Inputs!$B$38="pvp",1,1+(Inputs!$B$20+0+Skills!P5)/100),0)</f>
        <v/>
      </c>
      <c r="V984">
        <f>IF(C984,(H984*N984*IF(AND(Inputs!$B$38&lt;&gt;"pvp",Inputs!$B$43&gt;0),((Skills!G5*((R984-1)*IF(Skills!H5&gt;0,Skills!I5/Skills!H5,1)+IF(Skills!H5&gt;0,MIN(Skills!I5,MAX(0,MAX(0,Inputs!$B$43-B1016)-((R984-1)*IF(Inputs!$B$38="pvp",15,MAX(0.1,Skills!D5-IF(Skills!E5=TRUE,Inputs!$B$32,0))))))/Skills!H5,1)))/Inputs!$B$43),G984*Q984))*IF(Inputs!$B$38="pvp",1,(1+(Inputs!$B$21+Skills!Q5)/100)*(MIN(Skills!R5,Inputs!$B$37))),0)</f>
        <v/>
      </c>
    </row>
    <row r="985">
      <c r="A985">
        <f>Skills!A6</f>
        <v/>
      </c>
      <c r="B985">
        <f>Skills!B6</f>
        <v/>
      </c>
      <c r="C985">
        <f>Inputs!$B$3&gt;=63</f>
        <v/>
      </c>
      <c r="D985">
        <f>IF(Skills!C6=1,60+Inputs!$B$25+Inputs!$B$29,IF(Skills!C6=2,90+Inputs!$B$26+Inputs!$B$29,IF(Skills!C6=3,120+Inputs!$B$27+Inputs!$B$29,MAX(0,(Inputs!$B$3-100)*3)+Inputs!$B$28+Inputs!$B$29)))</f>
        <v/>
      </c>
      <c r="E985">
        <f>INDEX(FactorTable!$B$2:$Y$301, MATCH(ROUND(MIN(300,MAX(1,D985)),0), FactorTable!$A$2:$A$301,0), Skills!M6+1)</f>
        <v/>
      </c>
      <c r="F985">
        <f>IF(Skills!N6=TRUE,(Skills!L6/10)*(E985/1000),Skills!L6/10)+Skills!O6</f>
        <v/>
      </c>
      <c r="G985">
        <f>Skills!G6*IF(Skills!H6&gt;0,Skills!I6/Skills!H6,1)</f>
        <v/>
      </c>
      <c r="H985">
        <f>1-(1-Skills!J6/100)^Skills!K6</f>
        <v/>
      </c>
      <c r="I985" t="inlineStr">
        <is>
          <t>1</t>
        </is>
      </c>
      <c r="J985">
        <f>((Inputs!$B$6*(1+(Inputs!$B$7+1)/100))+(((Inputs!$B$12*(1+Inputs!$B$13/100))-(Inputs!$B$12*(1+Inputs!$B$13/100)))+0.25*(Inputs!$B$14-Inputs!$B$14))*(1+(Inputs!$B$7+1)/100))*(F985/100)</f>
        <v/>
      </c>
      <c r="K985">
        <f>J985*(1+((Inputs!$B$12*(1+Inputs!$B$13/100))*0.01+Inputs!$B$14*0.0025)/100)*(1+Inputs!$B$15/100)*(1+Inputs!$B$16/100)*(5000/(6000+Inputs!$B$42*(1-(Inputs!$B$19+0)/100)))*(1+(Inputs!$B$24+((C1005=TRUE)*(F1005-Calc!F26))+B1015)/100)*(1+2.0*IF(C994=TRUE,F994,0)/100)*(1+(IF(Skills!A6="EIGHT_LEGS_EASTON",Inputs!$B$17+((C1002=TRUE)*(F1002-Calc!F23))+((C1006=TRUE)*(F1006-Calc!F27)),Inputs!$B$18+0))/100)*((1+(((C996=TRUE)*F996)+((C1003=TRUE)*(F1003-Calc!F24)))/100)*I985)</f>
        <v/>
      </c>
      <c r="L985">
        <f>K985*(MIN(Inputs!$B$22+((C1001=TRUE)*(F1001-Calc!F22)),Inputs!$B$23+0)/100+(Inputs!$B$23+0)/100)/2</f>
        <v/>
      </c>
      <c r="M985">
        <f>L985*(1+(Inputs!$B$10+((C1004=TRUE)*(F1004-Calc!F25))+B1014)/100)</f>
        <v/>
      </c>
      <c r="N985">
        <f>L985*(1-MIN((Inputs!$B$9+((C998=TRUE)*(F998-Calc!F19))+B1009),100)/100)+M985*(MIN((Inputs!$B$9+((C998=TRUE)*(F998-Calc!F19))+B1009),100)/100)</f>
        <v/>
      </c>
      <c r="O985">
        <f>(1-Summary!$B$55)*T985+Summary!$B$55*V985</f>
        <v/>
      </c>
      <c r="P985">
        <f>IF(B1019=0,0,O985/B1019)</f>
        <v/>
      </c>
      <c r="Q985">
        <f>IFERROR(1/IF(Inputs!$B$38="pvp",15,MAX(0.1,Skills!D6-IF(Skills!E6=TRUE,Inputs!$B$32,0))),0)</f>
        <v/>
      </c>
      <c r="R985">
        <f>IF(AND(Inputs!$B$38&lt;&gt;"pvp",Inputs!$B$43&gt;0),IF(MAX(0,Inputs!$B$43-B1016)&lt;=0,0,(INT(MAX(0,Inputs!$B$43-B1016)/IF(Inputs!$B$38="pvp",15,MAX(0.1,Skills!D6-IF(Skills!E6=TRUE,Inputs!$B$32,0))))+1)),0)</f>
        <v/>
      </c>
      <c r="S985">
        <f>IFERROR(O985/N985,0)</f>
        <v/>
      </c>
      <c r="T985">
        <f>IF(C985,(H985*N985*IF(AND(Inputs!$B$38&lt;&gt;"pvp",Inputs!$B$43&gt;0),((Skills!G6*((R985-1)*IF(Skills!H6&gt;0,Skills!I6/Skills!H6,1)+IF(Skills!H6&gt;0,MIN(Skills!I6,MAX(0,MAX(0,Inputs!$B$43-B1016)-((R985-1)*IF(Inputs!$B$38="pvp",15,MAX(0.1,Skills!D6-IF(Skills!E6=TRUE,Inputs!$B$32,0))))))/Skills!H6,1)))/Inputs!$B$43),G985*Q985))*IF(Inputs!$B$38="pvp",1,1+(Inputs!$B$20+0+Skills!P6)/100),0)</f>
        <v/>
      </c>
      <c r="V985">
        <f>IF(C985,(H985*N985*IF(AND(Inputs!$B$38&lt;&gt;"pvp",Inputs!$B$43&gt;0),((Skills!G6*((R985-1)*IF(Skills!H6&gt;0,Skills!I6/Skills!H6,1)+IF(Skills!H6&gt;0,MIN(Skills!I6,MAX(0,MAX(0,Inputs!$B$43-B1016)-((R985-1)*IF(Inputs!$B$38="pvp",15,MAX(0.1,Skills!D6-IF(Skills!E6=TRUE,Inputs!$B$32,0))))))/Skills!H6,1)))/Inputs!$B$43),G985*Q985))*IF(Inputs!$B$38="pvp",1,(1+(Inputs!$B$21+Skills!Q6)/100)*(MIN(Skills!R6,Inputs!$B$37))),0)</f>
        <v/>
      </c>
    </row>
    <row r="986">
      <c r="A986">
        <f>Skills!A7</f>
        <v/>
      </c>
      <c r="B986">
        <f>Skills!B7</f>
        <v/>
      </c>
      <c r="C986">
        <f>Inputs!$B$3&gt;=66</f>
        <v/>
      </c>
      <c r="D986">
        <f>IF(Skills!C7=1,60+Inputs!$B$25+Inputs!$B$29,IF(Skills!C7=2,90+Inputs!$B$26+Inputs!$B$29,IF(Skills!C7=3,120+Inputs!$B$27+Inputs!$B$29,MAX(0,(Inputs!$B$3-100)*3)+Inputs!$B$28+Inputs!$B$29)))</f>
        <v/>
      </c>
      <c r="E986">
        <f>INDEX(FactorTable!$B$2:$Y$301, MATCH(ROUND(MIN(300,MAX(1,D986)),0), FactorTable!$A$2:$A$301,0), Skills!M7+1)</f>
        <v/>
      </c>
      <c r="F986">
        <f>IF(Skills!N7=TRUE,(Skills!L7/10)*(E986/1000),Skills!L7/10)+Skills!O7</f>
        <v/>
      </c>
      <c r="G986">
        <f>Skills!G7*IF(Skills!H7&gt;0,Skills!I7/Skills!H7,1)</f>
        <v/>
      </c>
      <c r="H986">
        <f>1-(1-Skills!J7/100)^Skills!K7</f>
        <v/>
      </c>
      <c r="I986" t="inlineStr">
        <is>
          <t>1</t>
        </is>
      </c>
      <c r="J986">
        <f>((Inputs!$B$6*(1+(Inputs!$B$7+1)/100))+(((Inputs!$B$12*(1+Inputs!$B$13/100))-(Inputs!$B$12*(1+Inputs!$B$13/100)))+0.25*(Inputs!$B$14-Inputs!$B$14))*(1+(Inputs!$B$7+1)/100))*(F986/100)</f>
        <v/>
      </c>
      <c r="K986">
        <f>J986*(1+((Inputs!$B$12*(1+Inputs!$B$13/100))*0.01+Inputs!$B$14*0.0025)/100)*(1+Inputs!$B$15/100)*(1+Inputs!$B$16/100)*(5000/(6000+Inputs!$B$42*(1-(Inputs!$B$19+0)/100)))*(1+(Inputs!$B$24+((C1005=TRUE)*(F1005-Calc!F26))+B1015)/100)*(1+1.0*IF(C994=TRUE,F994,0)/100)*(1+(IF(Skills!A7="EIGHT_LEGS_EASTON",Inputs!$B$17+((C1002=TRUE)*(F1002-Calc!F23))+((C1006=TRUE)*(F1006-Calc!F27)),Inputs!$B$18+0))/100)*((1+(((C996=TRUE)*F996)+((C1003=TRUE)*(F1003-Calc!F24)))/100)*I986)</f>
        <v/>
      </c>
      <c r="L986">
        <f>K986*(MIN(Inputs!$B$22+((C1001=TRUE)*(F1001-Calc!F22)),Inputs!$B$23+0)/100+(Inputs!$B$23+0)/100)/2</f>
        <v/>
      </c>
      <c r="M986">
        <f>L986*(1+(Inputs!$B$10+((C1004=TRUE)*(F1004-Calc!F25))+B1014)/100)</f>
        <v/>
      </c>
      <c r="N986">
        <f>L986*(1-MIN((Inputs!$B$9+((C998=TRUE)*(F998-Calc!F19))+B1009),100)/100)+M986*(MIN((Inputs!$B$9+((C998=TRUE)*(F998-Calc!F19))+B1009),100)/100)</f>
        <v/>
      </c>
      <c r="O986">
        <f>(1-Summary!$B$55)*T986+Summary!$B$55*V986</f>
        <v/>
      </c>
      <c r="P986">
        <f>IF(B1019=0,0,O986/B1019)</f>
        <v/>
      </c>
      <c r="Q986">
        <f>IFERROR(1/IF(Inputs!$B$38="pvp",15,MAX(0.1,Skills!D7-IF(Skills!E7=TRUE,Inputs!$B$32,0))),0)</f>
        <v/>
      </c>
      <c r="R986">
        <f>IF(AND(Inputs!$B$38&lt;&gt;"pvp",Inputs!$B$43&gt;0),IF(MAX(0,Inputs!$B$43-B1016)&lt;=0,0,(INT(MAX(0,Inputs!$B$43-B1016)/IF(Inputs!$B$38="pvp",15,MAX(0.1,Skills!D7-IF(Skills!E7=TRUE,Inputs!$B$32,0))))+1)),0)</f>
        <v/>
      </c>
      <c r="S986">
        <f>IFERROR(O986/N986,0)</f>
        <v/>
      </c>
      <c r="T986">
        <f>IF(C986,(H986*N986*IF(AND(Inputs!$B$38&lt;&gt;"pvp",Inputs!$B$43&gt;0),((Skills!G7*((R986-1)*IF(Skills!H7&gt;0,Skills!I7/Skills!H7,1)+IF(Skills!H7&gt;0,MIN(Skills!I7,MAX(0,MAX(0,Inputs!$B$43-B1016)-((R986-1)*IF(Inputs!$B$38="pvp",15,MAX(0.1,Skills!D7-IF(Skills!E7=TRUE,Inputs!$B$32,0))))))/Skills!H7,1)))/Inputs!$B$43),G986*Q986))*IF(Inputs!$B$38="pvp",1,1+(Inputs!$B$20+0+Skills!P7)/100),0)</f>
        <v/>
      </c>
      <c r="V986">
        <f>IF(C986,(H986*N986*IF(AND(Inputs!$B$38&lt;&gt;"pvp",Inputs!$B$43&gt;0),((Skills!G7*((R986-1)*IF(Skills!H7&gt;0,Skills!I7/Skills!H7,1)+IF(Skills!H7&gt;0,MIN(Skills!I7,MAX(0,MAX(0,Inputs!$B$43-B1016)-((R986-1)*IF(Inputs!$B$38="pvp",15,MAX(0.1,Skills!D7-IF(Skills!E7=TRUE,Inputs!$B$32,0))))))/Skills!H7,1)))/Inputs!$B$43),G986*Q986))*IF(Inputs!$B$38="pvp",1,(1+(Inputs!$B$21+Skills!Q7)/100)*(MIN(Skills!R7,Inputs!$B$37))),0)</f>
        <v/>
      </c>
    </row>
    <row r="987">
      <c r="A987">
        <f>Skills!A8</f>
        <v/>
      </c>
      <c r="B987">
        <f>Skills!B8</f>
        <v/>
      </c>
      <c r="C987">
        <f>Inputs!$B$3&gt;=100</f>
        <v/>
      </c>
      <c r="D987">
        <f>IF(Skills!C8=1,60+Inputs!$B$25+Inputs!$B$29,IF(Skills!C8=2,90+Inputs!$B$26+Inputs!$B$29,IF(Skills!C8=3,120+Inputs!$B$27+Inputs!$B$29,MAX(0,(Inputs!$B$3-100)*3)+Inputs!$B$28+Inputs!$B$29)))</f>
        <v/>
      </c>
      <c r="E987">
        <f>INDEX(FactorTable!$B$2:$Y$301, MATCH(ROUND(MIN(300,MAX(1,D987)),0), FactorTable!$A$2:$A$301,0), Skills!M8+1)</f>
        <v/>
      </c>
      <c r="F987">
        <f>IF(Skills!N8=TRUE,(Skills!L8/10)*(E987/1000),Skills!L8/10)+Skills!O8</f>
        <v/>
      </c>
      <c r="G987">
        <f>Skills!G8*IF(Skills!H8&gt;0,Skills!I8/Skills!H8,1)</f>
        <v/>
      </c>
      <c r="H987">
        <f>1-(1-Skills!J8/100)^Skills!K8</f>
        <v/>
      </c>
      <c r="I987" t="inlineStr">
        <is>
          <t>1</t>
        </is>
      </c>
      <c r="J987">
        <f>((Inputs!$B$6*(1+(Inputs!$B$7+1)/100))+(((Inputs!$B$12*(1+Inputs!$B$13/100))-(Inputs!$B$12*(1+Inputs!$B$13/100)))+0.25*(Inputs!$B$14-Inputs!$B$14))*(1+(Inputs!$B$7+1)/100))*(F987/100)</f>
        <v/>
      </c>
      <c r="K987">
        <f>J987*(1+((Inputs!$B$12*(1+Inputs!$B$13/100))*0.01+Inputs!$B$14*0.0025)/100)*(1+Inputs!$B$15/100)*(1+Inputs!$B$16/100)*(5000/(6000+Inputs!$B$42*(1-(Inputs!$B$19+0)/100)))*(1+(Inputs!$B$24+((C1005=TRUE)*(F1005-Calc!F26))+B1015)/100)*(1+(IF(Skills!A8="EIGHT_LEGS_EASTON",Inputs!$B$17+((C1002=TRUE)*(F1002-Calc!F23))+((C1006=TRUE)*(F1006-Calc!F27)),Inputs!$B$18+0))/100)*((1+(((C996=TRUE)*F996)+((C1003=TRUE)*(F1003-Calc!F24)))/100)*I987)</f>
        <v/>
      </c>
      <c r="L987">
        <f>K987*(MIN(Inputs!$B$22+((C1001=TRUE)*(F1001-Calc!F22)),Inputs!$B$23+0)/100+(Inputs!$B$23+0)/100)/2</f>
        <v/>
      </c>
      <c r="M987">
        <f>L987*(1+(Inputs!$B$10+((C1004=TRUE)*(F1004-Calc!F25))+B1014)/100)</f>
        <v/>
      </c>
      <c r="N987">
        <f>L987*(1-MIN((Inputs!$B$9+((C998=TRUE)*(F998-Calc!F19))+B1009),100)/100)+M987*(MIN((Inputs!$B$9+((C998=TRUE)*(F998-Calc!F19))+B1009),100)/100)</f>
        <v/>
      </c>
      <c r="O987">
        <f>(1-Summary!$B$55)*T987+Summary!$B$55*V987</f>
        <v/>
      </c>
      <c r="P987">
        <f>IF(B1019=0,0,O987/B1019)</f>
        <v/>
      </c>
      <c r="Q987">
        <f>IFERROR(1/IF(Inputs!$B$38="pvp",15,MAX(0.1,Skills!D8-IF(Skills!E8=TRUE,Inputs!$B$32,0))),0)</f>
        <v/>
      </c>
      <c r="R987">
        <f>IF(AND(Inputs!$B$38&lt;&gt;"pvp",Inputs!$B$43&gt;0),IF(MAX(0,Inputs!$B$43-B1016)&lt;=0,0,(INT(MAX(0,Inputs!$B$43-B1016)/IF(Inputs!$B$38="pvp",15,MAX(0.1,Skills!D8-IF(Skills!E8=TRUE,Inputs!$B$32,0))))+1)),0)</f>
        <v/>
      </c>
      <c r="S987">
        <f>IFERROR(O987/N987,0)</f>
        <v/>
      </c>
      <c r="T987">
        <f>IF(C987,(H987*N987*IF(AND(Inputs!$B$38&lt;&gt;"pvp",Inputs!$B$43&gt;0),((Skills!G8*((R987-1)*IF(Skills!H8&gt;0,Skills!I8/Skills!H8,1)+IF(Skills!H8&gt;0,MIN(Skills!I8,MAX(0,MAX(0,Inputs!$B$43-B1016)-((R987-1)*IF(Inputs!$B$38="pvp",15,MAX(0.1,Skills!D8-IF(Skills!E8=TRUE,Inputs!$B$32,0))))))/Skills!H8,1)))/Inputs!$B$43),G987*Q987))*IF(Inputs!$B$38="pvp",1,1+(Inputs!$B$20+0+Skills!P8)/100),0)</f>
        <v/>
      </c>
      <c r="V987">
        <f>IF(C987,(H987*N987*IF(AND(Inputs!$B$38&lt;&gt;"pvp",Inputs!$B$43&gt;0),((Skills!G8*((R987-1)*IF(Skills!H8&gt;0,Skills!I8/Skills!H8,1)+IF(Skills!H8&gt;0,MIN(Skills!I8,MAX(0,MAX(0,Inputs!$B$43-B1016)-((R987-1)*IF(Inputs!$B$38="pvp",15,MAX(0.1,Skills!D8-IF(Skills!E8=TRUE,Inputs!$B$32,0))))))/Skills!H8,1)))/Inputs!$B$43),G987*Q987))*IF(Inputs!$B$38="pvp",1,(1+(Inputs!$B$21+Skills!Q8)/100)*(MIN(Skills!R8,Inputs!$B$37))),0)</f>
        <v/>
      </c>
    </row>
    <row r="988">
      <c r="A988">
        <f>Skills!A9</f>
        <v/>
      </c>
      <c r="B988">
        <f>Skills!B9</f>
        <v/>
      </c>
      <c r="C988">
        <f>Inputs!$B$3&gt;=103</f>
        <v/>
      </c>
      <c r="D988">
        <f>IF(Skills!C9=1,60+Inputs!$B$25+Inputs!$B$29,IF(Skills!C9=2,90+Inputs!$B$26+Inputs!$B$29,IF(Skills!C9=3,120+Inputs!$B$27+Inputs!$B$29,MAX(0,(Inputs!$B$3-100)*3)+Inputs!$B$28+Inputs!$B$29)))</f>
        <v/>
      </c>
      <c r="E988">
        <f>INDEX(FactorTable!$B$2:$Y$301, MATCH(ROUND(MIN(300,MAX(1,D988)),0), FactorTable!$A$2:$A$301,0), Skills!M9+1)</f>
        <v/>
      </c>
      <c r="F988">
        <f>IF(Skills!N9=TRUE,(Skills!L9/10)*(E988/1000),Skills!L9/10)+Skills!O9</f>
        <v/>
      </c>
      <c r="G988">
        <f>Skills!G9*IF(Skills!H9&gt;0,Skills!I9/Skills!H9,1)</f>
        <v/>
      </c>
      <c r="H988">
        <f>1-(1-Skills!J9/100)^Skills!K9</f>
        <v/>
      </c>
      <c r="I988" t="inlineStr">
        <is>
          <t>1</t>
        </is>
      </c>
      <c r="J988">
        <f>((Inputs!$B$6*(1+(Inputs!$B$7+1)/100))+(((Inputs!$B$12*(1+Inputs!$B$13/100))-(Inputs!$B$12*(1+Inputs!$B$13/100)))+0.25*(Inputs!$B$14-Inputs!$B$14))*(1+(Inputs!$B$7+1)/100))*(F988/100)</f>
        <v/>
      </c>
      <c r="K988">
        <f>J988*(1+((Inputs!$B$12*(1+Inputs!$B$13/100))*0.01+Inputs!$B$14*0.0025)/100)*(1+Inputs!$B$15/100)*(1+Inputs!$B$16/100)*(5000/(6000+Inputs!$B$42*(1-(Inputs!$B$19+0)/100)))*(1+(Inputs!$B$24+((C1005=TRUE)*(F1005-Calc!F26))+B1015)/100)*(1+(IF(Skills!A9="EIGHT_LEGS_EASTON",Inputs!$B$17+((C1002=TRUE)*(F1002-Calc!F23))+((C1006=TRUE)*(F1006-Calc!F27)),Inputs!$B$18+0))/100)*((1+(((C996=TRUE)*F996)+((C1003=TRUE)*(F1003-Calc!F24)))/100)*I988)</f>
        <v/>
      </c>
      <c r="L988">
        <f>K988*(MIN(Inputs!$B$22+((C1001=TRUE)*(F1001-Calc!F22)),Inputs!$B$23+0)/100+(Inputs!$B$23+0)/100)/2</f>
        <v/>
      </c>
      <c r="M988">
        <f>L988*(1+(Inputs!$B$10+((C1004=TRUE)*(F1004-Calc!F25))+B1014)/100)</f>
        <v/>
      </c>
      <c r="N988">
        <f>L988*(1-MIN((Inputs!$B$9+((C998=TRUE)*(F998-Calc!F19))+B1009),100)/100)+M988*(MIN((Inputs!$B$9+((C998=TRUE)*(F998-Calc!F19))+B1009),100)/100)</f>
        <v/>
      </c>
      <c r="O988">
        <f>(1-Summary!$B$55)*T988+Summary!$B$55*V988</f>
        <v/>
      </c>
      <c r="P988">
        <f>IF(B1019=0,0,O988/B1019)</f>
        <v/>
      </c>
      <c r="Q988">
        <f>IFERROR(1/IF(Inputs!$B$38="pvp",15,MAX(0.1,Skills!D9-IF(Skills!E9=TRUE,Inputs!$B$32,0))),0)</f>
        <v/>
      </c>
      <c r="R988">
        <f>IF(AND(Inputs!$B$38&lt;&gt;"pvp",Inputs!$B$43&gt;0),IF(MAX(0,Inputs!$B$43-B1016)&lt;=0,0,(INT(MAX(0,Inputs!$B$43-B1016)/IF(Inputs!$B$38="pvp",15,MAX(0.1,Skills!D9-IF(Skills!E9=TRUE,Inputs!$B$32,0))))+1)),0)</f>
        <v/>
      </c>
      <c r="S988">
        <f>IFERROR(O988/N988,0)</f>
        <v/>
      </c>
      <c r="T988">
        <f>IF(C988,(H988*N988*IF(AND(Inputs!$B$38&lt;&gt;"pvp",Inputs!$B$43&gt;0),((Skills!G9*((R988-1)*IF(Skills!H9&gt;0,Skills!I9/Skills!H9,1)+IF(Skills!H9&gt;0,MIN(Skills!I9,MAX(0,MAX(0,Inputs!$B$43-B1016)-((R988-1)*IF(Inputs!$B$38="pvp",15,MAX(0.1,Skills!D9-IF(Skills!E9=TRUE,Inputs!$B$32,0))))))/Skills!H9,1)))/Inputs!$B$43),G988*Q988))*IF(Inputs!$B$38="pvp",1,1+(Inputs!$B$20+0+Skills!P9)/100),0)</f>
        <v/>
      </c>
      <c r="V988">
        <f>IF(C988,(H988*N988*IF(AND(Inputs!$B$38&lt;&gt;"pvp",Inputs!$B$43&gt;0),((Skills!G9*((R988-1)*IF(Skills!H9&gt;0,Skills!I9/Skills!H9,1)+IF(Skills!H9&gt;0,MIN(Skills!I9,MAX(0,MAX(0,Inputs!$B$43-B1016)-((R988-1)*IF(Inputs!$B$38="pvp",15,MAX(0.1,Skills!D9-IF(Skills!E9=TRUE,Inputs!$B$32,0))))))/Skills!H9,1)))/Inputs!$B$43),G988*Q988))*IF(Inputs!$B$38="pvp",1,(1+(Inputs!$B$21+Skills!Q9)/100)*(MIN(Skills!R9,Inputs!$B$37))),0)</f>
        <v/>
      </c>
    </row>
    <row r="989">
      <c r="A989">
        <f>Skills!A10</f>
        <v/>
      </c>
      <c r="B989">
        <f>Skills!B10</f>
        <v/>
      </c>
      <c r="C989">
        <f>Inputs!$B$3&gt;=113</f>
        <v/>
      </c>
      <c r="D989">
        <f>IF(Skills!C10=1,60+Inputs!$B$25+Inputs!$B$29,IF(Skills!C10=2,90+Inputs!$B$26+Inputs!$B$29,IF(Skills!C10=3,120+Inputs!$B$27+Inputs!$B$29,MAX(0,(Inputs!$B$3-100)*3)+Inputs!$B$28+Inputs!$B$29)))</f>
        <v/>
      </c>
      <c r="E989">
        <f>INDEX(FactorTable!$B$2:$Y$301, MATCH(ROUND(MIN(300,MAX(1,D989)),0), FactorTable!$A$2:$A$301,0), Skills!M10+1)</f>
        <v/>
      </c>
      <c r="F989">
        <f>IF(Skills!N10=TRUE,(Skills!L10/10)*(E989/1000),Skills!L10/10)+Skills!O10</f>
        <v/>
      </c>
      <c r="G989">
        <f>Skills!G10*IF(Skills!H10&gt;0,Skills!I10/Skills!H10,1)</f>
        <v/>
      </c>
      <c r="H989">
        <f>1-(1-Skills!J10/100)^Skills!K10</f>
        <v/>
      </c>
      <c r="I989" t="inlineStr">
        <is>
          <t>1</t>
        </is>
      </c>
      <c r="J989">
        <f>((Inputs!$B$6*(1+(Inputs!$B$7+1)/100))+(((Inputs!$B$12*(1+Inputs!$B$13/100))-(Inputs!$B$12*(1+Inputs!$B$13/100)))+0.25*(Inputs!$B$14-Inputs!$B$14))*(1+(Inputs!$B$7+1)/100))*(F989/100)</f>
        <v/>
      </c>
      <c r="K989">
        <f>J989*(1+((Inputs!$B$12*(1+Inputs!$B$13/100))*0.01+Inputs!$B$14*0.0025)/100)*(1+Inputs!$B$15/100)*(1+Inputs!$B$16/100)*(5000/(6000+Inputs!$B$42*(1-(Inputs!$B$19+0)/100)))*(1+(Inputs!$B$24+((C1005=TRUE)*(F1005-Calc!F26))+B1015)/100)*(1+(IF(Skills!A10="EIGHT_LEGS_EASTON",Inputs!$B$17+((C1002=TRUE)*(F1002-Calc!F23))+((C1006=TRUE)*(F1006-Calc!F27)),Inputs!$B$18+0))/100)*((1+(((C996=TRUE)*F996)+((C1003=TRUE)*(F1003-Calc!F24)))/100)*I989)</f>
        <v/>
      </c>
      <c r="L989">
        <f>K989*(MIN(Inputs!$B$22+((C1001=TRUE)*(F1001-Calc!F22)),Inputs!$B$23+0)/100+(Inputs!$B$23+0)/100)/2</f>
        <v/>
      </c>
      <c r="M989">
        <f>L989*(1+(Inputs!$B$10+((C1004=TRUE)*(F1004-Calc!F25))+B1014)/100)</f>
        <v/>
      </c>
      <c r="N989">
        <f>L989*(1-MIN((Inputs!$B$9+((C998=TRUE)*(F998-Calc!F19))+B1009),100)/100)+M989*(MIN((Inputs!$B$9+((C998=TRUE)*(F998-Calc!F19))+B1009),100)/100)</f>
        <v/>
      </c>
      <c r="O989">
        <f>(1-Summary!$B$55)*T989+Summary!$B$55*V989</f>
        <v/>
      </c>
      <c r="P989">
        <f>IF(B1019=0,0,O989/B1019)</f>
        <v/>
      </c>
      <c r="Q989">
        <f>IFERROR(1/IF(Inputs!$B$38="pvp",15,MAX(0.1,Skills!D10-IF(Skills!E10=TRUE,Inputs!$B$32,0))),0)</f>
        <v/>
      </c>
      <c r="R989">
        <f>IF(AND(Inputs!$B$38&lt;&gt;"pvp",Inputs!$B$43&gt;0),IF(MAX(0,Inputs!$B$43-B1016)&lt;=0,0,(INT(MAX(0,Inputs!$B$43-B1016)/IF(Inputs!$B$38="pvp",15,MAX(0.1,Skills!D10-IF(Skills!E10=TRUE,Inputs!$B$32,0))))+1)),0)</f>
        <v/>
      </c>
      <c r="S989">
        <f>IFERROR(O989/N989,0)</f>
        <v/>
      </c>
      <c r="T989">
        <f>IF(C989,(H989*N989*IF(AND(Inputs!$B$38&lt;&gt;"pvp",Inputs!$B$43&gt;0),((Skills!G10*((R989-1)*IF(Skills!H10&gt;0,Skills!I10/Skills!H10,1)+IF(Skills!H10&gt;0,MIN(Skills!I10,MAX(0,MAX(0,Inputs!$B$43-B1016)-((R989-1)*IF(Inputs!$B$38="pvp",15,MAX(0.1,Skills!D10-IF(Skills!E10=TRUE,Inputs!$B$32,0))))))/Skills!H10,1)))/Inputs!$B$43),G989*Q989))*IF(Inputs!$B$38="pvp",1,1+(Inputs!$B$20+0+Skills!P10)/100),0)</f>
        <v/>
      </c>
      <c r="V989">
        <f>IF(C989,(H989*N989*IF(AND(Inputs!$B$38&lt;&gt;"pvp",Inputs!$B$43&gt;0),((Skills!G10*((R989-1)*IF(Skills!H10&gt;0,Skills!I10/Skills!H10,1)+IF(Skills!H10&gt;0,MIN(Skills!I10,MAX(0,MAX(0,Inputs!$B$43-B1016)-((R989-1)*IF(Inputs!$B$38="pvp",15,MAX(0.1,Skills!D10-IF(Skills!E10=TRUE,Inputs!$B$32,0))))))/Skills!H10,1)))/Inputs!$B$43),G989*Q989))*IF(Inputs!$B$38="pvp",1,(1+(Inputs!$B$21+Skills!Q10)/100)*(MIN(Skills!R10,Inputs!$B$37))),0)</f>
        <v/>
      </c>
    </row>
    <row r="990">
      <c r="A990">
        <f>Skills!A11</f>
        <v/>
      </c>
      <c r="B990">
        <f>Skills!B11</f>
        <v/>
      </c>
      <c r="C990">
        <f>Inputs!$B$3&gt;=107</f>
        <v/>
      </c>
      <c r="D990">
        <f>IF(Skills!C11=1,60+Inputs!$B$25+Inputs!$B$29,IF(Skills!C11=2,90+Inputs!$B$26+Inputs!$B$29,IF(Skills!C11=3,120+Inputs!$B$27+Inputs!$B$29,MAX(0,(Inputs!$B$3-100)*3)+Inputs!$B$28+Inputs!$B$29)))</f>
        <v/>
      </c>
      <c r="E990">
        <f>INDEX(FactorTable!$B$2:$Y$301, MATCH(ROUND(MIN(300,MAX(1,D990)),0), FactorTable!$A$2:$A$301,0), Skills!M11+1)</f>
        <v/>
      </c>
      <c r="F990">
        <f>IF(Skills!N11=TRUE,(Skills!L11/10)*(E990/1000),Skills!L11/10)+Skills!O11</f>
        <v/>
      </c>
      <c r="G990">
        <f>Skills!G11*IF(Skills!H11&gt;0,Skills!I11/Skills!H11,1)</f>
        <v/>
      </c>
      <c r="H990">
        <f>1-(1-Skills!J11/100)^Skills!K11</f>
        <v/>
      </c>
      <c r="I990" t="inlineStr">
        <is>
          <t>1</t>
        </is>
      </c>
      <c r="J990">
        <f>((Inputs!$B$6*(1+(Inputs!$B$7+1)/100))+(((Inputs!$B$12*(1+Inputs!$B$13/100))-(Inputs!$B$12*(1+Inputs!$B$13/100)))+0.25*(Inputs!$B$14-Inputs!$B$14))*(1+(Inputs!$B$7+1)/100))*(F990/100)</f>
        <v/>
      </c>
      <c r="K990">
        <f>J990*(1+((Inputs!$B$12*(1+Inputs!$B$13/100))*0.01+Inputs!$B$14*0.0025)/100)*(1+Inputs!$B$15/100)*(1+Inputs!$B$16/100)*(5000/(6000+Inputs!$B$42*(1-(Inputs!$B$19+0)/100)))*(1+(Inputs!$B$24+((C1005=TRUE)*(F1005-Calc!F26))+B1015)/100)*(1+(IF(Skills!A11="EIGHT_LEGS_EASTON",Inputs!$B$17+((C1002=TRUE)*(F1002-Calc!F23))+((C1006=TRUE)*(F1006-Calc!F27)),Inputs!$B$18+0))/100)*((1+(((C996=TRUE)*F996)+((C1003=TRUE)*(F1003-Calc!F24)))/100)*I990)</f>
        <v/>
      </c>
      <c r="L990">
        <f>K990*(MIN(Inputs!$B$22+((C1001=TRUE)*(F1001-Calc!F22)),Inputs!$B$23+0)/100+(Inputs!$B$23+0)/100)/2</f>
        <v/>
      </c>
      <c r="M990">
        <f>L990*(1+(Inputs!$B$10+((C1004=TRUE)*(F1004-Calc!F25))+B1014)/100)</f>
        <v/>
      </c>
      <c r="N990">
        <f>L990*(1-MIN((Inputs!$B$9+((C998=TRUE)*(F998-Calc!F19))+B1009),100)/100)+M990*(MIN((Inputs!$B$9+((C998=TRUE)*(F998-Calc!F19))+B1009),100)/100)</f>
        <v/>
      </c>
      <c r="O990">
        <f>(1-Summary!$B$55)*T990+Summary!$B$55*V990</f>
        <v/>
      </c>
      <c r="P990">
        <f>IF(B1019=0,0,O990/B1019)</f>
        <v/>
      </c>
      <c r="Q990">
        <f>IFERROR(1/IF(Inputs!$B$38="pvp",15,MAX(0.1,Skills!D11-IF(Skills!E11=TRUE,Inputs!$B$32,0))),0)</f>
        <v/>
      </c>
      <c r="R990">
        <f>IF(AND(Inputs!$B$38&lt;&gt;"pvp",Inputs!$B$43&gt;0),IF(MAX(0,Inputs!$B$43-B1016)&lt;=0,0,(INT(MAX(0,Inputs!$B$43-B1016)/IF(Inputs!$B$38="pvp",15,MAX(0.1,Skills!D11-IF(Skills!E11=TRUE,Inputs!$B$32,0))))+1)),0)</f>
        <v/>
      </c>
      <c r="S990">
        <f>IFERROR(O990/N990,0)</f>
        <v/>
      </c>
      <c r="T990">
        <f>IF(C990,(H990*N990*IF(AND(Inputs!$B$38&lt;&gt;"pvp",Inputs!$B$43&gt;0),((Skills!G11*((R990-1)*IF(Skills!H11&gt;0,Skills!I11/Skills!H11,1)+IF(Skills!H11&gt;0,MIN(Skills!I11,MAX(0,MAX(0,Inputs!$B$43-B1016)-((R990-1)*IF(Inputs!$B$38="pvp",15,MAX(0.1,Skills!D11-IF(Skills!E11=TRUE,Inputs!$B$32,0))))))/Skills!H11,1)))/Inputs!$B$43),G990*Q990))*IF(Inputs!$B$38="pvp",1,1+(Inputs!$B$20+0+Skills!P11)/100),0)</f>
        <v/>
      </c>
      <c r="V990">
        <f>IF(C990,(H990*N990*IF(AND(Inputs!$B$38&lt;&gt;"pvp",Inputs!$B$43&gt;0),((Skills!G11*((R990-1)*IF(Skills!H11&gt;0,Skills!I11/Skills!H11,1)+IF(Skills!H11&gt;0,MIN(Skills!I11,MAX(0,MAX(0,Inputs!$B$43-B1016)-((R990-1)*IF(Inputs!$B$38="pvp",15,MAX(0.1,Skills!D11-IF(Skills!E11=TRUE,Inputs!$B$32,0))))))/Skills!H11,1)))/Inputs!$B$43),G990*Q990))*IF(Inputs!$B$38="pvp",1,(1+(Inputs!$B$21+Skills!Q11)/100)*(MIN(Skills!R11,Inputs!$B$37))),0)</f>
        <v/>
      </c>
    </row>
    <row r="991">
      <c r="A991">
        <f>Skills!A12</f>
        <v/>
      </c>
      <c r="B991">
        <f>Skills!B12</f>
        <v/>
      </c>
      <c r="C991">
        <f>Inputs!$B$3&gt;=110</f>
        <v/>
      </c>
      <c r="D991">
        <f>IF(Skills!C12=1,60+Inputs!$B$25+Inputs!$B$29,IF(Skills!C12=2,90+Inputs!$B$26+Inputs!$B$29,IF(Skills!C12=3,120+Inputs!$B$27+Inputs!$B$29,MAX(0,(Inputs!$B$3-100)*3)+Inputs!$B$28+Inputs!$B$29)))</f>
        <v/>
      </c>
      <c r="E991">
        <f>INDEX(FactorTable!$B$2:$Y$301, MATCH(ROUND(MIN(300,MAX(1,D991)),0), FactorTable!$A$2:$A$301,0), Skills!M12+1)</f>
        <v/>
      </c>
      <c r="F991">
        <f>IF(Skills!N12=TRUE,(Skills!L12/10)*(E991/1000),Skills!L12/10)+Skills!O12</f>
        <v/>
      </c>
      <c r="G991">
        <f>Skills!G12*IF(Skills!H12&gt;0,Skills!I12/Skills!H12,1)</f>
        <v/>
      </c>
      <c r="H991">
        <f>1-(1-Skills!J12/100)^Skills!K12</f>
        <v/>
      </c>
      <c r="I991" t="inlineStr">
        <is>
          <t>1</t>
        </is>
      </c>
      <c r="J991">
        <f>((Inputs!$B$6*(1+(Inputs!$B$7+1)/100))+(((Inputs!$B$12*(1+Inputs!$B$13/100))-(Inputs!$B$12*(1+Inputs!$B$13/100)))+0.25*(Inputs!$B$14-Inputs!$B$14))*(1+(Inputs!$B$7+1)/100))*(F991/100)</f>
        <v/>
      </c>
      <c r="K991">
        <f>J991*(1+((Inputs!$B$12*(1+Inputs!$B$13/100))*0.01+Inputs!$B$14*0.0025)/100)*(1+Inputs!$B$15/100)*(1+Inputs!$B$16/100)*(5000/(6000+Inputs!$B$42*(1-(Inputs!$B$19+0)/100)))*(1+(Inputs!$B$24+((C1005=TRUE)*(F1005-Calc!F26))+B1015)/100)*(1+(IF(Skills!A12="EIGHT_LEGS_EASTON",Inputs!$B$17+((C1002=TRUE)*(F1002-Calc!F23))+((C1006=TRUE)*(F1006-Calc!F27)),Inputs!$B$18+0))/100)*((1+(((C996=TRUE)*F996)+((C1003=TRUE)*(F1003-Calc!F24)))/100)*I991)</f>
        <v/>
      </c>
      <c r="L991">
        <f>K991*(MIN(Inputs!$B$22+((C1001=TRUE)*(F1001-Calc!F22)),Inputs!$B$23+0)/100+(Inputs!$B$23+0)/100)/2</f>
        <v/>
      </c>
      <c r="M991">
        <f>L991*(1+(Inputs!$B$10+((C1004=TRUE)*(F1004-Calc!F25))+B1014)/100)</f>
        <v/>
      </c>
      <c r="N991">
        <f>L991*(1-MIN((Inputs!$B$9+((C998=TRUE)*(F998-Calc!F19))+B1009),100)/100)+M991*(MIN((Inputs!$B$9+((C998=TRUE)*(F998-Calc!F19))+B1009),100)/100)</f>
        <v/>
      </c>
      <c r="O991">
        <f>(1-Summary!$B$55)*T991+Summary!$B$55*V991</f>
        <v/>
      </c>
      <c r="P991">
        <f>IF(B1019=0,0,O991/B1019)</f>
        <v/>
      </c>
      <c r="Q991">
        <f>IFERROR(1/IF(Inputs!$B$38="pvp",15,MAX(0.1,Skills!D12-IF(Skills!E12=TRUE,Inputs!$B$32,0))),0)</f>
        <v/>
      </c>
      <c r="R991">
        <f>IF(AND(Inputs!$B$38&lt;&gt;"pvp",Inputs!$B$43&gt;0),IF(MAX(0,Inputs!$B$43-B1016)&lt;=0,0,(INT(MAX(0,Inputs!$B$43-B1016)/IF(Inputs!$B$38="pvp",15,MAX(0.1,Skills!D12-IF(Skills!E12=TRUE,Inputs!$B$32,0))))+1)),0)</f>
        <v/>
      </c>
      <c r="S991">
        <f>IFERROR(O991/N991,0)</f>
        <v/>
      </c>
      <c r="T991">
        <f>IF(C991,(H991*N991*IF(AND(Inputs!$B$38&lt;&gt;"pvp",Inputs!$B$43&gt;0),((Skills!G12*((R991-1)*IF(Skills!H12&gt;0,Skills!I12/Skills!H12,1)+IF(Skills!H12&gt;0,MIN(Skills!I12,MAX(0,MAX(0,Inputs!$B$43-B1016)-((R991-1)*IF(Inputs!$B$38="pvp",15,MAX(0.1,Skills!D12-IF(Skills!E12=TRUE,Inputs!$B$32,0))))))/Skills!H12,1)))/Inputs!$B$43),G991*Q991))*IF(Inputs!$B$38="pvp",1,1+(Inputs!$B$20+0+Skills!P12)/100),0)</f>
        <v/>
      </c>
      <c r="V991">
        <f>IF(C991,(H991*N991*IF(AND(Inputs!$B$38&lt;&gt;"pvp",Inputs!$B$43&gt;0),((Skills!G12*((R991-1)*IF(Skills!H12&gt;0,Skills!I12/Skills!H12,1)+IF(Skills!H12&gt;0,MIN(Skills!I12,MAX(0,MAX(0,Inputs!$B$43-B1016)-((R991-1)*IF(Inputs!$B$38="pvp",15,MAX(0.1,Skills!D12-IF(Skills!E12=TRUE,Inputs!$B$32,0))))))/Skills!H12,1)))/Inputs!$B$43),G991*Q991))*IF(Inputs!$B$38="pvp",1,(1+(Inputs!$B$21+Skills!Q12)/100)*(MIN(Skills!R12,Inputs!$B$37))),0)</f>
        <v/>
      </c>
    </row>
    <row r="992">
      <c r="A992">
        <f>Skills!A13</f>
        <v/>
      </c>
      <c r="B992">
        <f>Skills!B13</f>
        <v/>
      </c>
      <c r="C992">
        <f>Inputs!$B$3&gt;=110</f>
        <v/>
      </c>
      <c r="D992">
        <f>IF(Skills!C13=1,60+Inputs!$B$25+Inputs!$B$29,IF(Skills!C13=2,90+Inputs!$B$26+Inputs!$B$29,IF(Skills!C13=3,120+Inputs!$B$27+Inputs!$B$29,MAX(0,(Inputs!$B$3-100)*3)+Inputs!$B$28+Inputs!$B$29)))</f>
        <v/>
      </c>
      <c r="E992">
        <f>INDEX(FactorTable!$B$2:$Y$301, MATCH(ROUND(MIN(300,MAX(1,D992)),0), FactorTable!$A$2:$A$301,0), Skills!M13+1)</f>
        <v/>
      </c>
      <c r="F992">
        <f>IF(Skills!N13=TRUE,(Skills!L13/10)*(E992/1000),Skills!L13/10)+Skills!O13</f>
        <v/>
      </c>
      <c r="G992">
        <f>Skills!G13*IF(Skills!H13&gt;0,Skills!I13/Skills!H13,1)</f>
        <v/>
      </c>
      <c r="H992">
        <f>1-(1-Skills!J13/100)^Skills!K13</f>
        <v/>
      </c>
      <c r="I992" t="inlineStr">
        <is>
          <t>1</t>
        </is>
      </c>
      <c r="J992">
        <f>((Inputs!$B$6*(1+(Inputs!$B$7+1)/100))+(((Inputs!$B$12*(1+Inputs!$B$13/100))-(Inputs!$B$12*(1+Inputs!$B$13/100)))+0.25*(Inputs!$B$14-Inputs!$B$14))*(1+(Inputs!$B$7+1)/100))*(F992/100)</f>
        <v/>
      </c>
      <c r="K992">
        <f>J992*(1+((Inputs!$B$12*(1+Inputs!$B$13/100))*0.01+Inputs!$B$14*0.0025)/100)*(1+Inputs!$B$15/100)*(1+Inputs!$B$16/100)*(5000/(6000+Inputs!$B$42*(1-(Inputs!$B$19+0)/100)))*(1+(Inputs!$B$24+((C1005=TRUE)*(F1005-Calc!F26))+B1015)/100)*(1+(IF(Skills!A13="EIGHT_LEGS_EASTON",Inputs!$B$17+((C1002=TRUE)*(F1002-Calc!F23))+((C1006=TRUE)*(F1006-Calc!F27)),Inputs!$B$18+0))/100)*((1+(((C996=TRUE)*F996)+((C1003=TRUE)*(F1003-Calc!F24)))/100)*I992)</f>
        <v/>
      </c>
      <c r="L992">
        <f>K992*(MIN(Inputs!$B$22+((C1001=TRUE)*(F1001-Calc!F22)),Inputs!$B$23+0)/100+(Inputs!$B$23+0)/100)/2</f>
        <v/>
      </c>
      <c r="M992">
        <f>L992*(1+(Inputs!$B$10+((C1004=TRUE)*(F1004-Calc!F25))+B1014)/100)</f>
        <v/>
      </c>
      <c r="N992">
        <f>L992*(1-MIN((Inputs!$B$9+((C998=TRUE)*(F998-Calc!F19))+B1009),100)/100)+M992*(MIN((Inputs!$B$9+((C998=TRUE)*(F998-Calc!F19))+B1009),100)/100)</f>
        <v/>
      </c>
      <c r="O992">
        <f>(1-Summary!$B$55)*T992+Summary!$B$55*V992</f>
        <v/>
      </c>
      <c r="P992">
        <f>IF(B1019=0,0,O992/B1019)</f>
        <v/>
      </c>
      <c r="Q992">
        <f>IFERROR(1/IF(Inputs!$B$38="pvp",15,MAX(0.1,Skills!D13-IF(Skills!E13=TRUE,Inputs!$B$32,0))),0)</f>
        <v/>
      </c>
      <c r="R992">
        <f>IF(AND(Inputs!$B$38&lt;&gt;"pvp",Inputs!$B$43&gt;0),IF(MAX(0,Inputs!$B$43-B1016)&lt;=0,0,(INT(MAX(0,Inputs!$B$43-B1016)/IF(Inputs!$B$38="pvp",15,MAX(0.1,Skills!D13-IF(Skills!E13=TRUE,Inputs!$B$32,0))))+1)),0)</f>
        <v/>
      </c>
      <c r="S992">
        <f>IFERROR(O992/N992,0)</f>
        <v/>
      </c>
      <c r="T992">
        <f>IF(C992,(H992*N992*IF(AND(Inputs!$B$38&lt;&gt;"pvp",Inputs!$B$43&gt;0),((Skills!G13*((R992-1)*IF(Skills!H13&gt;0,Skills!I13/Skills!H13,1)+IF(Skills!H13&gt;0,MIN(Skills!I13,MAX(0,MAX(0,Inputs!$B$43-B1016)-((R992-1)*IF(Inputs!$B$38="pvp",15,MAX(0.1,Skills!D13-IF(Skills!E13=TRUE,Inputs!$B$32,0))))))/Skills!H13,1)))/Inputs!$B$43),G992*Q992))*IF(Inputs!$B$38="pvp",1,1+(Inputs!$B$20+0+Skills!P13)/100),0)</f>
        <v/>
      </c>
      <c r="V992">
        <f>IF(C992,(H992*N992*IF(AND(Inputs!$B$38&lt;&gt;"pvp",Inputs!$B$43&gt;0),((Skills!G13*((R992-1)*IF(Skills!H13&gt;0,Skills!I13/Skills!H13,1)+IF(Skills!H13&gt;0,MIN(Skills!I13,MAX(0,MAX(0,Inputs!$B$43-B1016)-((R992-1)*IF(Inputs!$B$38="pvp",15,MAX(0.1,Skills!D13-IF(Skills!E13=TRUE,Inputs!$B$32,0))))))/Skills!H13,1)))/Inputs!$B$43),G992*Q992))*IF(Inputs!$B$38="pvp",1,(1+(Inputs!$B$21+Skills!Q13)/100)*(MIN(Skills!R13,Inputs!$B$37))),0)</f>
        <v/>
      </c>
    </row>
    <row r="993">
      <c r="A993">
        <f>Skills!A14</f>
        <v/>
      </c>
      <c r="B993">
        <f>Skills!B14</f>
        <v/>
      </c>
      <c r="C993">
        <f>Inputs!$B$3&gt;=125</f>
        <v/>
      </c>
      <c r="D993">
        <f>IF(Skills!C14=1,60+Inputs!$B$25+Inputs!$B$29,IF(Skills!C14=2,90+Inputs!$B$26+Inputs!$B$29,IF(Skills!C14=3,120+Inputs!$B$27+Inputs!$B$29,MAX(0,(Inputs!$B$3-100)*3)+Inputs!$B$28+Inputs!$B$29)))</f>
        <v/>
      </c>
      <c r="E993">
        <f>INDEX(FactorTable!$B$2:$Y$301, MATCH(ROUND(MIN(300,MAX(1,D993)),0), FactorTable!$A$2:$A$301,0), Skills!M14+1)</f>
        <v/>
      </c>
      <c r="F993">
        <f>IF(Skills!N14=TRUE,(Skills!L14/10)*(E993/1000),Skills!L14/10)+Skills!O14</f>
        <v/>
      </c>
      <c r="G993">
        <f>Skills!G14*IF(Skills!H14&gt;0,Skills!I14/Skills!H14,1)</f>
        <v/>
      </c>
      <c r="H993">
        <f>1-(1-Skills!J14/100)^Skills!K14</f>
        <v/>
      </c>
      <c r="I993" t="inlineStr">
        <is>
          <t>1</t>
        </is>
      </c>
      <c r="J993">
        <f>((Inputs!$B$6*(1+(Inputs!$B$7+1)/100))+(((Inputs!$B$12*(1+Inputs!$B$13/100))-(Inputs!$B$12*(1+Inputs!$B$13/100)))+0.25*(Inputs!$B$14-Inputs!$B$14))*(1+(Inputs!$B$7+1)/100))*(F993/100)</f>
        <v/>
      </c>
      <c r="K993">
        <f>J993*(1+((Inputs!$B$12*(1+Inputs!$B$13/100))*0.01+Inputs!$B$14*0.0025)/100)*(1+Inputs!$B$15/100)*(1+Inputs!$B$16/100)*(5000/(6000+Inputs!$B$42*(1-(Inputs!$B$19+0)/100)))*(1+(Inputs!$B$24+((C1005=TRUE)*(F1005-Calc!F26))+B1015)/100)*(1+(IF(Skills!A14="EIGHT_LEGS_EASTON",Inputs!$B$17+((C1002=TRUE)*(F1002-Calc!F23))+((C1006=TRUE)*(F1006-Calc!F27)),Inputs!$B$18+0))/100)*((1+(((C996=TRUE)*F996)+((C1003=TRUE)*(F1003-Calc!F24)))/100)*I993)</f>
        <v/>
      </c>
      <c r="L993">
        <f>K993*(MIN(Inputs!$B$22+((C1001=TRUE)*(F1001-Calc!F22)),Inputs!$B$23+0)/100+(Inputs!$B$23+0)/100)/2</f>
        <v/>
      </c>
      <c r="M993">
        <f>L993*(1+(Inputs!$B$10+((C1004=TRUE)*(F1004-Calc!F25))+B1014)/100)</f>
        <v/>
      </c>
      <c r="N993">
        <f>L993*(1-MIN((Inputs!$B$9+((C998=TRUE)*(F998-Calc!F19))+B1009),100)/100)+M993*(MIN((Inputs!$B$9+((C998=TRUE)*(F998-Calc!F19))+B1009),100)/100)</f>
        <v/>
      </c>
      <c r="O993">
        <f>(1-Summary!$B$55)*T993+Summary!$B$55*V993</f>
        <v/>
      </c>
      <c r="P993">
        <f>IF(B1019=0,0,O993/B1019)</f>
        <v/>
      </c>
      <c r="Q993" t="n">
        <v>0</v>
      </c>
      <c r="R993" t="n">
        <v>0</v>
      </c>
      <c r="S993">
        <f>IFERROR(O993/N993,0)</f>
        <v/>
      </c>
      <c r="T993">
        <f>IF(C993,(H993*N993*(B1013+IF(AND(Inputs!$B$38&lt;&gt;"pvp",Inputs!$B$43&gt;0),((Skills!G8*((R987-1)*IF(Skills!H8&gt;0,Skills!I8/Skills!H8,1)+IF(Skills!H8&gt;0,MIN(Skills!I8,MAX(0,MAX(0,Inputs!$B$43-B1016)-((R987-1)*IF(Inputs!$B$38="pvp",15,MAX(0.1,Skills!D8-IF(Skills!E8=TRUE,Inputs!$B$32,0))))))/Skills!H8,1)))/Inputs!$B$43),G987*Q987)+IF(AND(Inputs!$B$38&lt;&gt;"pvp",Inputs!$B$43&gt;0),((Skills!G11*((R990-1)*IF(Skills!H11&gt;0,Skills!I11/Skills!H11,1)+IF(Skills!H11&gt;0,MIN(Skills!I11,MAX(0,MAX(0,Inputs!$B$43-B1016)-((R990-1)*IF(Inputs!$B$38="pvp",15,MAX(0.1,Skills!D11-IF(Skills!E11=TRUE,Inputs!$B$32,0))))))/Skills!H11,1)))/Inputs!$B$43),G990*Q990)))*IF(Inputs!$B$38="pvp",1,1+(Inputs!$B$20+0+Skills!P14)/100),0)</f>
        <v/>
      </c>
      <c r="V993">
        <f>IF(C993,(H993*N993*(B1013+IF(AND(Inputs!$B$38&lt;&gt;"pvp",Inputs!$B$43&gt;0),((Skills!G8*((R987-1)*IF(Skills!H8&gt;0,Skills!I8/Skills!H8,1)+IF(Skills!H8&gt;0,MIN(Skills!I8,MAX(0,MAX(0,Inputs!$B$43-B1016)-((R987-1)*IF(Inputs!$B$38="pvp",15,MAX(0.1,Skills!D8-IF(Skills!E8=TRUE,Inputs!$B$32,0))))))/Skills!H8,1)))/Inputs!$B$43),G987*Q987)+IF(AND(Inputs!$B$38&lt;&gt;"pvp",Inputs!$B$43&gt;0),((Skills!G11*((R990-1)*IF(Skills!H11&gt;0,Skills!I11/Skills!H11,1)+IF(Skills!H11&gt;0,MIN(Skills!I11,MAX(0,MAX(0,Inputs!$B$43-B1016)-((R990-1)*IF(Inputs!$B$38="pvp",15,MAX(0.1,Skills!D11-IF(Skills!E11=TRUE,Inputs!$B$32,0))))))/Skills!H11,1)))/Inputs!$B$43),G990*Q990)))*IF(Inputs!$B$38="pvp",1,(1+(Inputs!$B$21+Skills!Q14)/100)*(MIN(Skills!R14,Inputs!$B$37))),0)</f>
        <v/>
      </c>
    </row>
    <row r="994">
      <c r="A994">
        <f>Skills!A15</f>
        <v/>
      </c>
      <c r="B994">
        <f>Skills!B15</f>
        <v/>
      </c>
      <c r="C994">
        <f>Inputs!$B$3&gt;=100</f>
        <v/>
      </c>
      <c r="D994">
        <f>IF(Skills!C15=1,60+Inputs!$B$25+Inputs!$B$29,IF(Skills!C15=2,90+Inputs!$B$26+Inputs!$B$29,IF(Skills!C15=3,120+Inputs!$B$27+Inputs!$B$29,MAX(0,(Inputs!$B$3-100)*3)+Inputs!$B$28+Inputs!$B$29)))</f>
        <v/>
      </c>
      <c r="E994">
        <f>INDEX(FactorTable!$B$2:$Y$301, MATCH(ROUND(MIN(300,MAX(1,D994)),0), FactorTable!$A$2:$A$301,0), Skills!M15+1)</f>
        <v/>
      </c>
      <c r="F994">
        <f>IF(Skills!N15=TRUE,(Skills!L15/10)*(E994/1000),Skills!L15/10)+Skills!O15</f>
        <v/>
      </c>
      <c r="G994" t="inlineStr"/>
      <c r="H994" t="inlineStr"/>
      <c r="I994" t="inlineStr">
        <is>
          <t>1</t>
        </is>
      </c>
      <c r="J994" t="inlineStr"/>
      <c r="K994" t="inlineStr"/>
      <c r="L994" t="inlineStr"/>
      <c r="M994" t="inlineStr"/>
      <c r="N994" t="inlineStr"/>
      <c r="O994" t="inlineStr"/>
      <c r="P994" t="inlineStr"/>
      <c r="Q994" t="inlineStr"/>
      <c r="R994" t="inlineStr"/>
      <c r="S994" t="inlineStr"/>
    </row>
    <row r="995">
      <c r="A995">
        <f>Skills!A16</f>
        <v/>
      </c>
      <c r="B995">
        <f>Skills!B16</f>
        <v/>
      </c>
      <c r="C995">
        <f>Inputs!$B$3&gt;=120</f>
        <v/>
      </c>
      <c r="D995">
        <f>IF(Skills!C16=1,60+Inputs!$B$25+Inputs!$B$29,IF(Skills!C16=2,90+Inputs!$B$26+Inputs!$B$29,IF(Skills!C16=3,120+Inputs!$B$27+Inputs!$B$29,MAX(0,(Inputs!$B$3-100)*3)+Inputs!$B$28+Inputs!$B$29)))</f>
        <v/>
      </c>
      <c r="E995">
        <f>INDEX(FactorTable!$B$2:$Y$301, MATCH(ROUND(MIN(300,MAX(1,D995)),0), FactorTable!$A$2:$A$301,0), Skills!M16+1)</f>
        <v/>
      </c>
      <c r="F995">
        <f>IF(Skills!N16=TRUE,(Skills!L16/10)*(E995/1000),Skills!L16/10)+Skills!O16</f>
        <v/>
      </c>
      <c r="G995" t="inlineStr"/>
      <c r="H995" t="inlineStr"/>
      <c r="I995" t="inlineStr">
        <is>
          <t>1</t>
        </is>
      </c>
      <c r="J995" t="inlineStr"/>
      <c r="K995" t="inlineStr"/>
      <c r="L995" t="inlineStr"/>
      <c r="M995" t="inlineStr"/>
      <c r="N995" t="inlineStr"/>
      <c r="O995" t="inlineStr"/>
      <c r="P995" t="inlineStr"/>
      <c r="Q995" t="inlineStr"/>
      <c r="R995" t="inlineStr"/>
      <c r="S995" t="inlineStr"/>
    </row>
    <row r="996">
      <c r="A996">
        <f>Skills!A17</f>
        <v/>
      </c>
      <c r="B996">
        <f>Skills!B17</f>
        <v/>
      </c>
      <c r="C996">
        <f>Inputs!$B$3&gt;=66</f>
        <v/>
      </c>
      <c r="D996">
        <f>IF(Skills!C17=1,60+Inputs!$B$25+Inputs!$B$29,IF(Skills!C17=2,90+Inputs!$B$26+Inputs!$B$29,IF(Skills!C17=3,120+Inputs!$B$27+Inputs!$B$29,MAX(0,(Inputs!$B$3-100)*3)+Inputs!$B$28+Inputs!$B$29)))</f>
        <v/>
      </c>
      <c r="E996">
        <f>INDEX(FactorTable!$B$2:$Y$301, MATCH(ROUND(MIN(300,MAX(1,D996)),0), FactorTable!$A$2:$A$301,0), Skills!M17+1)</f>
        <v/>
      </c>
      <c r="F996">
        <f>IF(Skills!N17=TRUE,(Skills!L17/10)*(E996/1000),Skills!L17/10)+Skills!O17</f>
        <v/>
      </c>
      <c r="G996">
        <f>Skills!G17*IF(Skills!H17&gt;0,Skills!I17/Skills!H17,1)</f>
        <v/>
      </c>
      <c r="H996">
        <f>1-(1-Skills!J17/100)^Skills!K17</f>
        <v/>
      </c>
      <c r="I996" t="inlineStr">
        <is>
          <t>1</t>
        </is>
      </c>
      <c r="J996" t="inlineStr"/>
      <c r="K996" t="inlineStr"/>
      <c r="L996" t="inlineStr"/>
      <c r="M996" t="inlineStr"/>
      <c r="N996" t="inlineStr"/>
      <c r="O996">
        <f>(1-Summary!$B$55)*T996+Summary!$B$55*V996</f>
        <v/>
      </c>
      <c r="P996">
        <f>IF(B1019=0,0,O996/B1019)</f>
        <v/>
      </c>
      <c r="Q996" t="n">
        <v>0</v>
      </c>
      <c r="R996" t="n">
        <v>0</v>
      </c>
      <c r="S996">
        <f>IFERROR(O996/N996,0)</f>
        <v/>
      </c>
      <c r="T996" t="n">
        <v>0</v>
      </c>
      <c r="V996" t="n">
        <v>0</v>
      </c>
    </row>
    <row r="997">
      <c r="A997">
        <f>Skills!A18</f>
        <v/>
      </c>
      <c r="B997">
        <f>Skills!B18</f>
        <v/>
      </c>
      <c r="C997">
        <f>Inputs!$B$3&gt;=115</f>
        <v/>
      </c>
      <c r="D997">
        <f>IF(Skills!C18=1,60+Inputs!$B$25+Inputs!$B$29,IF(Skills!C18=2,90+Inputs!$B$26+Inputs!$B$29,IF(Skills!C18=3,120+Inputs!$B$27+Inputs!$B$29,MAX(0,(Inputs!$B$3-100)*3)+Inputs!$B$28+Inputs!$B$29)))</f>
        <v/>
      </c>
      <c r="E997">
        <f>INDEX(FactorTable!$B$2:$Y$301, MATCH(ROUND(MIN(300,MAX(1,D997)),0), FactorTable!$A$2:$A$301,0), Skills!M18+1)</f>
        <v/>
      </c>
      <c r="F997">
        <f>IF(Skills!N18=TRUE,(Skills!L18/10)*(E997/1000),Skills!L18/10)+Skills!O18</f>
        <v/>
      </c>
      <c r="G997">
        <f>Skills!G18*IF(Skills!H18&gt;0,Skills!I18/Skills!H18,1)</f>
        <v/>
      </c>
      <c r="H997">
        <f>1-(1-Skills!J18/100)^Skills!K18</f>
        <v/>
      </c>
      <c r="I997" t="inlineStr">
        <is>
          <t>1</t>
        </is>
      </c>
      <c r="J997" t="inlineStr"/>
      <c r="K997" t="inlineStr"/>
      <c r="L997" t="inlineStr"/>
      <c r="M997" t="inlineStr"/>
      <c r="N997" t="inlineStr"/>
      <c r="O997">
        <f>(1-Summary!$B$55)*T997+Summary!$B$55*V997</f>
        <v/>
      </c>
      <c r="P997">
        <f>IF(B1019=0,0,O997/B1019)</f>
        <v/>
      </c>
      <c r="Q997" t="n">
        <v>0</v>
      </c>
      <c r="R997" t="n">
        <v>0</v>
      </c>
      <c r="S997">
        <f>IFERROR(O997/N997,0)</f>
        <v/>
      </c>
      <c r="T997" t="n">
        <v>0</v>
      </c>
      <c r="V997" t="n">
        <v>0</v>
      </c>
    </row>
    <row r="998">
      <c r="A998">
        <f>Skills!A19</f>
        <v/>
      </c>
      <c r="B998">
        <f>Skills!B19</f>
        <v/>
      </c>
      <c r="C998">
        <f>Inputs!$B$3&gt;=15</f>
        <v/>
      </c>
      <c r="D998">
        <f>IF(Skills!C19=1,60+Inputs!$B$25+Inputs!$B$29,IF(Skills!C19=2,90+Inputs!$B$26+Inputs!$B$29,IF(Skills!C19=3,120+Inputs!$B$27+Inputs!$B$29,MAX(0,(Inputs!$B$3-100)*3)+Inputs!$B$28+Inputs!$B$29)))</f>
        <v/>
      </c>
      <c r="E998">
        <f>INDEX(FactorTable!$B$2:$Y$301, MATCH(ROUND(MIN(300,MAX(1,D998)),0), FactorTable!$A$2:$A$301,0), Skills!M19+1)</f>
        <v/>
      </c>
      <c r="F998">
        <f>IF(Skills!N19=TRUE,(Skills!L19/10)*(E998/1000),Skills!L19/10)+Skills!O19</f>
        <v/>
      </c>
      <c r="G998">
        <f>Skills!G19*IF(Skills!H19&gt;0,Skills!I19/Skills!H19,1)</f>
        <v/>
      </c>
      <c r="H998">
        <f>1-(1-Skills!J19/100)^Skills!K19</f>
        <v/>
      </c>
      <c r="I998" t="inlineStr">
        <is>
          <t>1</t>
        </is>
      </c>
      <c r="J998" t="inlineStr"/>
      <c r="K998" t="inlineStr"/>
      <c r="L998" t="inlineStr"/>
      <c r="M998" t="inlineStr"/>
      <c r="N998" t="inlineStr"/>
      <c r="O998">
        <f>(1-Summary!$B$55)*T998+Summary!$B$55*V998</f>
        <v/>
      </c>
      <c r="P998">
        <f>IF(B1019=0,0,O998/B1019)</f>
        <v/>
      </c>
      <c r="Q998" t="n">
        <v>0</v>
      </c>
      <c r="R998" t="n">
        <v>0</v>
      </c>
      <c r="S998">
        <f>IFERROR(O998/N998,0)</f>
        <v/>
      </c>
      <c r="T998" t="n">
        <v>0</v>
      </c>
      <c r="V998" t="n">
        <v>0</v>
      </c>
    </row>
    <row r="999">
      <c r="A999">
        <f>Skills!A20</f>
        <v/>
      </c>
      <c r="B999">
        <f>Skills!B20</f>
        <v/>
      </c>
      <c r="C999">
        <f>Inputs!$B$3&gt;=10</f>
        <v/>
      </c>
      <c r="D999">
        <f>IF(Skills!C20=1,60+Inputs!$B$25+Inputs!$B$29,IF(Skills!C20=2,90+Inputs!$B$26+Inputs!$B$29,IF(Skills!C20=3,120+Inputs!$B$27+Inputs!$B$29,MAX(0,(Inputs!$B$3-100)*3)+Inputs!$B$28+Inputs!$B$29)))</f>
        <v/>
      </c>
      <c r="E999">
        <f>INDEX(FactorTable!$B$2:$Y$301, MATCH(ROUND(MIN(300,MAX(1,D999)),0), FactorTable!$A$2:$A$301,0), Skills!M20+1)</f>
        <v/>
      </c>
      <c r="F999">
        <f>IF(Skills!N20=TRUE,(Skills!L20/10)*(E999/1000),Skills!L20/10)+Skills!O20</f>
        <v/>
      </c>
      <c r="G999">
        <f>Skills!G20*IF(Skills!H20&gt;0,Skills!I20/Skills!H20,1)</f>
        <v/>
      </c>
      <c r="H999">
        <f>1-(1-Skills!J20/100)^Skills!K20</f>
        <v/>
      </c>
      <c r="I999" t="inlineStr">
        <is>
          <t>1</t>
        </is>
      </c>
      <c r="J999" t="inlineStr"/>
      <c r="K999" t="inlineStr"/>
      <c r="L999" t="inlineStr"/>
      <c r="M999" t="inlineStr"/>
      <c r="N999" t="inlineStr"/>
      <c r="O999">
        <f>(1-Summary!$B$55)*T999+Summary!$B$55*V999</f>
        <v/>
      </c>
      <c r="P999">
        <f>IF(B1019=0,0,O999/B1019)</f>
        <v/>
      </c>
      <c r="Q999" t="n">
        <v>0</v>
      </c>
      <c r="R999" t="n">
        <v>0</v>
      </c>
      <c r="S999">
        <f>IFERROR(O999/N999,0)</f>
        <v/>
      </c>
      <c r="T999" t="n">
        <v>0</v>
      </c>
      <c r="V999" t="n">
        <v>0</v>
      </c>
    </row>
    <row r="1000">
      <c r="A1000">
        <f>Skills!A21</f>
        <v/>
      </c>
      <c r="B1000">
        <f>Skills!B21</f>
        <v/>
      </c>
      <c r="C1000">
        <f>Inputs!$B$3&gt;=33</f>
        <v/>
      </c>
      <c r="D1000">
        <f>IF(Skills!C21=1,60+Inputs!$B$25+Inputs!$B$29,IF(Skills!C21=2,90+Inputs!$B$26+Inputs!$B$29,IF(Skills!C21=3,120+Inputs!$B$27+Inputs!$B$29,MAX(0,(Inputs!$B$3-100)*3)+Inputs!$B$28+Inputs!$B$29)))</f>
        <v/>
      </c>
      <c r="E1000">
        <f>INDEX(FactorTable!$B$2:$Y$301, MATCH(ROUND(MIN(300,MAX(1,D1000)),0), FactorTable!$A$2:$A$301,0), Skills!M21+1)</f>
        <v/>
      </c>
      <c r="F1000">
        <f>IF(Skills!N21=TRUE,(Skills!L21/10)*(E1000/1000),Skills!L21/10)+Skills!O21</f>
        <v/>
      </c>
      <c r="G1000">
        <f>Skills!G21*IF(Skills!H21&gt;0,Skills!I21/Skills!H21,1)</f>
        <v/>
      </c>
      <c r="H1000">
        <f>1-(1-Skills!J21/100)^Skills!K21</f>
        <v/>
      </c>
      <c r="I1000" t="inlineStr">
        <is>
          <t>1</t>
        </is>
      </c>
      <c r="J1000" t="inlineStr"/>
      <c r="K1000" t="inlineStr"/>
      <c r="L1000" t="inlineStr"/>
      <c r="M1000" t="inlineStr"/>
      <c r="N1000" t="inlineStr"/>
      <c r="O1000">
        <f>(1-Summary!$B$55)*T1000+Summary!$B$55*V1000</f>
        <v/>
      </c>
      <c r="P1000">
        <f>IF(B1019=0,0,O1000/B1019)</f>
        <v/>
      </c>
      <c r="Q1000" t="n">
        <v>0</v>
      </c>
      <c r="R1000" t="n">
        <v>0</v>
      </c>
      <c r="S1000">
        <f>IFERROR(O1000/N1000,0)</f>
        <v/>
      </c>
      <c r="T1000" t="n">
        <v>0</v>
      </c>
      <c r="V1000" t="n">
        <v>0</v>
      </c>
    </row>
    <row r="1001">
      <c r="A1001">
        <f>Skills!A22</f>
        <v/>
      </c>
      <c r="B1001">
        <f>Skills!B22</f>
        <v/>
      </c>
      <c r="C1001">
        <f>Inputs!$B$3&gt;=43</f>
        <v/>
      </c>
      <c r="D1001">
        <f>IF(Skills!C22=1,60+Inputs!$B$25+Inputs!$B$29,IF(Skills!C22=2,90+Inputs!$B$26+Inputs!$B$29,IF(Skills!C22=3,120+Inputs!$B$27+Inputs!$B$29,MAX(0,(Inputs!$B$3-100)*3)+Inputs!$B$28+Inputs!$B$29)))</f>
        <v/>
      </c>
      <c r="E1001">
        <f>INDEX(FactorTable!$B$2:$Y$301, MATCH(ROUND(MIN(300,MAX(1,D1001)),0), FactorTable!$A$2:$A$301,0), Skills!M22+1)</f>
        <v/>
      </c>
      <c r="F1001">
        <f>IF(Skills!N22=TRUE,(Skills!L22/10)*(E1001/1000),Skills!L22/10)+Skills!O22</f>
        <v/>
      </c>
      <c r="G1001">
        <f>Skills!G22*IF(Skills!H22&gt;0,Skills!I22/Skills!H22,1)</f>
        <v/>
      </c>
      <c r="H1001">
        <f>1-(1-Skills!J22/100)^Skills!K22</f>
        <v/>
      </c>
      <c r="I1001" t="inlineStr">
        <is>
          <t>1</t>
        </is>
      </c>
      <c r="J1001" t="inlineStr"/>
      <c r="K1001" t="inlineStr"/>
      <c r="L1001" t="inlineStr"/>
      <c r="M1001" t="inlineStr"/>
      <c r="N1001" t="inlineStr"/>
      <c r="O1001">
        <f>(1-Summary!$B$55)*T1001+Summary!$B$55*V1001</f>
        <v/>
      </c>
      <c r="P1001">
        <f>IF(B1019=0,0,O1001/B1019)</f>
        <v/>
      </c>
      <c r="Q1001" t="n">
        <v>0</v>
      </c>
      <c r="R1001" t="n">
        <v>0</v>
      </c>
      <c r="S1001">
        <f>IFERROR(O1001/N1001,0)</f>
        <v/>
      </c>
      <c r="T1001" t="n">
        <v>0</v>
      </c>
      <c r="V1001" t="n">
        <v>0</v>
      </c>
    </row>
    <row r="1002">
      <c r="A1002">
        <f>Skills!A23</f>
        <v/>
      </c>
      <c r="B1002">
        <f>Skills!B23</f>
        <v/>
      </c>
      <c r="C1002">
        <f>Inputs!$B$3&gt;=38</f>
        <v/>
      </c>
      <c r="D1002">
        <f>IF(Skills!C23=1,60+Inputs!$B$25+Inputs!$B$29,IF(Skills!C23=2,90+Inputs!$B$26+Inputs!$B$29,IF(Skills!C23=3,120+Inputs!$B$27+Inputs!$B$29,MAX(0,(Inputs!$B$3-100)*3)+Inputs!$B$28+Inputs!$B$29)))</f>
        <v/>
      </c>
      <c r="E1002">
        <f>INDEX(FactorTable!$B$2:$Y$301, MATCH(ROUND(MIN(300,MAX(1,D1002)),0), FactorTable!$A$2:$A$301,0), Skills!M23+1)</f>
        <v/>
      </c>
      <c r="F1002">
        <f>IF(Skills!N23=TRUE,(Skills!L23/10)*(E1002/1000),Skills!L23/10)+Skills!O23</f>
        <v/>
      </c>
      <c r="G1002">
        <f>Skills!G23*IF(Skills!H23&gt;0,Skills!I23/Skills!H23,1)</f>
        <v/>
      </c>
      <c r="H1002">
        <f>1-(1-Skills!J23/100)^Skills!K23</f>
        <v/>
      </c>
      <c r="I1002" t="inlineStr">
        <is>
          <t>1</t>
        </is>
      </c>
      <c r="J1002" t="inlineStr"/>
      <c r="K1002" t="inlineStr"/>
      <c r="L1002" t="inlineStr"/>
      <c r="M1002" t="inlineStr"/>
      <c r="N1002" t="inlineStr"/>
      <c r="O1002">
        <f>(1-Summary!$B$55)*T1002+Summary!$B$55*V1002</f>
        <v/>
      </c>
      <c r="P1002">
        <f>IF(B1019=0,0,O1002/B1019)</f>
        <v/>
      </c>
      <c r="Q1002" t="n">
        <v>0</v>
      </c>
      <c r="R1002" t="n">
        <v>0</v>
      </c>
      <c r="S1002">
        <f>IFERROR(O1002/N1002,0)</f>
        <v/>
      </c>
      <c r="T1002" t="n">
        <v>0</v>
      </c>
      <c r="V1002" t="n">
        <v>0</v>
      </c>
    </row>
    <row r="1003">
      <c r="A1003">
        <f>Skills!A24</f>
        <v/>
      </c>
      <c r="B1003">
        <f>Skills!B24</f>
        <v/>
      </c>
      <c r="C1003">
        <f>Inputs!$B$3&gt;=40</f>
        <v/>
      </c>
      <c r="D1003">
        <f>IF(Skills!C24=1,60+Inputs!$B$25+Inputs!$B$29,IF(Skills!C24=2,90+Inputs!$B$26+Inputs!$B$29,IF(Skills!C24=3,120+Inputs!$B$27+Inputs!$B$29,MAX(0,(Inputs!$B$3-100)*3)+Inputs!$B$28+Inputs!$B$29)))</f>
        <v/>
      </c>
      <c r="E1003">
        <f>INDEX(FactorTable!$B$2:$Y$301, MATCH(ROUND(MIN(300,MAX(1,D1003)),0), FactorTable!$A$2:$A$301,0), Skills!M24+1)</f>
        <v/>
      </c>
      <c r="F1003">
        <f>IF(Skills!N24=TRUE,(Skills!L24/10)*(E1003/1000),Skills!L24/10)+Skills!O24</f>
        <v/>
      </c>
      <c r="G1003">
        <f>Skills!G24*IF(Skills!H24&gt;0,Skills!I24/Skills!H24,1)</f>
        <v/>
      </c>
      <c r="H1003">
        <f>1-(1-Skills!J24/100)^Skills!K24</f>
        <v/>
      </c>
      <c r="I1003" t="inlineStr">
        <is>
          <t>1</t>
        </is>
      </c>
      <c r="J1003" t="inlineStr"/>
      <c r="K1003" t="inlineStr"/>
      <c r="L1003" t="inlineStr"/>
      <c r="M1003" t="inlineStr"/>
      <c r="N1003" t="inlineStr"/>
      <c r="O1003">
        <f>(1-Summary!$B$55)*T1003+Summary!$B$55*V1003</f>
        <v/>
      </c>
      <c r="P1003">
        <f>IF(B1019=0,0,O1003/B1019)</f>
        <v/>
      </c>
      <c r="Q1003" t="n">
        <v>0</v>
      </c>
      <c r="R1003" t="n">
        <v>0</v>
      </c>
      <c r="S1003">
        <f>IFERROR(O1003/N1003,0)</f>
        <v/>
      </c>
      <c r="T1003" t="n">
        <v>0</v>
      </c>
      <c r="V1003" t="n">
        <v>0</v>
      </c>
    </row>
    <row r="1004">
      <c r="A1004">
        <f>Skills!A25</f>
        <v/>
      </c>
      <c r="B1004">
        <f>Skills!B25</f>
        <v/>
      </c>
      <c r="C1004">
        <f>Inputs!$B$3&gt;=72</f>
        <v/>
      </c>
      <c r="D1004">
        <f>IF(Skills!C25=1,60+Inputs!$B$25+Inputs!$B$29,IF(Skills!C25=2,90+Inputs!$B$26+Inputs!$B$29,IF(Skills!C25=3,120+Inputs!$B$27+Inputs!$B$29,MAX(0,(Inputs!$B$3-100)*3)+Inputs!$B$28+Inputs!$B$29)))</f>
        <v/>
      </c>
      <c r="E1004">
        <f>INDEX(FactorTable!$B$2:$Y$301, MATCH(ROUND(MIN(300,MAX(1,D1004)),0), FactorTable!$A$2:$A$301,0), Skills!M25+1)</f>
        <v/>
      </c>
      <c r="F1004">
        <f>IF(Skills!N25=TRUE,(Skills!L25/10)*(E1004/1000),Skills!L25/10)+Skills!O25</f>
        <v/>
      </c>
      <c r="G1004">
        <f>Skills!G25*IF(Skills!H25&gt;0,Skills!I25/Skills!H25,1)</f>
        <v/>
      </c>
      <c r="H1004">
        <f>1-(1-Skills!J25/100)^Skills!K25</f>
        <v/>
      </c>
      <c r="I1004" t="inlineStr">
        <is>
          <t>1</t>
        </is>
      </c>
      <c r="J1004" t="inlineStr"/>
      <c r="K1004" t="inlineStr"/>
      <c r="L1004" t="inlineStr"/>
      <c r="M1004" t="inlineStr"/>
      <c r="N1004" t="inlineStr"/>
      <c r="O1004">
        <f>(1-Summary!$B$55)*T1004+Summary!$B$55*V1004</f>
        <v/>
      </c>
      <c r="P1004">
        <f>IF(B1019=0,0,O1004/B1019)</f>
        <v/>
      </c>
      <c r="Q1004" t="n">
        <v>0</v>
      </c>
      <c r="R1004" t="n">
        <v>0</v>
      </c>
      <c r="S1004">
        <f>IFERROR(O1004/N1004,0)</f>
        <v/>
      </c>
      <c r="T1004" t="n">
        <v>0</v>
      </c>
      <c r="V1004" t="n">
        <v>0</v>
      </c>
    </row>
    <row r="1005">
      <c r="A1005">
        <f>Skills!A26</f>
        <v/>
      </c>
      <c r="B1005">
        <f>Skills!B26</f>
        <v/>
      </c>
      <c r="C1005">
        <f>Inputs!$B$3&gt;=75</f>
        <v/>
      </c>
      <c r="D1005">
        <f>IF(Skills!C26=1,60+Inputs!$B$25+Inputs!$B$29,IF(Skills!C26=2,90+Inputs!$B$26+Inputs!$B$29,IF(Skills!C26=3,120+Inputs!$B$27+Inputs!$B$29,MAX(0,(Inputs!$B$3-100)*3)+Inputs!$B$28+Inputs!$B$29)))</f>
        <v/>
      </c>
      <c r="E1005">
        <f>INDEX(FactorTable!$B$2:$Y$301, MATCH(ROUND(MIN(300,MAX(1,D1005)),0), FactorTable!$A$2:$A$301,0), Skills!M26+1)</f>
        <v/>
      </c>
      <c r="F1005">
        <f>IF(Skills!N26=TRUE,(Skills!L26/10)*(E1005/1000),Skills!L26/10)+Skills!O26</f>
        <v/>
      </c>
      <c r="G1005">
        <f>Skills!G26*IF(Skills!H26&gt;0,Skills!I26/Skills!H26,1)</f>
        <v/>
      </c>
      <c r="H1005">
        <f>1-(1-Skills!J26/100)^Skills!K26</f>
        <v/>
      </c>
      <c r="I1005" t="inlineStr">
        <is>
          <t>1</t>
        </is>
      </c>
      <c r="J1005" t="inlineStr"/>
      <c r="K1005" t="inlineStr"/>
      <c r="L1005" t="inlineStr"/>
      <c r="M1005" t="inlineStr"/>
      <c r="N1005" t="inlineStr"/>
      <c r="O1005">
        <f>(1-Summary!$B$55)*T1005+Summary!$B$55*V1005</f>
        <v/>
      </c>
      <c r="P1005">
        <f>IF(B1019=0,0,O1005/B1019)</f>
        <v/>
      </c>
      <c r="Q1005" t="n">
        <v>0</v>
      </c>
      <c r="R1005" t="n">
        <v>0</v>
      </c>
      <c r="S1005">
        <f>IFERROR(O1005/N1005,0)</f>
        <v/>
      </c>
      <c r="T1005" t="n">
        <v>0</v>
      </c>
      <c r="V1005" t="n">
        <v>0</v>
      </c>
    </row>
    <row r="1006">
      <c r="A1006">
        <f>Skills!A27</f>
        <v/>
      </c>
      <c r="B1006">
        <f>Skills!B27</f>
        <v/>
      </c>
      <c r="C1006">
        <f>Inputs!$B$3&gt;=117</f>
        <v/>
      </c>
      <c r="D1006">
        <f>IF(Skills!C27=1,60+Inputs!$B$25+Inputs!$B$29,IF(Skills!C27=2,90+Inputs!$B$26+Inputs!$B$29,IF(Skills!C27=3,120+Inputs!$B$27+Inputs!$B$29,MAX(0,(Inputs!$B$3-100)*3)+Inputs!$B$28+Inputs!$B$29)))</f>
        <v/>
      </c>
      <c r="E1006">
        <f>INDEX(FactorTable!$B$2:$Y$301, MATCH(ROUND(MIN(300,MAX(1,D1006)),0), FactorTable!$A$2:$A$301,0), Skills!M27+1)</f>
        <v/>
      </c>
      <c r="F1006">
        <f>IF(Skills!N27=TRUE,(Skills!L27/10)*(E1006/1000),Skills!L27/10)+Skills!O27</f>
        <v/>
      </c>
      <c r="G1006">
        <f>Skills!G27*IF(Skills!H27&gt;0,Skills!I27/Skills!H27,1)</f>
        <v/>
      </c>
      <c r="H1006">
        <f>1-(1-Skills!J27/100)^Skills!K27</f>
        <v/>
      </c>
      <c r="I1006" t="inlineStr">
        <is>
          <t>1</t>
        </is>
      </c>
      <c r="J1006" t="inlineStr"/>
      <c r="K1006" t="inlineStr"/>
      <c r="L1006" t="inlineStr"/>
      <c r="M1006" t="inlineStr"/>
      <c r="N1006" t="inlineStr"/>
      <c r="O1006">
        <f>(1-Summary!$B$55)*T1006+Summary!$B$55*V1006</f>
        <v/>
      </c>
      <c r="P1006">
        <f>IF(B1019=0,0,O1006/B1019)</f>
        <v/>
      </c>
      <c r="Q1006" t="n">
        <v>0</v>
      </c>
      <c r="R1006" t="n">
        <v>0</v>
      </c>
      <c r="S1006">
        <f>IFERROR(O1006/N1006,0)</f>
        <v/>
      </c>
      <c r="T1006" t="n">
        <v>0</v>
      </c>
      <c r="V1006" t="n">
        <v>0</v>
      </c>
    </row>
    <row r="1008">
      <c r="A1008" t="inlineStr">
        <is>
          <t>Attack% Bucket Multiplier</t>
        </is>
      </c>
      <c r="B1008">
        <f>(1+(((C996=TRUE)*F996)+((C1003=TRUE)*(F1003-Calc!F24)))/100)</f>
        <v/>
      </c>
    </row>
    <row r="1009">
      <c r="A1009" t="inlineStr">
        <is>
          <t>Global Crit Rate Bonus %</t>
        </is>
      </c>
      <c r="B1009" t="n">
        <v>0</v>
      </c>
    </row>
    <row r="1010">
      <c r="A1010" t="inlineStr">
        <is>
          <t>Attack Speed Buff Bonus % (unused)</t>
        </is>
      </c>
      <c r="B1010" t="n">
        <v>0</v>
      </c>
    </row>
    <row r="1011">
      <c r="A1011" t="inlineStr">
        <is>
          <t>Actions Per Second</t>
        </is>
      </c>
      <c r="B1011">
        <f>1+MIN(150,150*(1-(1-(Inputs!$B$11+((C999=TRUE)*(F999-Calc!F20))+((C1000=TRUE)*(F1000-Calc!F21)))/150)*(1-B1010/150)))/100</f>
        <v/>
      </c>
    </row>
    <row r="1012">
      <c r="A1012" t="inlineStr">
        <is>
          <t>Skill + Buff Cast Rate</t>
        </is>
      </c>
      <c r="B1012">
        <f>IF(AND(Inputs!$B$38&lt;&gt;"pvp",Inputs!$B$43&gt;0),SUMPRODUCT((Skills!E2:E27=TRUE)*(C981:C1006=TRUE)*R981:R1006*Skills!F2:F27)/Inputs!$B$43,SUMPRODUCT((Skills!E2:E27=TRUE)*(C981:C1006=TRUE)*Q981:Q1006*Skills!F2:F27))</f>
        <v/>
      </c>
    </row>
    <row r="1013">
      <c r="A1013" t="inlineStr">
        <is>
          <t>Eight-Legs Easton Casts Per Second</t>
        </is>
      </c>
      <c r="B1013">
        <f>MAX(0,B1011-B1012)</f>
        <v/>
      </c>
    </row>
    <row r="1014">
      <c r="A1014" t="inlineStr">
        <is>
          <t>Global Critical Damage Bonus % (unused)</t>
        </is>
      </c>
      <c r="B1014" t="n">
        <v>0</v>
      </c>
    </row>
    <row r="1015">
      <c r="A1015" t="inlineStr">
        <is>
          <t>Global Final Damage Bonus % (Jolly Roger only)</t>
        </is>
      </c>
      <c r="B1015">
        <f>((C997=TRUE)*F997)</f>
        <v/>
      </c>
    </row>
    <row r="1016">
      <c r="A1016" t="inlineStr">
        <is>
          <t>Buff-Casting Startup Delay (s, fixed-duration only)</t>
        </is>
      </c>
      <c r="B1016">
        <f>IF(AND(Inputs!$B$38&lt;&gt;"pvp",Inputs!$B$43&gt;0),SUMPRODUCT((Skills!T2:T27&gt;0)*(Skills!E2:E27=TRUE)*(C981:C1006=TRUE))/B1011,0)</f>
        <v/>
      </c>
    </row>
    <row r="1017">
      <c r="A1017" t="inlineStr">
        <is>
          <t>Boss-Only Total DPS (this block's swept value)</t>
        </is>
      </c>
      <c r="B1017">
        <f>SUM(T981:T1006)</f>
        <v/>
      </c>
    </row>
    <row r="1018">
      <c r="A1018" t="inlineStr">
        <is>
          <t>Normal-Only Total DPS (this block's swept value)</t>
        </is>
      </c>
      <c r="B1018">
        <f>SUM(V981:V1006)</f>
        <v/>
      </c>
    </row>
    <row r="1019">
      <c r="A1019" s="5" t="inlineStr">
        <is>
          <t>TOTAL DPS</t>
        </is>
      </c>
      <c r="B1019" s="5">
        <f>SUM(O981:O1006)</f>
        <v/>
      </c>
    </row>
    <row r="1022">
      <c r="A1022" s="5" t="inlineStr">
        <is>
          <t>Stat: Skill Cooldown Decrease (seconds)</t>
        </is>
      </c>
    </row>
    <row r="1023">
      <c r="A1023" s="9" t="inlineStr">
        <is>
          <t>Key</t>
        </is>
      </c>
      <c r="B1023" s="9" t="inlineStr">
        <is>
          <t>Name</t>
        </is>
      </c>
      <c r="C1023" s="9" t="inlineStr">
        <is>
          <t>Unlocked</t>
        </is>
      </c>
      <c r="D1023" s="9" t="inlineStr">
        <is>
          <t>InputLevel</t>
        </is>
      </c>
      <c r="E1023" s="9" t="inlineStr">
        <is>
          <t>Factor</t>
        </is>
      </c>
      <c r="F1023" s="9" t="inlineStr">
        <is>
          <t>CoefficientPercent</t>
        </is>
      </c>
      <c r="G1023" s="9" t="inlineStr">
        <is>
          <t>EffectiveHits</t>
        </is>
      </c>
      <c r="H1023" s="9" t="inlineStr">
        <is>
          <t>ProcProbability</t>
        </is>
      </c>
      <c r="I1023" s="9" t="inlineStr">
        <is>
          <t>MapleHeroMultiplier</t>
        </is>
      </c>
      <c r="J1023" s="9" t="inlineStr">
        <is>
          <t>BaseDamage</t>
        </is>
      </c>
      <c r="K1023" s="9" t="inlineStr">
        <is>
          <t>BaseHitDamage</t>
        </is>
      </c>
      <c r="L1023" s="9" t="inlineStr">
        <is>
          <t>NonCritAvg</t>
        </is>
      </c>
      <c r="M1023" s="9" t="inlineStr">
        <is>
          <t>CritAvg</t>
        </is>
      </c>
      <c r="N1023" s="9" t="inlineStr">
        <is>
          <t>ExpectedDamage(perHit)</t>
        </is>
      </c>
      <c r="O1023" s="9" t="inlineStr">
        <is>
          <t>DPS</t>
        </is>
      </c>
      <c r="P1023" s="9" t="inlineStr">
        <is>
          <t>% of Total</t>
        </is>
      </c>
      <c r="Q1023" s="9" t="inlineStr">
        <is>
          <t>InvCooldown</t>
        </is>
      </c>
      <c r="R1023" s="9" t="inlineStr">
        <is>
          <t>CastsInFight</t>
        </is>
      </c>
      <c r="S1023" s="9" t="inlineStr">
        <is>
          <t>HitRate(perSec)</t>
        </is>
      </c>
      <c r="U1023" t="inlineStr">
        <is>
          <t>helpers</t>
        </is>
      </c>
    </row>
    <row r="1024">
      <c r="A1024">
        <f>Skills!A2</f>
        <v/>
      </c>
      <c r="B1024">
        <f>Skills!B2</f>
        <v/>
      </c>
      <c r="C1024">
        <f>Inputs!$B$3&gt;=100</f>
        <v/>
      </c>
      <c r="D1024" t="inlineStr"/>
      <c r="E1024" t="inlineStr"/>
      <c r="F1024">
        <f>U1026+Skills!O2</f>
        <v/>
      </c>
      <c r="G1024">
        <f>Skills!G2*IF(Skills!H2&gt;0,Skills!I2/Skills!H2,1)</f>
        <v/>
      </c>
      <c r="H1024">
        <f>1-(1-Skills!J2/100)^Skills!K2</f>
        <v/>
      </c>
      <c r="I1024" t="inlineStr">
        <is>
          <t>1</t>
        </is>
      </c>
      <c r="J1024">
        <f>((Inputs!$B$6*(1+Inputs!$B$7/100))+(((Inputs!$B$12*(1+Inputs!$B$13/100))-(Inputs!$B$12*(1+Inputs!$B$13/100)))+0.25*(Inputs!$B$14-Inputs!$B$14))*(1+Inputs!$B$7/100))*(F1024/100)</f>
        <v/>
      </c>
      <c r="K1024">
        <f>J1024*(1+((Inputs!$B$12*(1+Inputs!$B$13/100))*0.01+Inputs!$B$14*0.0025)/100)*(1+Inputs!$B$15/100)*(1+Inputs!$B$16/100)*(5000/(6000+Inputs!$B$42*(1-(Inputs!$B$19+0)/100)))*(1+(Inputs!$B$24+((C1048=TRUE)*(F1048-Calc!F26))+B1058)/100)*(1+(IF(Skills!A2="EIGHT_LEGS_EASTON",Inputs!$B$17+((C1045=TRUE)*(F1045-Calc!F23))+((C1049=TRUE)*(F1049-Calc!F27)),Inputs!$B$18+0))/100)*((1+(((C1039=TRUE)*F1039)+((C1046=TRUE)*(F1046-Calc!F24)))/100)*I1024)</f>
        <v/>
      </c>
      <c r="L1024">
        <f>K1024*(MIN(Inputs!$B$22+((C1044=TRUE)*(F1044-Calc!F22)),Inputs!$B$23+0)/100+(Inputs!$B$23+0)/100)/2</f>
        <v/>
      </c>
      <c r="M1024">
        <f>L1024*(1+(Inputs!$B$10+((C1047=TRUE)*(F1047-Calc!F25))+B1057)/100)</f>
        <v/>
      </c>
      <c r="N1024">
        <f>L1024*(1-MIN((Inputs!$B$9+((C1041=TRUE)*(F1041-Calc!F19))+B1052),100)/100)+M1024*(MIN((Inputs!$B$9+((C1041=TRUE)*(F1041-Calc!F19))+B1052),100)/100)</f>
        <v/>
      </c>
      <c r="O1024">
        <f>(1-Summary!$B$55)*T1024+Summary!$B$55*V1024</f>
        <v/>
      </c>
      <c r="P1024">
        <f>IF(B1062=0,0,O1024/B1062)</f>
        <v/>
      </c>
      <c r="Q1024" t="n">
        <v>0</v>
      </c>
      <c r="R1024" t="n">
        <v>0</v>
      </c>
      <c r="S1024">
        <f>IFERROR(O1024/N1024,0)</f>
        <v/>
      </c>
      <c r="T1024">
        <f>IF(C1024,(Skills!G2*N1024*B1056)*IF(Inputs!$B$38="pvp",1,1+(Inputs!$B$20+0+Skills!P2)/100),0)</f>
        <v/>
      </c>
      <c r="U1024">
        <f>MAX(0,(Inputs!$B$3-100)*3)+Inputs!$B$28+Inputs!$B$29</f>
        <v/>
      </c>
      <c r="V1024">
        <f>IF(C1024,(Skills!G2*N1024*B1056)*IF(Inputs!$B$38="pvp",1,(1+(Inputs!$B$21+Skills!Q2)/100)*(MIN((6+Inputs!$B$33),Inputs!$B$37))),0)</f>
        <v/>
      </c>
    </row>
    <row r="1025">
      <c r="A1025">
        <f>Skills!A3</f>
        <v/>
      </c>
      <c r="B1025">
        <f>Skills!B3</f>
        <v/>
      </c>
      <c r="C1025">
        <f>Inputs!$B$3&gt;=35</f>
        <v/>
      </c>
      <c r="D1025">
        <f>IF(Skills!C3=1,60+Inputs!$B$25+Inputs!$B$29,IF(Skills!C3=2,90+Inputs!$B$26+Inputs!$B$29,IF(Skills!C3=3,120+Inputs!$B$27+Inputs!$B$29,MAX(0,(Inputs!$B$3-100)*3)+Inputs!$B$28+Inputs!$B$29)))</f>
        <v/>
      </c>
      <c r="E1025">
        <f>INDEX(FactorTable!$B$2:$Y$301, MATCH(ROUND(MIN(300,MAX(1,D1025)),0), FactorTable!$A$2:$A$301,0), Skills!M3+1)</f>
        <v/>
      </c>
      <c r="F1025">
        <f>IF(Skills!N3=TRUE,(Skills!L3/10)*(E1025/1000),Skills!L3/10)+Skills!O3</f>
        <v/>
      </c>
      <c r="G1025">
        <f>Skills!G3*IF(Skills!H3&gt;0,Skills!I3/Skills!H3,1)</f>
        <v/>
      </c>
      <c r="H1025">
        <f>1-(1-Skills!J3/100)^Skills!K3</f>
        <v/>
      </c>
      <c r="I1025" t="inlineStr">
        <is>
          <t>1</t>
        </is>
      </c>
      <c r="J1025">
        <f>((Inputs!$B$6*(1+Inputs!$B$7/100))+(((Inputs!$B$12*(1+Inputs!$B$13/100))-(Inputs!$B$12*(1+Inputs!$B$13/100)))+0.25*(Inputs!$B$14-Inputs!$B$14))*(1+Inputs!$B$7/100))*(F1025/100)</f>
        <v/>
      </c>
      <c r="K1025">
        <f>J1025*(1+((Inputs!$B$12*(1+Inputs!$B$13/100))*0.01+Inputs!$B$14*0.0025)/100)*(1+Inputs!$B$15/100)*(1+Inputs!$B$16/100)*(5000/(6000+Inputs!$B$42*(1-(Inputs!$B$19+0)/100)))*(1+(Inputs!$B$24+((C1048=TRUE)*(F1048-Calc!F26))+B1058)/100)*(1+4.0*IF(C1037=TRUE,F1037,0)/100)*(1+(IF(Skills!A3="EIGHT_LEGS_EASTON",Inputs!$B$17+((C1045=TRUE)*(F1045-Calc!F23))+((C1049=TRUE)*(F1049-Calc!F27)),Inputs!$B$18+0))/100)*((1+(((C1039=TRUE)*F1039)+((C1046=TRUE)*(F1046-Calc!F24)))/100)*I1025)</f>
        <v/>
      </c>
      <c r="L1025">
        <f>K1025*(MIN(Inputs!$B$22+((C1044=TRUE)*(F1044-Calc!F22)),Inputs!$B$23+0)/100+(Inputs!$B$23+0)/100)/2</f>
        <v/>
      </c>
      <c r="M1025">
        <f>L1025*(1+(Inputs!$B$10+((C1047=TRUE)*(F1047-Calc!F25))+B1057)/100)</f>
        <v/>
      </c>
      <c r="N1025">
        <f>L1025*(1-MIN((Inputs!$B$9+((C1041=TRUE)*(F1041-Calc!F19))+B1052),100)/100)+M1025*(MIN((Inputs!$B$9+((C1041=TRUE)*(F1041-Calc!F19))+B1052),100)/100)</f>
        <v/>
      </c>
      <c r="O1025">
        <f>(1-Summary!$B$55)*T1025+Summary!$B$55*V1025</f>
        <v/>
      </c>
      <c r="P1025">
        <f>IF(B1062=0,0,O1025/B1062)</f>
        <v/>
      </c>
      <c r="Q1025">
        <f>IFERROR(1/IF(Inputs!$B$38="pvp",15,MAX(0.1,Skills!D3-IF(Skills!E3=TRUE,(Inputs!$B$32+1),0))),0)</f>
        <v/>
      </c>
      <c r="R1025">
        <f>IF(AND(Inputs!$B$38&lt;&gt;"pvp",Inputs!$B$43&gt;0),IF(MAX(0,Inputs!$B$43-B1059)&lt;=0,0,(INT(MAX(0,Inputs!$B$43-B1059)/IF(Inputs!$B$38="pvp",15,MAX(0.1,Skills!D3-IF(Skills!E3=TRUE,(Inputs!$B$32+1),0))))+1)),0)</f>
        <v/>
      </c>
      <c r="S1025">
        <f>IFERROR(O1025/N1025,0)</f>
        <v/>
      </c>
      <c r="T1025">
        <f>IF(C1025,(H1025*N1025*IF(AND(Inputs!$B$38&lt;&gt;"pvp",Inputs!$B$43&gt;0),((Skills!G3*((R1025-1)*IF(Skills!H3&gt;0,Skills!I3/Skills!H3,1)+IF(Skills!H3&gt;0,MIN(Skills!I3,MAX(0,MAX(0,Inputs!$B$43-B1059)-((R1025-1)*IF(Inputs!$B$38="pvp",15,MAX(0.1,Skills!D3-IF(Skills!E3=TRUE,(Inputs!$B$32+1),0))))))/Skills!H3,1)))/Inputs!$B$43),G1025*Q1025))*IF(Inputs!$B$38="pvp",1,1+(Inputs!$B$20+0+Skills!P3)/100),0)</f>
        <v/>
      </c>
      <c r="U1025">
        <f>INDEX(FactorTable!$B$2:$Y$301, MATCH(ROUND(MIN(300,MAX(1,U1024)),0), FactorTable!$A$2:$A$301,0), 22)</f>
        <v/>
      </c>
      <c r="V1025">
        <f>IF(C1025,(H1025*N1025*IF(AND(Inputs!$B$38&lt;&gt;"pvp",Inputs!$B$43&gt;0),((Skills!G3*((R1025-1)*IF(Skills!H3&gt;0,Skills!I3/Skills!H3,1)+IF(Skills!H3&gt;0,MIN(Skills!I3,MAX(0,MAX(0,Inputs!$B$43-B1059)-((R1025-1)*IF(Inputs!$B$38="pvp",15,MAX(0.1,Skills!D3-IF(Skills!E3=TRUE,(Inputs!$B$32+1),0))))))/Skills!H3,1)))/Inputs!$B$43),G1025*Q1025))*IF(Inputs!$B$38="pvp",1,(1+(Inputs!$B$21+Skills!Q3)/100)*(MIN(Skills!R3,Inputs!$B$37))),0)</f>
        <v/>
      </c>
    </row>
    <row r="1026">
      <c r="A1026">
        <f>Skills!A4</f>
        <v/>
      </c>
      <c r="B1026">
        <f>Skills!B4</f>
        <v/>
      </c>
      <c r="C1026">
        <f>Inputs!$B$3&gt;=40</f>
        <v/>
      </c>
      <c r="D1026">
        <f>IF(Skills!C4=1,60+Inputs!$B$25+Inputs!$B$29,IF(Skills!C4=2,90+Inputs!$B$26+Inputs!$B$29,IF(Skills!C4=3,120+Inputs!$B$27+Inputs!$B$29,MAX(0,(Inputs!$B$3-100)*3)+Inputs!$B$28+Inputs!$B$29)))</f>
        <v/>
      </c>
      <c r="E1026">
        <f>INDEX(FactorTable!$B$2:$Y$301, MATCH(ROUND(MIN(300,MAX(1,D1026)),0), FactorTable!$A$2:$A$301,0), Skills!M4+1)</f>
        <v/>
      </c>
      <c r="F1026">
        <f>IF(Skills!N4=TRUE,(Skills!L4/10)*(E1026/1000),Skills!L4/10)+Skills!O4</f>
        <v/>
      </c>
      <c r="G1026">
        <f>Skills!G4*IF(Skills!H4&gt;0,Skills!I4/Skills!H4,1)</f>
        <v/>
      </c>
      <c r="H1026">
        <f>1-(1-Skills!J4/100)^Skills!K4</f>
        <v/>
      </c>
      <c r="I1026" t="inlineStr">
        <is>
          <t>1</t>
        </is>
      </c>
      <c r="J1026">
        <f>((Inputs!$B$6*(1+Inputs!$B$7/100))+(((Inputs!$B$12*(1+Inputs!$B$13/100))-(Inputs!$B$12*(1+Inputs!$B$13/100)))+0.25*(Inputs!$B$14-Inputs!$B$14))*(1+Inputs!$B$7/100))*(F1026/100)</f>
        <v/>
      </c>
      <c r="K1026">
        <f>J1026*(1+((Inputs!$B$12*(1+Inputs!$B$13/100))*0.01+Inputs!$B$14*0.0025)/100)*(1+Inputs!$B$15/100)*(1+Inputs!$B$16/100)*(5000/(6000+Inputs!$B$42*(1-(Inputs!$B$19+0)/100)))*(1+(Inputs!$B$24+((C1048=TRUE)*(F1048-Calc!F26))+B1058)/100)*(1+1.0*IF(C1038=TRUE,F1038,0)/100)*(1+(IF(Skills!A4="EIGHT_LEGS_EASTON",Inputs!$B$17+((C1045=TRUE)*(F1045-Calc!F23))+((C1049=TRUE)*(F1049-Calc!F27)),Inputs!$B$18+0))/100)*((1+(((C1039=TRUE)*F1039)+((C1046=TRUE)*(F1046-Calc!F24)))/100)*I1026)</f>
        <v/>
      </c>
      <c r="L1026">
        <f>K1026*(MIN(Inputs!$B$22+((C1044=TRUE)*(F1044-Calc!F22)),Inputs!$B$23+0)/100+(Inputs!$B$23+0)/100)/2</f>
        <v/>
      </c>
      <c r="M1026">
        <f>L1026*(1+(Inputs!$B$10+((C1047=TRUE)*(F1047-Calc!F25))+B1057)/100)</f>
        <v/>
      </c>
      <c r="N1026">
        <f>L1026*(1-MIN((Inputs!$B$9+((C1041=TRUE)*(F1041-Calc!F19))+B1052),100)/100)+M1026*(MIN((Inputs!$B$9+((C1041=TRUE)*(F1041-Calc!F19))+B1052),100)/100)</f>
        <v/>
      </c>
      <c r="O1026">
        <f>(1-Summary!$B$55)*T1026+Summary!$B$55*V1026</f>
        <v/>
      </c>
      <c r="P1026">
        <f>IF(B1062=0,0,O1026/B1062)</f>
        <v/>
      </c>
      <c r="Q1026">
        <f>IFERROR(1/IF(Inputs!$B$38="pvp",15,MAX(0.1,Skills!D4-IF(Skills!E4=TRUE,(Inputs!$B$32+1),0))),0)</f>
        <v/>
      </c>
      <c r="R1026">
        <f>IF(AND(Inputs!$B$38&lt;&gt;"pvp",Inputs!$B$43&gt;0),IF(MAX(0,Inputs!$B$43-B1059)&lt;=0,0,(INT(MAX(0,Inputs!$B$43-B1059)/IF(Inputs!$B$38="pvp",15,MAX(0.1,Skills!D4-IF(Skills!E4=TRUE,(Inputs!$B$32+1),0))))+1)),0)</f>
        <v/>
      </c>
      <c r="S1026">
        <f>IFERROR(O1026/N1026,0)</f>
        <v/>
      </c>
      <c r="T1026">
        <f>IF(C1026,(H1026*N1026*IF(AND(Inputs!$B$38&lt;&gt;"pvp",Inputs!$B$43&gt;0),((Skills!G4*((R1026-1)*IF(Skills!H4&gt;0,Skills!I4/Skills!H4,1)+IF(Skills!H4&gt;0,MIN(Skills!I4,MAX(0,MAX(0,Inputs!$B$43-B1059)-((R1026-1)*IF(Inputs!$B$38="pvp",15,MAX(0.1,Skills!D4-IF(Skills!E4=TRUE,(Inputs!$B$32+1),0))))))/Skills!H4,1)))/Inputs!$B$43),G1026*Q1026))*IF(Inputs!$B$38="pvp",1,1+(Inputs!$B$20+0+Skills!P4)/100),0)</f>
        <v/>
      </c>
      <c r="U1026">
        <f>290*U1025/1000</f>
        <v/>
      </c>
      <c r="V1026">
        <f>IF(C1026,(H1026*N1026*IF(AND(Inputs!$B$38&lt;&gt;"pvp",Inputs!$B$43&gt;0),((Skills!G4*((R1026-1)*IF(Skills!H4&gt;0,Skills!I4/Skills!H4,1)+IF(Skills!H4&gt;0,MIN(Skills!I4,MAX(0,MAX(0,Inputs!$B$43-B1059)-((R1026-1)*IF(Inputs!$B$38="pvp",15,MAX(0.1,Skills!D4-IF(Skills!E4=TRUE,(Inputs!$B$32+1),0))))))/Skills!H4,1)))/Inputs!$B$43),G1026*Q1026))*IF(Inputs!$B$38="pvp",1,(1+(Inputs!$B$21+Skills!Q4)/100)*(MIN(Skills!R4,Inputs!$B$37))),0)</f>
        <v/>
      </c>
    </row>
    <row r="1027">
      <c r="A1027">
        <f>Skills!A5</f>
        <v/>
      </c>
      <c r="B1027">
        <f>Skills!B5</f>
        <v/>
      </c>
      <c r="C1027">
        <f>Inputs!$B$3&gt;=45</f>
        <v/>
      </c>
      <c r="D1027">
        <f>IF(Skills!C5=1,60+Inputs!$B$25+Inputs!$B$29,IF(Skills!C5=2,90+Inputs!$B$26+Inputs!$B$29,IF(Skills!C5=3,120+Inputs!$B$27+Inputs!$B$29,MAX(0,(Inputs!$B$3-100)*3)+Inputs!$B$28+Inputs!$B$29)))</f>
        <v/>
      </c>
      <c r="E1027">
        <f>INDEX(FactorTable!$B$2:$Y$301, MATCH(ROUND(MIN(300,MAX(1,D1027)),0), FactorTable!$A$2:$A$301,0), Skills!M5+1)</f>
        <v/>
      </c>
      <c r="F1027">
        <f>IF(Skills!N5=TRUE,(Skills!L5/10)*(E1027/1000),Skills!L5/10)+Skills!O5</f>
        <v/>
      </c>
      <c r="G1027">
        <f>Skills!G5*IF(Skills!H5&gt;0,Skills!I5/Skills!H5,1)</f>
        <v/>
      </c>
      <c r="H1027">
        <f>1-(1-Skills!J5/100)^Skills!K5</f>
        <v/>
      </c>
      <c r="I1027" t="inlineStr">
        <is>
          <t>1</t>
        </is>
      </c>
      <c r="J1027">
        <f>((Inputs!$B$6*(1+Inputs!$B$7/100))+(((Inputs!$B$12*(1+Inputs!$B$13/100))-(Inputs!$B$12*(1+Inputs!$B$13/100)))+0.25*(Inputs!$B$14-Inputs!$B$14))*(1+Inputs!$B$7/100))*(F1027/100)</f>
        <v/>
      </c>
      <c r="K1027">
        <f>J1027*(1+((Inputs!$B$12*(1+Inputs!$B$13/100))*0.01+Inputs!$B$14*0.0025)/100)*(1+Inputs!$B$15/100)*(1+Inputs!$B$16/100)*(5000/(6000+Inputs!$B$42*(1-(Inputs!$B$19+0)/100)))*(1+(Inputs!$B$24+((C1048=TRUE)*(F1048-Calc!F26))+B1058)/100)*(1+0.4*IF(C1038=TRUE,F1038,0)/100)*(1+(IF(Skills!A5="EIGHT_LEGS_EASTON",Inputs!$B$17+((C1045=TRUE)*(F1045-Calc!F23))+((C1049=TRUE)*(F1049-Calc!F27)),Inputs!$B$18+0))/100)*((1+(((C1039=TRUE)*F1039)+((C1046=TRUE)*(F1046-Calc!F24)))/100)*I1027)</f>
        <v/>
      </c>
      <c r="L1027">
        <f>K1027*(MIN(Inputs!$B$22+((C1044=TRUE)*(F1044-Calc!F22)),Inputs!$B$23+0)/100+(Inputs!$B$23+0)/100)/2</f>
        <v/>
      </c>
      <c r="M1027">
        <f>L1027*(1+(Inputs!$B$10+((C1047=TRUE)*(F1047-Calc!F25))+B1057)/100)</f>
        <v/>
      </c>
      <c r="N1027">
        <f>L1027*(1-MIN((Inputs!$B$9+((C1041=TRUE)*(F1041-Calc!F19))+B1052),100)/100)+M1027*(MIN((Inputs!$B$9+((C1041=TRUE)*(F1041-Calc!F19))+B1052),100)/100)</f>
        <v/>
      </c>
      <c r="O1027">
        <f>(1-Summary!$B$55)*T1027+Summary!$B$55*V1027</f>
        <v/>
      </c>
      <c r="P1027">
        <f>IF(B1062=0,0,O1027/B1062)</f>
        <v/>
      </c>
      <c r="Q1027">
        <f>IFERROR(1/IF(Inputs!$B$38="pvp",15,MAX(0.1,Skills!D5-IF(Skills!E5=TRUE,(Inputs!$B$32+1),0))),0)</f>
        <v/>
      </c>
      <c r="R1027">
        <f>IF(AND(Inputs!$B$38&lt;&gt;"pvp",Inputs!$B$43&gt;0),IF(MAX(0,Inputs!$B$43-B1059)&lt;=0,0,(INT(MAX(0,Inputs!$B$43-B1059)/IF(Inputs!$B$38="pvp",15,MAX(0.1,Skills!D5-IF(Skills!E5=TRUE,(Inputs!$B$32+1),0))))+1)),0)</f>
        <v/>
      </c>
      <c r="S1027">
        <f>IFERROR(O1027/N1027,0)</f>
        <v/>
      </c>
      <c r="T1027">
        <f>IF(C1027,(H1027*N1027*IF(AND(Inputs!$B$38&lt;&gt;"pvp",Inputs!$B$43&gt;0),((Skills!G5*((R1027-1)*IF(Skills!H5&gt;0,Skills!I5/Skills!H5,1)+IF(Skills!H5&gt;0,MIN(Skills!I5,MAX(0,MAX(0,Inputs!$B$43-B1059)-((R1027-1)*IF(Inputs!$B$38="pvp",15,MAX(0.1,Skills!D5-IF(Skills!E5=TRUE,(Inputs!$B$32+1),0))))))/Skills!H5,1)))/Inputs!$B$43),G1027*Q1027))*IF(Inputs!$B$38="pvp",1,1+(Inputs!$B$20+0+Skills!P5)/100),0)</f>
        <v/>
      </c>
      <c r="V1027">
        <f>IF(C1027,(H1027*N1027*IF(AND(Inputs!$B$38&lt;&gt;"pvp",Inputs!$B$43&gt;0),((Skills!G5*((R1027-1)*IF(Skills!H5&gt;0,Skills!I5/Skills!H5,1)+IF(Skills!H5&gt;0,MIN(Skills!I5,MAX(0,MAX(0,Inputs!$B$43-B1059)-((R1027-1)*IF(Inputs!$B$38="pvp",15,MAX(0.1,Skills!D5-IF(Skills!E5=TRUE,(Inputs!$B$32+1),0))))))/Skills!H5,1)))/Inputs!$B$43),G1027*Q1027))*IF(Inputs!$B$38="pvp",1,(1+(Inputs!$B$21+Skills!Q5)/100)*(MIN(Skills!R5,Inputs!$B$37))),0)</f>
        <v/>
      </c>
    </row>
    <row r="1028">
      <c r="A1028">
        <f>Skills!A6</f>
        <v/>
      </c>
      <c r="B1028">
        <f>Skills!B6</f>
        <v/>
      </c>
      <c r="C1028">
        <f>Inputs!$B$3&gt;=63</f>
        <v/>
      </c>
      <c r="D1028">
        <f>IF(Skills!C6=1,60+Inputs!$B$25+Inputs!$B$29,IF(Skills!C6=2,90+Inputs!$B$26+Inputs!$B$29,IF(Skills!C6=3,120+Inputs!$B$27+Inputs!$B$29,MAX(0,(Inputs!$B$3-100)*3)+Inputs!$B$28+Inputs!$B$29)))</f>
        <v/>
      </c>
      <c r="E1028">
        <f>INDEX(FactorTable!$B$2:$Y$301, MATCH(ROUND(MIN(300,MAX(1,D1028)),0), FactorTable!$A$2:$A$301,0), Skills!M6+1)</f>
        <v/>
      </c>
      <c r="F1028">
        <f>IF(Skills!N6=TRUE,(Skills!L6/10)*(E1028/1000),Skills!L6/10)+Skills!O6</f>
        <v/>
      </c>
      <c r="G1028">
        <f>Skills!G6*IF(Skills!H6&gt;0,Skills!I6/Skills!H6,1)</f>
        <v/>
      </c>
      <c r="H1028">
        <f>1-(1-Skills!J6/100)^Skills!K6</f>
        <v/>
      </c>
      <c r="I1028" t="inlineStr">
        <is>
          <t>1</t>
        </is>
      </c>
      <c r="J1028">
        <f>((Inputs!$B$6*(1+Inputs!$B$7/100))+(((Inputs!$B$12*(1+Inputs!$B$13/100))-(Inputs!$B$12*(1+Inputs!$B$13/100)))+0.25*(Inputs!$B$14-Inputs!$B$14))*(1+Inputs!$B$7/100))*(F1028/100)</f>
        <v/>
      </c>
      <c r="K1028">
        <f>J1028*(1+((Inputs!$B$12*(1+Inputs!$B$13/100))*0.01+Inputs!$B$14*0.0025)/100)*(1+Inputs!$B$15/100)*(1+Inputs!$B$16/100)*(5000/(6000+Inputs!$B$42*(1-(Inputs!$B$19+0)/100)))*(1+(Inputs!$B$24+((C1048=TRUE)*(F1048-Calc!F26))+B1058)/100)*(1+2.0*IF(C1037=TRUE,F1037,0)/100)*(1+(IF(Skills!A6="EIGHT_LEGS_EASTON",Inputs!$B$17+((C1045=TRUE)*(F1045-Calc!F23))+((C1049=TRUE)*(F1049-Calc!F27)),Inputs!$B$18+0))/100)*((1+(((C1039=TRUE)*F1039)+((C1046=TRUE)*(F1046-Calc!F24)))/100)*I1028)</f>
        <v/>
      </c>
      <c r="L1028">
        <f>K1028*(MIN(Inputs!$B$22+((C1044=TRUE)*(F1044-Calc!F22)),Inputs!$B$23+0)/100+(Inputs!$B$23+0)/100)/2</f>
        <v/>
      </c>
      <c r="M1028">
        <f>L1028*(1+(Inputs!$B$10+((C1047=TRUE)*(F1047-Calc!F25))+B1057)/100)</f>
        <v/>
      </c>
      <c r="N1028">
        <f>L1028*(1-MIN((Inputs!$B$9+((C1041=TRUE)*(F1041-Calc!F19))+B1052),100)/100)+M1028*(MIN((Inputs!$B$9+((C1041=TRUE)*(F1041-Calc!F19))+B1052),100)/100)</f>
        <v/>
      </c>
      <c r="O1028">
        <f>(1-Summary!$B$55)*T1028+Summary!$B$55*V1028</f>
        <v/>
      </c>
      <c r="P1028">
        <f>IF(B1062=0,0,O1028/B1062)</f>
        <v/>
      </c>
      <c r="Q1028">
        <f>IFERROR(1/IF(Inputs!$B$38="pvp",15,MAX(0.1,Skills!D6-IF(Skills!E6=TRUE,(Inputs!$B$32+1),0))),0)</f>
        <v/>
      </c>
      <c r="R1028">
        <f>IF(AND(Inputs!$B$38&lt;&gt;"pvp",Inputs!$B$43&gt;0),IF(MAX(0,Inputs!$B$43-B1059)&lt;=0,0,(INT(MAX(0,Inputs!$B$43-B1059)/IF(Inputs!$B$38="pvp",15,MAX(0.1,Skills!D6-IF(Skills!E6=TRUE,(Inputs!$B$32+1),0))))+1)),0)</f>
        <v/>
      </c>
      <c r="S1028">
        <f>IFERROR(O1028/N1028,0)</f>
        <v/>
      </c>
      <c r="T1028">
        <f>IF(C1028,(H1028*N1028*IF(AND(Inputs!$B$38&lt;&gt;"pvp",Inputs!$B$43&gt;0),((Skills!G6*((R1028-1)*IF(Skills!H6&gt;0,Skills!I6/Skills!H6,1)+IF(Skills!H6&gt;0,MIN(Skills!I6,MAX(0,MAX(0,Inputs!$B$43-B1059)-((R1028-1)*IF(Inputs!$B$38="pvp",15,MAX(0.1,Skills!D6-IF(Skills!E6=TRUE,(Inputs!$B$32+1),0))))))/Skills!H6,1)))/Inputs!$B$43),G1028*Q1028))*IF(Inputs!$B$38="pvp",1,1+(Inputs!$B$20+0+Skills!P6)/100),0)</f>
        <v/>
      </c>
      <c r="V1028">
        <f>IF(C1028,(H1028*N1028*IF(AND(Inputs!$B$38&lt;&gt;"pvp",Inputs!$B$43&gt;0),((Skills!G6*((R1028-1)*IF(Skills!H6&gt;0,Skills!I6/Skills!H6,1)+IF(Skills!H6&gt;0,MIN(Skills!I6,MAX(0,MAX(0,Inputs!$B$43-B1059)-((R1028-1)*IF(Inputs!$B$38="pvp",15,MAX(0.1,Skills!D6-IF(Skills!E6=TRUE,(Inputs!$B$32+1),0))))))/Skills!H6,1)))/Inputs!$B$43),G1028*Q1028))*IF(Inputs!$B$38="pvp",1,(1+(Inputs!$B$21+Skills!Q6)/100)*(MIN(Skills!R6,Inputs!$B$37))),0)</f>
        <v/>
      </c>
    </row>
    <row r="1029">
      <c r="A1029">
        <f>Skills!A7</f>
        <v/>
      </c>
      <c r="B1029">
        <f>Skills!B7</f>
        <v/>
      </c>
      <c r="C1029">
        <f>Inputs!$B$3&gt;=66</f>
        <v/>
      </c>
      <c r="D1029">
        <f>IF(Skills!C7=1,60+Inputs!$B$25+Inputs!$B$29,IF(Skills!C7=2,90+Inputs!$B$26+Inputs!$B$29,IF(Skills!C7=3,120+Inputs!$B$27+Inputs!$B$29,MAX(0,(Inputs!$B$3-100)*3)+Inputs!$B$28+Inputs!$B$29)))</f>
        <v/>
      </c>
      <c r="E1029">
        <f>INDEX(FactorTable!$B$2:$Y$301, MATCH(ROUND(MIN(300,MAX(1,D1029)),0), FactorTable!$A$2:$A$301,0), Skills!M7+1)</f>
        <v/>
      </c>
      <c r="F1029">
        <f>IF(Skills!N7=TRUE,(Skills!L7/10)*(E1029/1000),Skills!L7/10)+Skills!O7</f>
        <v/>
      </c>
      <c r="G1029">
        <f>Skills!G7*IF(Skills!H7&gt;0,Skills!I7/Skills!H7,1)</f>
        <v/>
      </c>
      <c r="H1029">
        <f>1-(1-Skills!J7/100)^Skills!K7</f>
        <v/>
      </c>
      <c r="I1029" t="inlineStr">
        <is>
          <t>1</t>
        </is>
      </c>
      <c r="J1029">
        <f>((Inputs!$B$6*(1+Inputs!$B$7/100))+(((Inputs!$B$12*(1+Inputs!$B$13/100))-(Inputs!$B$12*(1+Inputs!$B$13/100)))+0.25*(Inputs!$B$14-Inputs!$B$14))*(1+Inputs!$B$7/100))*(F1029/100)</f>
        <v/>
      </c>
      <c r="K1029">
        <f>J1029*(1+((Inputs!$B$12*(1+Inputs!$B$13/100))*0.01+Inputs!$B$14*0.0025)/100)*(1+Inputs!$B$15/100)*(1+Inputs!$B$16/100)*(5000/(6000+Inputs!$B$42*(1-(Inputs!$B$19+0)/100)))*(1+(Inputs!$B$24+((C1048=TRUE)*(F1048-Calc!F26))+B1058)/100)*(1+1.0*IF(C1037=TRUE,F1037,0)/100)*(1+(IF(Skills!A7="EIGHT_LEGS_EASTON",Inputs!$B$17+((C1045=TRUE)*(F1045-Calc!F23))+((C1049=TRUE)*(F1049-Calc!F27)),Inputs!$B$18+0))/100)*((1+(((C1039=TRUE)*F1039)+((C1046=TRUE)*(F1046-Calc!F24)))/100)*I1029)</f>
        <v/>
      </c>
      <c r="L1029">
        <f>K1029*(MIN(Inputs!$B$22+((C1044=TRUE)*(F1044-Calc!F22)),Inputs!$B$23+0)/100+(Inputs!$B$23+0)/100)/2</f>
        <v/>
      </c>
      <c r="M1029">
        <f>L1029*(1+(Inputs!$B$10+((C1047=TRUE)*(F1047-Calc!F25))+B1057)/100)</f>
        <v/>
      </c>
      <c r="N1029">
        <f>L1029*(1-MIN((Inputs!$B$9+((C1041=TRUE)*(F1041-Calc!F19))+B1052),100)/100)+M1029*(MIN((Inputs!$B$9+((C1041=TRUE)*(F1041-Calc!F19))+B1052),100)/100)</f>
        <v/>
      </c>
      <c r="O1029">
        <f>(1-Summary!$B$55)*T1029+Summary!$B$55*V1029</f>
        <v/>
      </c>
      <c r="P1029">
        <f>IF(B1062=0,0,O1029/B1062)</f>
        <v/>
      </c>
      <c r="Q1029">
        <f>IFERROR(1/IF(Inputs!$B$38="pvp",15,MAX(0.1,Skills!D7-IF(Skills!E7=TRUE,(Inputs!$B$32+1),0))),0)</f>
        <v/>
      </c>
      <c r="R1029">
        <f>IF(AND(Inputs!$B$38&lt;&gt;"pvp",Inputs!$B$43&gt;0),IF(MAX(0,Inputs!$B$43-B1059)&lt;=0,0,(INT(MAX(0,Inputs!$B$43-B1059)/IF(Inputs!$B$38="pvp",15,MAX(0.1,Skills!D7-IF(Skills!E7=TRUE,(Inputs!$B$32+1),0))))+1)),0)</f>
        <v/>
      </c>
      <c r="S1029">
        <f>IFERROR(O1029/N1029,0)</f>
        <v/>
      </c>
      <c r="T1029">
        <f>IF(C1029,(H1029*N1029*IF(AND(Inputs!$B$38&lt;&gt;"pvp",Inputs!$B$43&gt;0),((Skills!G7*((R1029-1)*IF(Skills!H7&gt;0,Skills!I7/Skills!H7,1)+IF(Skills!H7&gt;0,MIN(Skills!I7,MAX(0,MAX(0,Inputs!$B$43-B1059)-((R1029-1)*IF(Inputs!$B$38="pvp",15,MAX(0.1,Skills!D7-IF(Skills!E7=TRUE,(Inputs!$B$32+1),0))))))/Skills!H7,1)))/Inputs!$B$43),G1029*Q1029))*IF(Inputs!$B$38="pvp",1,1+(Inputs!$B$20+0+Skills!P7)/100),0)</f>
        <v/>
      </c>
      <c r="V1029">
        <f>IF(C1029,(H1029*N1029*IF(AND(Inputs!$B$38&lt;&gt;"pvp",Inputs!$B$43&gt;0),((Skills!G7*((R1029-1)*IF(Skills!H7&gt;0,Skills!I7/Skills!H7,1)+IF(Skills!H7&gt;0,MIN(Skills!I7,MAX(0,MAX(0,Inputs!$B$43-B1059)-((R1029-1)*IF(Inputs!$B$38="pvp",15,MAX(0.1,Skills!D7-IF(Skills!E7=TRUE,(Inputs!$B$32+1),0))))))/Skills!H7,1)))/Inputs!$B$43),G1029*Q1029))*IF(Inputs!$B$38="pvp",1,(1+(Inputs!$B$21+Skills!Q7)/100)*(MIN(Skills!R7,Inputs!$B$37))),0)</f>
        <v/>
      </c>
    </row>
    <row r="1030">
      <c r="A1030">
        <f>Skills!A8</f>
        <v/>
      </c>
      <c r="B1030">
        <f>Skills!B8</f>
        <v/>
      </c>
      <c r="C1030">
        <f>Inputs!$B$3&gt;=100</f>
        <v/>
      </c>
      <c r="D1030">
        <f>IF(Skills!C8=1,60+Inputs!$B$25+Inputs!$B$29,IF(Skills!C8=2,90+Inputs!$B$26+Inputs!$B$29,IF(Skills!C8=3,120+Inputs!$B$27+Inputs!$B$29,MAX(0,(Inputs!$B$3-100)*3)+Inputs!$B$28+Inputs!$B$29)))</f>
        <v/>
      </c>
      <c r="E1030">
        <f>INDEX(FactorTable!$B$2:$Y$301, MATCH(ROUND(MIN(300,MAX(1,D1030)),0), FactorTable!$A$2:$A$301,0), Skills!M8+1)</f>
        <v/>
      </c>
      <c r="F1030">
        <f>IF(Skills!N8=TRUE,(Skills!L8/10)*(E1030/1000),Skills!L8/10)+Skills!O8</f>
        <v/>
      </c>
      <c r="G1030">
        <f>Skills!G8*IF(Skills!H8&gt;0,Skills!I8/Skills!H8,1)</f>
        <v/>
      </c>
      <c r="H1030">
        <f>1-(1-Skills!J8/100)^Skills!K8</f>
        <v/>
      </c>
      <c r="I1030" t="inlineStr">
        <is>
          <t>1</t>
        </is>
      </c>
      <c r="J1030">
        <f>((Inputs!$B$6*(1+Inputs!$B$7/100))+(((Inputs!$B$12*(1+Inputs!$B$13/100))-(Inputs!$B$12*(1+Inputs!$B$13/100)))+0.25*(Inputs!$B$14-Inputs!$B$14))*(1+Inputs!$B$7/100))*(F1030/100)</f>
        <v/>
      </c>
      <c r="K1030">
        <f>J1030*(1+((Inputs!$B$12*(1+Inputs!$B$13/100))*0.01+Inputs!$B$14*0.0025)/100)*(1+Inputs!$B$15/100)*(1+Inputs!$B$16/100)*(5000/(6000+Inputs!$B$42*(1-(Inputs!$B$19+0)/100)))*(1+(Inputs!$B$24+((C1048=TRUE)*(F1048-Calc!F26))+B1058)/100)*(1+(IF(Skills!A8="EIGHT_LEGS_EASTON",Inputs!$B$17+((C1045=TRUE)*(F1045-Calc!F23))+((C1049=TRUE)*(F1049-Calc!F27)),Inputs!$B$18+0))/100)*((1+(((C1039=TRUE)*F1039)+((C1046=TRUE)*(F1046-Calc!F24)))/100)*I1030)</f>
        <v/>
      </c>
      <c r="L1030">
        <f>K1030*(MIN(Inputs!$B$22+((C1044=TRUE)*(F1044-Calc!F22)),Inputs!$B$23+0)/100+(Inputs!$B$23+0)/100)/2</f>
        <v/>
      </c>
      <c r="M1030">
        <f>L1030*(1+(Inputs!$B$10+((C1047=TRUE)*(F1047-Calc!F25))+B1057)/100)</f>
        <v/>
      </c>
      <c r="N1030">
        <f>L1030*(1-MIN((Inputs!$B$9+((C1041=TRUE)*(F1041-Calc!F19))+B1052),100)/100)+M1030*(MIN((Inputs!$B$9+((C1041=TRUE)*(F1041-Calc!F19))+B1052),100)/100)</f>
        <v/>
      </c>
      <c r="O1030">
        <f>(1-Summary!$B$55)*T1030+Summary!$B$55*V1030</f>
        <v/>
      </c>
      <c r="P1030">
        <f>IF(B1062=0,0,O1030/B1062)</f>
        <v/>
      </c>
      <c r="Q1030">
        <f>IFERROR(1/IF(Inputs!$B$38="pvp",15,MAX(0.1,Skills!D8-IF(Skills!E8=TRUE,(Inputs!$B$32+1),0))),0)</f>
        <v/>
      </c>
      <c r="R1030">
        <f>IF(AND(Inputs!$B$38&lt;&gt;"pvp",Inputs!$B$43&gt;0),IF(MAX(0,Inputs!$B$43-B1059)&lt;=0,0,(INT(MAX(0,Inputs!$B$43-B1059)/IF(Inputs!$B$38="pvp",15,MAX(0.1,Skills!D8-IF(Skills!E8=TRUE,(Inputs!$B$32+1),0))))+1)),0)</f>
        <v/>
      </c>
      <c r="S1030">
        <f>IFERROR(O1030/N1030,0)</f>
        <v/>
      </c>
      <c r="T1030">
        <f>IF(C1030,(H1030*N1030*IF(AND(Inputs!$B$38&lt;&gt;"pvp",Inputs!$B$43&gt;0),((Skills!G8*((R1030-1)*IF(Skills!H8&gt;0,Skills!I8/Skills!H8,1)+IF(Skills!H8&gt;0,MIN(Skills!I8,MAX(0,MAX(0,Inputs!$B$43-B1059)-((R1030-1)*IF(Inputs!$B$38="pvp",15,MAX(0.1,Skills!D8-IF(Skills!E8=TRUE,(Inputs!$B$32+1),0))))))/Skills!H8,1)))/Inputs!$B$43),G1030*Q1030))*IF(Inputs!$B$38="pvp",1,1+(Inputs!$B$20+0+Skills!P8)/100),0)</f>
        <v/>
      </c>
      <c r="V1030">
        <f>IF(C1030,(H1030*N1030*IF(AND(Inputs!$B$38&lt;&gt;"pvp",Inputs!$B$43&gt;0),((Skills!G8*((R1030-1)*IF(Skills!H8&gt;0,Skills!I8/Skills!H8,1)+IF(Skills!H8&gt;0,MIN(Skills!I8,MAX(0,MAX(0,Inputs!$B$43-B1059)-((R1030-1)*IF(Inputs!$B$38="pvp",15,MAX(0.1,Skills!D8-IF(Skills!E8=TRUE,(Inputs!$B$32+1),0))))))/Skills!H8,1)))/Inputs!$B$43),G1030*Q1030))*IF(Inputs!$B$38="pvp",1,(1+(Inputs!$B$21+Skills!Q8)/100)*(MIN(Skills!R8,Inputs!$B$37))),0)</f>
        <v/>
      </c>
    </row>
    <row r="1031">
      <c r="A1031">
        <f>Skills!A9</f>
        <v/>
      </c>
      <c r="B1031">
        <f>Skills!B9</f>
        <v/>
      </c>
      <c r="C1031">
        <f>Inputs!$B$3&gt;=103</f>
        <v/>
      </c>
      <c r="D1031">
        <f>IF(Skills!C9=1,60+Inputs!$B$25+Inputs!$B$29,IF(Skills!C9=2,90+Inputs!$B$26+Inputs!$B$29,IF(Skills!C9=3,120+Inputs!$B$27+Inputs!$B$29,MAX(0,(Inputs!$B$3-100)*3)+Inputs!$B$28+Inputs!$B$29)))</f>
        <v/>
      </c>
      <c r="E1031">
        <f>INDEX(FactorTable!$B$2:$Y$301, MATCH(ROUND(MIN(300,MAX(1,D1031)),0), FactorTable!$A$2:$A$301,0), Skills!M9+1)</f>
        <v/>
      </c>
      <c r="F1031">
        <f>IF(Skills!N9=TRUE,(Skills!L9/10)*(E1031/1000),Skills!L9/10)+Skills!O9</f>
        <v/>
      </c>
      <c r="G1031">
        <f>Skills!G9*IF(Skills!H9&gt;0,Skills!I9/Skills!H9,1)</f>
        <v/>
      </c>
      <c r="H1031">
        <f>1-(1-Skills!J9/100)^Skills!K9</f>
        <v/>
      </c>
      <c r="I1031" t="inlineStr">
        <is>
          <t>1</t>
        </is>
      </c>
      <c r="J1031">
        <f>((Inputs!$B$6*(1+Inputs!$B$7/100))+(((Inputs!$B$12*(1+Inputs!$B$13/100))-(Inputs!$B$12*(1+Inputs!$B$13/100)))+0.25*(Inputs!$B$14-Inputs!$B$14))*(1+Inputs!$B$7/100))*(F1031/100)</f>
        <v/>
      </c>
      <c r="K1031">
        <f>J1031*(1+((Inputs!$B$12*(1+Inputs!$B$13/100))*0.01+Inputs!$B$14*0.0025)/100)*(1+Inputs!$B$15/100)*(1+Inputs!$B$16/100)*(5000/(6000+Inputs!$B$42*(1-(Inputs!$B$19+0)/100)))*(1+(Inputs!$B$24+((C1048=TRUE)*(F1048-Calc!F26))+B1058)/100)*(1+(IF(Skills!A9="EIGHT_LEGS_EASTON",Inputs!$B$17+((C1045=TRUE)*(F1045-Calc!F23))+((C1049=TRUE)*(F1049-Calc!F27)),Inputs!$B$18+0))/100)*((1+(((C1039=TRUE)*F1039)+((C1046=TRUE)*(F1046-Calc!F24)))/100)*I1031)</f>
        <v/>
      </c>
      <c r="L1031">
        <f>K1031*(MIN(Inputs!$B$22+((C1044=TRUE)*(F1044-Calc!F22)),Inputs!$B$23+0)/100+(Inputs!$B$23+0)/100)/2</f>
        <v/>
      </c>
      <c r="M1031">
        <f>L1031*(1+(Inputs!$B$10+((C1047=TRUE)*(F1047-Calc!F25))+B1057)/100)</f>
        <v/>
      </c>
      <c r="N1031">
        <f>L1031*(1-MIN((Inputs!$B$9+((C1041=TRUE)*(F1041-Calc!F19))+B1052),100)/100)+M1031*(MIN((Inputs!$B$9+((C1041=TRUE)*(F1041-Calc!F19))+B1052),100)/100)</f>
        <v/>
      </c>
      <c r="O1031">
        <f>(1-Summary!$B$55)*T1031+Summary!$B$55*V1031</f>
        <v/>
      </c>
      <c r="P1031">
        <f>IF(B1062=0,0,O1031/B1062)</f>
        <v/>
      </c>
      <c r="Q1031">
        <f>IFERROR(1/IF(Inputs!$B$38="pvp",15,MAX(0.1,Skills!D9-IF(Skills!E9=TRUE,(Inputs!$B$32+1),0))),0)</f>
        <v/>
      </c>
      <c r="R1031">
        <f>IF(AND(Inputs!$B$38&lt;&gt;"pvp",Inputs!$B$43&gt;0),IF(MAX(0,Inputs!$B$43-B1059)&lt;=0,0,(INT(MAX(0,Inputs!$B$43-B1059)/IF(Inputs!$B$38="pvp",15,MAX(0.1,Skills!D9-IF(Skills!E9=TRUE,(Inputs!$B$32+1),0))))+1)),0)</f>
        <v/>
      </c>
      <c r="S1031">
        <f>IFERROR(O1031/N1031,0)</f>
        <v/>
      </c>
      <c r="T1031">
        <f>IF(C1031,(H1031*N1031*IF(AND(Inputs!$B$38&lt;&gt;"pvp",Inputs!$B$43&gt;0),((Skills!G9*((R1031-1)*IF(Skills!H9&gt;0,Skills!I9/Skills!H9,1)+IF(Skills!H9&gt;0,MIN(Skills!I9,MAX(0,MAX(0,Inputs!$B$43-B1059)-((R1031-1)*IF(Inputs!$B$38="pvp",15,MAX(0.1,Skills!D9-IF(Skills!E9=TRUE,(Inputs!$B$32+1),0))))))/Skills!H9,1)))/Inputs!$B$43),G1031*Q1031))*IF(Inputs!$B$38="pvp",1,1+(Inputs!$B$20+0+Skills!P9)/100),0)</f>
        <v/>
      </c>
      <c r="V1031">
        <f>IF(C1031,(H1031*N1031*IF(AND(Inputs!$B$38&lt;&gt;"pvp",Inputs!$B$43&gt;0),((Skills!G9*((R1031-1)*IF(Skills!H9&gt;0,Skills!I9/Skills!H9,1)+IF(Skills!H9&gt;0,MIN(Skills!I9,MAX(0,MAX(0,Inputs!$B$43-B1059)-((R1031-1)*IF(Inputs!$B$38="pvp",15,MAX(0.1,Skills!D9-IF(Skills!E9=TRUE,(Inputs!$B$32+1),0))))))/Skills!H9,1)))/Inputs!$B$43),G1031*Q1031))*IF(Inputs!$B$38="pvp",1,(1+(Inputs!$B$21+Skills!Q9)/100)*(MIN(Skills!R9,Inputs!$B$37))),0)</f>
        <v/>
      </c>
    </row>
    <row r="1032">
      <c r="A1032">
        <f>Skills!A10</f>
        <v/>
      </c>
      <c r="B1032">
        <f>Skills!B10</f>
        <v/>
      </c>
      <c r="C1032">
        <f>Inputs!$B$3&gt;=113</f>
        <v/>
      </c>
      <c r="D1032">
        <f>IF(Skills!C10=1,60+Inputs!$B$25+Inputs!$B$29,IF(Skills!C10=2,90+Inputs!$B$26+Inputs!$B$29,IF(Skills!C10=3,120+Inputs!$B$27+Inputs!$B$29,MAX(0,(Inputs!$B$3-100)*3)+Inputs!$B$28+Inputs!$B$29)))</f>
        <v/>
      </c>
      <c r="E1032">
        <f>INDEX(FactorTable!$B$2:$Y$301, MATCH(ROUND(MIN(300,MAX(1,D1032)),0), FactorTable!$A$2:$A$301,0), Skills!M10+1)</f>
        <v/>
      </c>
      <c r="F1032">
        <f>IF(Skills!N10=TRUE,(Skills!L10/10)*(E1032/1000),Skills!L10/10)+Skills!O10</f>
        <v/>
      </c>
      <c r="G1032">
        <f>Skills!G10*IF(Skills!H10&gt;0,Skills!I10/Skills!H10,1)</f>
        <v/>
      </c>
      <c r="H1032">
        <f>1-(1-Skills!J10/100)^Skills!K10</f>
        <v/>
      </c>
      <c r="I1032" t="inlineStr">
        <is>
          <t>1</t>
        </is>
      </c>
      <c r="J1032">
        <f>((Inputs!$B$6*(1+Inputs!$B$7/100))+(((Inputs!$B$12*(1+Inputs!$B$13/100))-(Inputs!$B$12*(1+Inputs!$B$13/100)))+0.25*(Inputs!$B$14-Inputs!$B$14))*(1+Inputs!$B$7/100))*(F1032/100)</f>
        <v/>
      </c>
      <c r="K1032">
        <f>J1032*(1+((Inputs!$B$12*(1+Inputs!$B$13/100))*0.01+Inputs!$B$14*0.0025)/100)*(1+Inputs!$B$15/100)*(1+Inputs!$B$16/100)*(5000/(6000+Inputs!$B$42*(1-(Inputs!$B$19+0)/100)))*(1+(Inputs!$B$24+((C1048=TRUE)*(F1048-Calc!F26))+B1058)/100)*(1+(IF(Skills!A10="EIGHT_LEGS_EASTON",Inputs!$B$17+((C1045=TRUE)*(F1045-Calc!F23))+((C1049=TRUE)*(F1049-Calc!F27)),Inputs!$B$18+0))/100)*((1+(((C1039=TRUE)*F1039)+((C1046=TRUE)*(F1046-Calc!F24)))/100)*I1032)</f>
        <v/>
      </c>
      <c r="L1032">
        <f>K1032*(MIN(Inputs!$B$22+((C1044=TRUE)*(F1044-Calc!F22)),Inputs!$B$23+0)/100+(Inputs!$B$23+0)/100)/2</f>
        <v/>
      </c>
      <c r="M1032">
        <f>L1032*(1+(Inputs!$B$10+((C1047=TRUE)*(F1047-Calc!F25))+B1057)/100)</f>
        <v/>
      </c>
      <c r="N1032">
        <f>L1032*(1-MIN((Inputs!$B$9+((C1041=TRUE)*(F1041-Calc!F19))+B1052),100)/100)+M1032*(MIN((Inputs!$B$9+((C1041=TRUE)*(F1041-Calc!F19))+B1052),100)/100)</f>
        <v/>
      </c>
      <c r="O1032">
        <f>(1-Summary!$B$55)*T1032+Summary!$B$55*V1032</f>
        <v/>
      </c>
      <c r="P1032">
        <f>IF(B1062=0,0,O1032/B1062)</f>
        <v/>
      </c>
      <c r="Q1032">
        <f>IFERROR(1/IF(Inputs!$B$38="pvp",15,MAX(0.1,Skills!D10-IF(Skills!E10=TRUE,(Inputs!$B$32+1),0))),0)</f>
        <v/>
      </c>
      <c r="R1032">
        <f>IF(AND(Inputs!$B$38&lt;&gt;"pvp",Inputs!$B$43&gt;0),IF(MAX(0,Inputs!$B$43-B1059)&lt;=0,0,(INT(MAX(0,Inputs!$B$43-B1059)/IF(Inputs!$B$38="pvp",15,MAX(0.1,Skills!D10-IF(Skills!E10=TRUE,(Inputs!$B$32+1),0))))+1)),0)</f>
        <v/>
      </c>
      <c r="S1032">
        <f>IFERROR(O1032/N1032,0)</f>
        <v/>
      </c>
      <c r="T1032">
        <f>IF(C1032,(H1032*N1032*IF(AND(Inputs!$B$38&lt;&gt;"pvp",Inputs!$B$43&gt;0),((Skills!G10*((R1032-1)*IF(Skills!H10&gt;0,Skills!I10/Skills!H10,1)+IF(Skills!H10&gt;0,MIN(Skills!I10,MAX(0,MAX(0,Inputs!$B$43-B1059)-((R1032-1)*IF(Inputs!$B$38="pvp",15,MAX(0.1,Skills!D10-IF(Skills!E10=TRUE,(Inputs!$B$32+1),0))))))/Skills!H10,1)))/Inputs!$B$43),G1032*Q1032))*IF(Inputs!$B$38="pvp",1,1+(Inputs!$B$20+0+Skills!P10)/100),0)</f>
        <v/>
      </c>
      <c r="V1032">
        <f>IF(C1032,(H1032*N1032*IF(AND(Inputs!$B$38&lt;&gt;"pvp",Inputs!$B$43&gt;0),((Skills!G10*((R1032-1)*IF(Skills!H10&gt;0,Skills!I10/Skills!H10,1)+IF(Skills!H10&gt;0,MIN(Skills!I10,MAX(0,MAX(0,Inputs!$B$43-B1059)-((R1032-1)*IF(Inputs!$B$38="pvp",15,MAX(0.1,Skills!D10-IF(Skills!E10=TRUE,(Inputs!$B$32+1),0))))))/Skills!H10,1)))/Inputs!$B$43),G1032*Q1032))*IF(Inputs!$B$38="pvp",1,(1+(Inputs!$B$21+Skills!Q10)/100)*(MIN(Skills!R10,Inputs!$B$37))),0)</f>
        <v/>
      </c>
    </row>
    <row r="1033">
      <c r="A1033">
        <f>Skills!A11</f>
        <v/>
      </c>
      <c r="B1033">
        <f>Skills!B11</f>
        <v/>
      </c>
      <c r="C1033">
        <f>Inputs!$B$3&gt;=107</f>
        <v/>
      </c>
      <c r="D1033">
        <f>IF(Skills!C11=1,60+Inputs!$B$25+Inputs!$B$29,IF(Skills!C11=2,90+Inputs!$B$26+Inputs!$B$29,IF(Skills!C11=3,120+Inputs!$B$27+Inputs!$B$29,MAX(0,(Inputs!$B$3-100)*3)+Inputs!$B$28+Inputs!$B$29)))</f>
        <v/>
      </c>
      <c r="E1033">
        <f>INDEX(FactorTable!$B$2:$Y$301, MATCH(ROUND(MIN(300,MAX(1,D1033)),0), FactorTable!$A$2:$A$301,0), Skills!M11+1)</f>
        <v/>
      </c>
      <c r="F1033">
        <f>IF(Skills!N11=TRUE,(Skills!L11/10)*(E1033/1000),Skills!L11/10)+Skills!O11</f>
        <v/>
      </c>
      <c r="G1033">
        <f>Skills!G11*IF(Skills!H11&gt;0,Skills!I11/Skills!H11,1)</f>
        <v/>
      </c>
      <c r="H1033">
        <f>1-(1-Skills!J11/100)^Skills!K11</f>
        <v/>
      </c>
      <c r="I1033" t="inlineStr">
        <is>
          <t>1</t>
        </is>
      </c>
      <c r="J1033">
        <f>((Inputs!$B$6*(1+Inputs!$B$7/100))+(((Inputs!$B$12*(1+Inputs!$B$13/100))-(Inputs!$B$12*(1+Inputs!$B$13/100)))+0.25*(Inputs!$B$14-Inputs!$B$14))*(1+Inputs!$B$7/100))*(F1033/100)</f>
        <v/>
      </c>
      <c r="K1033">
        <f>J1033*(1+((Inputs!$B$12*(1+Inputs!$B$13/100))*0.01+Inputs!$B$14*0.0025)/100)*(1+Inputs!$B$15/100)*(1+Inputs!$B$16/100)*(5000/(6000+Inputs!$B$42*(1-(Inputs!$B$19+0)/100)))*(1+(Inputs!$B$24+((C1048=TRUE)*(F1048-Calc!F26))+B1058)/100)*(1+(IF(Skills!A11="EIGHT_LEGS_EASTON",Inputs!$B$17+((C1045=TRUE)*(F1045-Calc!F23))+((C1049=TRUE)*(F1049-Calc!F27)),Inputs!$B$18+0))/100)*((1+(((C1039=TRUE)*F1039)+((C1046=TRUE)*(F1046-Calc!F24)))/100)*I1033)</f>
        <v/>
      </c>
      <c r="L1033">
        <f>K1033*(MIN(Inputs!$B$22+((C1044=TRUE)*(F1044-Calc!F22)),Inputs!$B$23+0)/100+(Inputs!$B$23+0)/100)/2</f>
        <v/>
      </c>
      <c r="M1033">
        <f>L1033*(1+(Inputs!$B$10+((C1047=TRUE)*(F1047-Calc!F25))+B1057)/100)</f>
        <v/>
      </c>
      <c r="N1033">
        <f>L1033*(1-MIN((Inputs!$B$9+((C1041=TRUE)*(F1041-Calc!F19))+B1052),100)/100)+M1033*(MIN((Inputs!$B$9+((C1041=TRUE)*(F1041-Calc!F19))+B1052),100)/100)</f>
        <v/>
      </c>
      <c r="O1033">
        <f>(1-Summary!$B$55)*T1033+Summary!$B$55*V1033</f>
        <v/>
      </c>
      <c r="P1033">
        <f>IF(B1062=0,0,O1033/B1062)</f>
        <v/>
      </c>
      <c r="Q1033">
        <f>IFERROR(1/IF(Inputs!$B$38="pvp",15,MAX(0.1,Skills!D11-IF(Skills!E11=TRUE,(Inputs!$B$32+1),0))),0)</f>
        <v/>
      </c>
      <c r="R1033">
        <f>IF(AND(Inputs!$B$38&lt;&gt;"pvp",Inputs!$B$43&gt;0),IF(MAX(0,Inputs!$B$43-B1059)&lt;=0,0,(INT(MAX(0,Inputs!$B$43-B1059)/IF(Inputs!$B$38="pvp",15,MAX(0.1,Skills!D11-IF(Skills!E11=TRUE,(Inputs!$B$32+1),0))))+1)),0)</f>
        <v/>
      </c>
      <c r="S1033">
        <f>IFERROR(O1033/N1033,0)</f>
        <v/>
      </c>
      <c r="T1033">
        <f>IF(C1033,(H1033*N1033*IF(AND(Inputs!$B$38&lt;&gt;"pvp",Inputs!$B$43&gt;0),((Skills!G11*((R1033-1)*IF(Skills!H11&gt;0,Skills!I11/Skills!H11,1)+IF(Skills!H11&gt;0,MIN(Skills!I11,MAX(0,MAX(0,Inputs!$B$43-B1059)-((R1033-1)*IF(Inputs!$B$38="pvp",15,MAX(0.1,Skills!D11-IF(Skills!E11=TRUE,(Inputs!$B$32+1),0))))))/Skills!H11,1)))/Inputs!$B$43),G1033*Q1033))*IF(Inputs!$B$38="pvp",1,1+(Inputs!$B$20+0+Skills!P11)/100),0)</f>
        <v/>
      </c>
      <c r="V1033">
        <f>IF(C1033,(H1033*N1033*IF(AND(Inputs!$B$38&lt;&gt;"pvp",Inputs!$B$43&gt;0),((Skills!G11*((R1033-1)*IF(Skills!H11&gt;0,Skills!I11/Skills!H11,1)+IF(Skills!H11&gt;0,MIN(Skills!I11,MAX(0,MAX(0,Inputs!$B$43-B1059)-((R1033-1)*IF(Inputs!$B$38="pvp",15,MAX(0.1,Skills!D11-IF(Skills!E11=TRUE,(Inputs!$B$32+1),0))))))/Skills!H11,1)))/Inputs!$B$43),G1033*Q1033))*IF(Inputs!$B$38="pvp",1,(1+(Inputs!$B$21+Skills!Q11)/100)*(MIN(Skills!R11,Inputs!$B$37))),0)</f>
        <v/>
      </c>
    </row>
    <row r="1034">
      <c r="A1034">
        <f>Skills!A12</f>
        <v/>
      </c>
      <c r="B1034">
        <f>Skills!B12</f>
        <v/>
      </c>
      <c r="C1034">
        <f>Inputs!$B$3&gt;=110</f>
        <v/>
      </c>
      <c r="D1034">
        <f>IF(Skills!C12=1,60+Inputs!$B$25+Inputs!$B$29,IF(Skills!C12=2,90+Inputs!$B$26+Inputs!$B$29,IF(Skills!C12=3,120+Inputs!$B$27+Inputs!$B$29,MAX(0,(Inputs!$B$3-100)*3)+Inputs!$B$28+Inputs!$B$29)))</f>
        <v/>
      </c>
      <c r="E1034">
        <f>INDEX(FactorTable!$B$2:$Y$301, MATCH(ROUND(MIN(300,MAX(1,D1034)),0), FactorTable!$A$2:$A$301,0), Skills!M12+1)</f>
        <v/>
      </c>
      <c r="F1034">
        <f>IF(Skills!N12=TRUE,(Skills!L12/10)*(E1034/1000),Skills!L12/10)+Skills!O12</f>
        <v/>
      </c>
      <c r="G1034">
        <f>Skills!G12*IF(Skills!H12&gt;0,Skills!I12/Skills!H12,1)</f>
        <v/>
      </c>
      <c r="H1034">
        <f>1-(1-Skills!J12/100)^Skills!K12</f>
        <v/>
      </c>
      <c r="I1034" t="inlineStr">
        <is>
          <t>1</t>
        </is>
      </c>
      <c r="J1034">
        <f>((Inputs!$B$6*(1+Inputs!$B$7/100))+(((Inputs!$B$12*(1+Inputs!$B$13/100))-(Inputs!$B$12*(1+Inputs!$B$13/100)))+0.25*(Inputs!$B$14-Inputs!$B$14))*(1+Inputs!$B$7/100))*(F1034/100)</f>
        <v/>
      </c>
      <c r="K1034">
        <f>J1034*(1+((Inputs!$B$12*(1+Inputs!$B$13/100))*0.01+Inputs!$B$14*0.0025)/100)*(1+Inputs!$B$15/100)*(1+Inputs!$B$16/100)*(5000/(6000+Inputs!$B$42*(1-(Inputs!$B$19+0)/100)))*(1+(Inputs!$B$24+((C1048=TRUE)*(F1048-Calc!F26))+B1058)/100)*(1+(IF(Skills!A12="EIGHT_LEGS_EASTON",Inputs!$B$17+((C1045=TRUE)*(F1045-Calc!F23))+((C1049=TRUE)*(F1049-Calc!F27)),Inputs!$B$18+0))/100)*((1+(((C1039=TRUE)*F1039)+((C1046=TRUE)*(F1046-Calc!F24)))/100)*I1034)</f>
        <v/>
      </c>
      <c r="L1034">
        <f>K1034*(MIN(Inputs!$B$22+((C1044=TRUE)*(F1044-Calc!F22)),Inputs!$B$23+0)/100+(Inputs!$B$23+0)/100)/2</f>
        <v/>
      </c>
      <c r="M1034">
        <f>L1034*(1+(Inputs!$B$10+((C1047=TRUE)*(F1047-Calc!F25))+B1057)/100)</f>
        <v/>
      </c>
      <c r="N1034">
        <f>L1034*(1-MIN((Inputs!$B$9+((C1041=TRUE)*(F1041-Calc!F19))+B1052),100)/100)+M1034*(MIN((Inputs!$B$9+((C1041=TRUE)*(F1041-Calc!F19))+B1052),100)/100)</f>
        <v/>
      </c>
      <c r="O1034">
        <f>(1-Summary!$B$55)*T1034+Summary!$B$55*V1034</f>
        <v/>
      </c>
      <c r="P1034">
        <f>IF(B1062=0,0,O1034/B1062)</f>
        <v/>
      </c>
      <c r="Q1034">
        <f>IFERROR(1/IF(Inputs!$B$38="pvp",15,MAX(0.1,Skills!D12-IF(Skills!E12=TRUE,(Inputs!$B$32+1),0))),0)</f>
        <v/>
      </c>
      <c r="R1034">
        <f>IF(AND(Inputs!$B$38&lt;&gt;"pvp",Inputs!$B$43&gt;0),IF(MAX(0,Inputs!$B$43-B1059)&lt;=0,0,(INT(MAX(0,Inputs!$B$43-B1059)/IF(Inputs!$B$38="pvp",15,MAX(0.1,Skills!D12-IF(Skills!E12=TRUE,(Inputs!$B$32+1),0))))+1)),0)</f>
        <v/>
      </c>
      <c r="S1034">
        <f>IFERROR(O1034/N1034,0)</f>
        <v/>
      </c>
      <c r="T1034">
        <f>IF(C1034,(H1034*N1034*IF(AND(Inputs!$B$38&lt;&gt;"pvp",Inputs!$B$43&gt;0),((Skills!G12*((R1034-1)*IF(Skills!H12&gt;0,Skills!I12/Skills!H12,1)+IF(Skills!H12&gt;0,MIN(Skills!I12,MAX(0,MAX(0,Inputs!$B$43-B1059)-((R1034-1)*IF(Inputs!$B$38="pvp",15,MAX(0.1,Skills!D12-IF(Skills!E12=TRUE,(Inputs!$B$32+1),0))))))/Skills!H12,1)))/Inputs!$B$43),G1034*Q1034))*IF(Inputs!$B$38="pvp",1,1+(Inputs!$B$20+0+Skills!P12)/100),0)</f>
        <v/>
      </c>
      <c r="V1034">
        <f>IF(C1034,(H1034*N1034*IF(AND(Inputs!$B$38&lt;&gt;"pvp",Inputs!$B$43&gt;0),((Skills!G12*((R1034-1)*IF(Skills!H12&gt;0,Skills!I12/Skills!H12,1)+IF(Skills!H12&gt;0,MIN(Skills!I12,MAX(0,MAX(0,Inputs!$B$43-B1059)-((R1034-1)*IF(Inputs!$B$38="pvp",15,MAX(0.1,Skills!D12-IF(Skills!E12=TRUE,(Inputs!$B$32+1),0))))))/Skills!H12,1)))/Inputs!$B$43),G1034*Q1034))*IF(Inputs!$B$38="pvp",1,(1+(Inputs!$B$21+Skills!Q12)/100)*(MIN(Skills!R12,Inputs!$B$37))),0)</f>
        <v/>
      </c>
    </row>
    <row r="1035">
      <c r="A1035">
        <f>Skills!A13</f>
        <v/>
      </c>
      <c r="B1035">
        <f>Skills!B13</f>
        <v/>
      </c>
      <c r="C1035">
        <f>Inputs!$B$3&gt;=110</f>
        <v/>
      </c>
      <c r="D1035">
        <f>IF(Skills!C13=1,60+Inputs!$B$25+Inputs!$B$29,IF(Skills!C13=2,90+Inputs!$B$26+Inputs!$B$29,IF(Skills!C13=3,120+Inputs!$B$27+Inputs!$B$29,MAX(0,(Inputs!$B$3-100)*3)+Inputs!$B$28+Inputs!$B$29)))</f>
        <v/>
      </c>
      <c r="E1035">
        <f>INDEX(FactorTable!$B$2:$Y$301, MATCH(ROUND(MIN(300,MAX(1,D1035)),0), FactorTable!$A$2:$A$301,0), Skills!M13+1)</f>
        <v/>
      </c>
      <c r="F1035">
        <f>IF(Skills!N13=TRUE,(Skills!L13/10)*(E1035/1000),Skills!L13/10)+Skills!O13</f>
        <v/>
      </c>
      <c r="G1035">
        <f>Skills!G13*IF(Skills!H13&gt;0,Skills!I13/Skills!H13,1)</f>
        <v/>
      </c>
      <c r="H1035">
        <f>1-(1-Skills!J13/100)^Skills!K13</f>
        <v/>
      </c>
      <c r="I1035" t="inlineStr">
        <is>
          <t>1</t>
        </is>
      </c>
      <c r="J1035">
        <f>((Inputs!$B$6*(1+Inputs!$B$7/100))+(((Inputs!$B$12*(1+Inputs!$B$13/100))-(Inputs!$B$12*(1+Inputs!$B$13/100)))+0.25*(Inputs!$B$14-Inputs!$B$14))*(1+Inputs!$B$7/100))*(F1035/100)</f>
        <v/>
      </c>
      <c r="K1035">
        <f>J1035*(1+((Inputs!$B$12*(1+Inputs!$B$13/100))*0.01+Inputs!$B$14*0.0025)/100)*(1+Inputs!$B$15/100)*(1+Inputs!$B$16/100)*(5000/(6000+Inputs!$B$42*(1-(Inputs!$B$19+0)/100)))*(1+(Inputs!$B$24+((C1048=TRUE)*(F1048-Calc!F26))+B1058)/100)*(1+(IF(Skills!A13="EIGHT_LEGS_EASTON",Inputs!$B$17+((C1045=TRUE)*(F1045-Calc!F23))+((C1049=TRUE)*(F1049-Calc!F27)),Inputs!$B$18+0))/100)*((1+(((C1039=TRUE)*F1039)+((C1046=TRUE)*(F1046-Calc!F24)))/100)*I1035)</f>
        <v/>
      </c>
      <c r="L1035">
        <f>K1035*(MIN(Inputs!$B$22+((C1044=TRUE)*(F1044-Calc!F22)),Inputs!$B$23+0)/100+(Inputs!$B$23+0)/100)/2</f>
        <v/>
      </c>
      <c r="M1035">
        <f>L1035*(1+(Inputs!$B$10+((C1047=TRUE)*(F1047-Calc!F25))+B1057)/100)</f>
        <v/>
      </c>
      <c r="N1035">
        <f>L1035*(1-MIN((Inputs!$B$9+((C1041=TRUE)*(F1041-Calc!F19))+B1052),100)/100)+M1035*(MIN((Inputs!$B$9+((C1041=TRUE)*(F1041-Calc!F19))+B1052),100)/100)</f>
        <v/>
      </c>
      <c r="O1035">
        <f>(1-Summary!$B$55)*T1035+Summary!$B$55*V1035</f>
        <v/>
      </c>
      <c r="P1035">
        <f>IF(B1062=0,0,O1035/B1062)</f>
        <v/>
      </c>
      <c r="Q1035">
        <f>IFERROR(1/IF(Inputs!$B$38="pvp",15,MAX(0.1,Skills!D13-IF(Skills!E13=TRUE,(Inputs!$B$32+1),0))),0)</f>
        <v/>
      </c>
      <c r="R1035">
        <f>IF(AND(Inputs!$B$38&lt;&gt;"pvp",Inputs!$B$43&gt;0),IF(MAX(0,Inputs!$B$43-B1059)&lt;=0,0,(INT(MAX(0,Inputs!$B$43-B1059)/IF(Inputs!$B$38="pvp",15,MAX(0.1,Skills!D13-IF(Skills!E13=TRUE,(Inputs!$B$32+1),0))))+1)),0)</f>
        <v/>
      </c>
      <c r="S1035">
        <f>IFERROR(O1035/N1035,0)</f>
        <v/>
      </c>
      <c r="T1035">
        <f>IF(C1035,(H1035*N1035*IF(AND(Inputs!$B$38&lt;&gt;"pvp",Inputs!$B$43&gt;0),((Skills!G13*((R1035-1)*IF(Skills!H13&gt;0,Skills!I13/Skills!H13,1)+IF(Skills!H13&gt;0,MIN(Skills!I13,MAX(0,MAX(0,Inputs!$B$43-B1059)-((R1035-1)*IF(Inputs!$B$38="pvp",15,MAX(0.1,Skills!D13-IF(Skills!E13=TRUE,(Inputs!$B$32+1),0))))))/Skills!H13,1)))/Inputs!$B$43),G1035*Q1035))*IF(Inputs!$B$38="pvp",1,1+(Inputs!$B$20+0+Skills!P13)/100),0)</f>
        <v/>
      </c>
      <c r="V1035">
        <f>IF(C1035,(H1035*N1035*IF(AND(Inputs!$B$38&lt;&gt;"pvp",Inputs!$B$43&gt;0),((Skills!G13*((R1035-1)*IF(Skills!H13&gt;0,Skills!I13/Skills!H13,1)+IF(Skills!H13&gt;0,MIN(Skills!I13,MAX(0,MAX(0,Inputs!$B$43-B1059)-((R1035-1)*IF(Inputs!$B$38="pvp",15,MAX(0.1,Skills!D13-IF(Skills!E13=TRUE,(Inputs!$B$32+1),0))))))/Skills!H13,1)))/Inputs!$B$43),G1035*Q1035))*IF(Inputs!$B$38="pvp",1,(1+(Inputs!$B$21+Skills!Q13)/100)*(MIN(Skills!R13,Inputs!$B$37))),0)</f>
        <v/>
      </c>
    </row>
    <row r="1036">
      <c r="A1036">
        <f>Skills!A14</f>
        <v/>
      </c>
      <c r="B1036">
        <f>Skills!B14</f>
        <v/>
      </c>
      <c r="C1036">
        <f>Inputs!$B$3&gt;=125</f>
        <v/>
      </c>
      <c r="D1036">
        <f>IF(Skills!C14=1,60+Inputs!$B$25+Inputs!$B$29,IF(Skills!C14=2,90+Inputs!$B$26+Inputs!$B$29,IF(Skills!C14=3,120+Inputs!$B$27+Inputs!$B$29,MAX(0,(Inputs!$B$3-100)*3)+Inputs!$B$28+Inputs!$B$29)))</f>
        <v/>
      </c>
      <c r="E1036">
        <f>INDEX(FactorTable!$B$2:$Y$301, MATCH(ROUND(MIN(300,MAX(1,D1036)),0), FactorTable!$A$2:$A$301,0), Skills!M14+1)</f>
        <v/>
      </c>
      <c r="F1036">
        <f>IF(Skills!N14=TRUE,(Skills!L14/10)*(E1036/1000),Skills!L14/10)+Skills!O14</f>
        <v/>
      </c>
      <c r="G1036">
        <f>Skills!G14*IF(Skills!H14&gt;0,Skills!I14/Skills!H14,1)</f>
        <v/>
      </c>
      <c r="H1036">
        <f>1-(1-Skills!J14/100)^Skills!K14</f>
        <v/>
      </c>
      <c r="I1036" t="inlineStr">
        <is>
          <t>1</t>
        </is>
      </c>
      <c r="J1036">
        <f>((Inputs!$B$6*(1+Inputs!$B$7/100))+(((Inputs!$B$12*(1+Inputs!$B$13/100))-(Inputs!$B$12*(1+Inputs!$B$13/100)))+0.25*(Inputs!$B$14-Inputs!$B$14))*(1+Inputs!$B$7/100))*(F1036/100)</f>
        <v/>
      </c>
      <c r="K1036">
        <f>J1036*(1+((Inputs!$B$12*(1+Inputs!$B$13/100))*0.01+Inputs!$B$14*0.0025)/100)*(1+Inputs!$B$15/100)*(1+Inputs!$B$16/100)*(5000/(6000+Inputs!$B$42*(1-(Inputs!$B$19+0)/100)))*(1+(Inputs!$B$24+((C1048=TRUE)*(F1048-Calc!F26))+B1058)/100)*(1+(IF(Skills!A14="EIGHT_LEGS_EASTON",Inputs!$B$17+((C1045=TRUE)*(F1045-Calc!F23))+((C1049=TRUE)*(F1049-Calc!F27)),Inputs!$B$18+0))/100)*((1+(((C1039=TRUE)*F1039)+((C1046=TRUE)*(F1046-Calc!F24)))/100)*I1036)</f>
        <v/>
      </c>
      <c r="L1036">
        <f>K1036*(MIN(Inputs!$B$22+((C1044=TRUE)*(F1044-Calc!F22)),Inputs!$B$23+0)/100+(Inputs!$B$23+0)/100)/2</f>
        <v/>
      </c>
      <c r="M1036">
        <f>L1036*(1+(Inputs!$B$10+((C1047=TRUE)*(F1047-Calc!F25))+B1057)/100)</f>
        <v/>
      </c>
      <c r="N1036">
        <f>L1036*(1-MIN((Inputs!$B$9+((C1041=TRUE)*(F1041-Calc!F19))+B1052),100)/100)+M1036*(MIN((Inputs!$B$9+((C1041=TRUE)*(F1041-Calc!F19))+B1052),100)/100)</f>
        <v/>
      </c>
      <c r="O1036">
        <f>(1-Summary!$B$55)*T1036+Summary!$B$55*V1036</f>
        <v/>
      </c>
      <c r="P1036">
        <f>IF(B1062=0,0,O1036/B1062)</f>
        <v/>
      </c>
      <c r="Q1036" t="n">
        <v>0</v>
      </c>
      <c r="R1036" t="n">
        <v>0</v>
      </c>
      <c r="S1036">
        <f>IFERROR(O1036/N1036,0)</f>
        <v/>
      </c>
      <c r="T1036">
        <f>IF(C1036,(H1036*N1036*(B1056+IF(AND(Inputs!$B$38&lt;&gt;"pvp",Inputs!$B$43&gt;0),((Skills!G8*((R1030-1)*IF(Skills!H8&gt;0,Skills!I8/Skills!H8,1)+IF(Skills!H8&gt;0,MIN(Skills!I8,MAX(0,MAX(0,Inputs!$B$43-B1059)-((R1030-1)*IF(Inputs!$B$38="pvp",15,MAX(0.1,Skills!D8-IF(Skills!E8=TRUE,(Inputs!$B$32+1),0))))))/Skills!H8,1)))/Inputs!$B$43),G1030*Q1030)+IF(AND(Inputs!$B$38&lt;&gt;"pvp",Inputs!$B$43&gt;0),((Skills!G11*((R1033-1)*IF(Skills!H11&gt;0,Skills!I11/Skills!H11,1)+IF(Skills!H11&gt;0,MIN(Skills!I11,MAX(0,MAX(0,Inputs!$B$43-B1059)-((R1033-1)*IF(Inputs!$B$38="pvp",15,MAX(0.1,Skills!D11-IF(Skills!E11=TRUE,(Inputs!$B$32+1),0))))))/Skills!H11,1)))/Inputs!$B$43),G1033*Q1033)))*IF(Inputs!$B$38="pvp",1,1+(Inputs!$B$20+0+Skills!P14)/100),0)</f>
        <v/>
      </c>
      <c r="V1036">
        <f>IF(C1036,(H1036*N1036*(B1056+IF(AND(Inputs!$B$38&lt;&gt;"pvp",Inputs!$B$43&gt;0),((Skills!G8*((R1030-1)*IF(Skills!H8&gt;0,Skills!I8/Skills!H8,1)+IF(Skills!H8&gt;0,MIN(Skills!I8,MAX(0,MAX(0,Inputs!$B$43-B1059)-((R1030-1)*IF(Inputs!$B$38="pvp",15,MAX(0.1,Skills!D8-IF(Skills!E8=TRUE,(Inputs!$B$32+1),0))))))/Skills!H8,1)))/Inputs!$B$43),G1030*Q1030)+IF(AND(Inputs!$B$38&lt;&gt;"pvp",Inputs!$B$43&gt;0),((Skills!G11*((R1033-1)*IF(Skills!H11&gt;0,Skills!I11/Skills!H11,1)+IF(Skills!H11&gt;0,MIN(Skills!I11,MAX(0,MAX(0,Inputs!$B$43-B1059)-((R1033-1)*IF(Inputs!$B$38="pvp",15,MAX(0.1,Skills!D11-IF(Skills!E11=TRUE,(Inputs!$B$32+1),0))))))/Skills!H11,1)))/Inputs!$B$43),G1033*Q1033)))*IF(Inputs!$B$38="pvp",1,(1+(Inputs!$B$21+Skills!Q14)/100)*(MIN(Skills!R14,Inputs!$B$37))),0)</f>
        <v/>
      </c>
    </row>
    <row r="1037">
      <c r="A1037">
        <f>Skills!A15</f>
        <v/>
      </c>
      <c r="B1037">
        <f>Skills!B15</f>
        <v/>
      </c>
      <c r="C1037">
        <f>Inputs!$B$3&gt;=100</f>
        <v/>
      </c>
      <c r="D1037">
        <f>IF(Skills!C15=1,60+Inputs!$B$25+Inputs!$B$29,IF(Skills!C15=2,90+Inputs!$B$26+Inputs!$B$29,IF(Skills!C15=3,120+Inputs!$B$27+Inputs!$B$29,MAX(0,(Inputs!$B$3-100)*3)+Inputs!$B$28+Inputs!$B$29)))</f>
        <v/>
      </c>
      <c r="E1037">
        <f>INDEX(FactorTable!$B$2:$Y$301, MATCH(ROUND(MIN(300,MAX(1,D1037)),0), FactorTable!$A$2:$A$301,0), Skills!M15+1)</f>
        <v/>
      </c>
      <c r="F1037">
        <f>IF(Skills!N15=TRUE,(Skills!L15/10)*(E1037/1000),Skills!L15/10)+Skills!O15</f>
        <v/>
      </c>
      <c r="G1037" t="inlineStr"/>
      <c r="H1037" t="inlineStr"/>
      <c r="I1037" t="inlineStr">
        <is>
          <t>1</t>
        </is>
      </c>
      <c r="J1037" t="inlineStr"/>
      <c r="K1037" t="inlineStr"/>
      <c r="L1037" t="inlineStr"/>
      <c r="M1037" t="inlineStr"/>
      <c r="N1037" t="inlineStr"/>
      <c r="O1037" t="inlineStr"/>
      <c r="P1037" t="inlineStr"/>
      <c r="Q1037" t="inlineStr"/>
      <c r="R1037" t="inlineStr"/>
      <c r="S1037" t="inlineStr"/>
    </row>
    <row r="1038">
      <c r="A1038">
        <f>Skills!A16</f>
        <v/>
      </c>
      <c r="B1038">
        <f>Skills!B16</f>
        <v/>
      </c>
      <c r="C1038">
        <f>Inputs!$B$3&gt;=120</f>
        <v/>
      </c>
      <c r="D1038">
        <f>IF(Skills!C16=1,60+Inputs!$B$25+Inputs!$B$29,IF(Skills!C16=2,90+Inputs!$B$26+Inputs!$B$29,IF(Skills!C16=3,120+Inputs!$B$27+Inputs!$B$29,MAX(0,(Inputs!$B$3-100)*3)+Inputs!$B$28+Inputs!$B$29)))</f>
        <v/>
      </c>
      <c r="E1038">
        <f>INDEX(FactorTable!$B$2:$Y$301, MATCH(ROUND(MIN(300,MAX(1,D1038)),0), FactorTable!$A$2:$A$301,0), Skills!M16+1)</f>
        <v/>
      </c>
      <c r="F1038">
        <f>IF(Skills!N16=TRUE,(Skills!L16/10)*(E1038/1000),Skills!L16/10)+Skills!O16</f>
        <v/>
      </c>
      <c r="G1038" t="inlineStr"/>
      <c r="H1038" t="inlineStr"/>
      <c r="I1038" t="inlineStr">
        <is>
          <t>1</t>
        </is>
      </c>
      <c r="J1038" t="inlineStr"/>
      <c r="K1038" t="inlineStr"/>
      <c r="L1038" t="inlineStr"/>
      <c r="M1038" t="inlineStr"/>
      <c r="N1038" t="inlineStr"/>
      <c r="O1038" t="inlineStr"/>
      <c r="P1038" t="inlineStr"/>
      <c r="Q1038" t="inlineStr"/>
      <c r="R1038" t="inlineStr"/>
      <c r="S1038" t="inlineStr"/>
    </row>
    <row r="1039">
      <c r="A1039">
        <f>Skills!A17</f>
        <v/>
      </c>
      <c r="B1039">
        <f>Skills!B17</f>
        <v/>
      </c>
      <c r="C1039">
        <f>Inputs!$B$3&gt;=66</f>
        <v/>
      </c>
      <c r="D1039">
        <f>IF(Skills!C17=1,60+Inputs!$B$25+Inputs!$B$29,IF(Skills!C17=2,90+Inputs!$B$26+Inputs!$B$29,IF(Skills!C17=3,120+Inputs!$B$27+Inputs!$B$29,MAX(0,(Inputs!$B$3-100)*3)+Inputs!$B$28+Inputs!$B$29)))</f>
        <v/>
      </c>
      <c r="E1039">
        <f>INDEX(FactorTable!$B$2:$Y$301, MATCH(ROUND(MIN(300,MAX(1,D1039)),0), FactorTable!$A$2:$A$301,0), Skills!M17+1)</f>
        <v/>
      </c>
      <c r="F1039">
        <f>IF(Skills!N17=TRUE,(Skills!L17/10)*(E1039/1000),Skills!L17/10)+Skills!O17</f>
        <v/>
      </c>
      <c r="G1039">
        <f>Skills!G17*IF(Skills!H17&gt;0,Skills!I17/Skills!H17,1)</f>
        <v/>
      </c>
      <c r="H1039">
        <f>1-(1-Skills!J17/100)^Skills!K17</f>
        <v/>
      </c>
      <c r="I1039" t="inlineStr">
        <is>
          <t>1</t>
        </is>
      </c>
      <c r="J1039" t="inlineStr"/>
      <c r="K1039" t="inlineStr"/>
      <c r="L1039" t="inlineStr"/>
      <c r="M1039" t="inlineStr"/>
      <c r="N1039" t="inlineStr"/>
      <c r="O1039">
        <f>(1-Summary!$B$55)*T1039+Summary!$B$55*V1039</f>
        <v/>
      </c>
      <c r="P1039">
        <f>IF(B1062=0,0,O1039/B1062)</f>
        <v/>
      </c>
      <c r="Q1039" t="n">
        <v>0</v>
      </c>
      <c r="R1039" t="n">
        <v>0</v>
      </c>
      <c r="S1039">
        <f>IFERROR(O1039/N1039,0)</f>
        <v/>
      </c>
      <c r="T1039" t="n">
        <v>0</v>
      </c>
      <c r="V1039" t="n">
        <v>0</v>
      </c>
    </row>
    <row r="1040">
      <c r="A1040">
        <f>Skills!A18</f>
        <v/>
      </c>
      <c r="B1040">
        <f>Skills!B18</f>
        <v/>
      </c>
      <c r="C1040">
        <f>Inputs!$B$3&gt;=115</f>
        <v/>
      </c>
      <c r="D1040">
        <f>IF(Skills!C18=1,60+Inputs!$B$25+Inputs!$B$29,IF(Skills!C18=2,90+Inputs!$B$26+Inputs!$B$29,IF(Skills!C18=3,120+Inputs!$B$27+Inputs!$B$29,MAX(0,(Inputs!$B$3-100)*3)+Inputs!$B$28+Inputs!$B$29)))</f>
        <v/>
      </c>
      <c r="E1040">
        <f>INDEX(FactorTable!$B$2:$Y$301, MATCH(ROUND(MIN(300,MAX(1,D1040)),0), FactorTable!$A$2:$A$301,0), Skills!M18+1)</f>
        <v/>
      </c>
      <c r="F1040">
        <f>IF(Skills!N18=TRUE,(Skills!L18/10)*(E1040/1000),Skills!L18/10)+Skills!O18</f>
        <v/>
      </c>
      <c r="G1040">
        <f>Skills!G18*IF(Skills!H18&gt;0,Skills!I18/Skills!H18,1)</f>
        <v/>
      </c>
      <c r="H1040">
        <f>1-(1-Skills!J18/100)^Skills!K18</f>
        <v/>
      </c>
      <c r="I1040" t="inlineStr">
        <is>
          <t>1</t>
        </is>
      </c>
      <c r="J1040" t="inlineStr"/>
      <c r="K1040" t="inlineStr"/>
      <c r="L1040" t="inlineStr"/>
      <c r="M1040" t="inlineStr"/>
      <c r="N1040" t="inlineStr"/>
      <c r="O1040">
        <f>(1-Summary!$B$55)*T1040+Summary!$B$55*V1040</f>
        <v/>
      </c>
      <c r="P1040">
        <f>IF(B1062=0,0,O1040/B1062)</f>
        <v/>
      </c>
      <c r="Q1040" t="n">
        <v>0</v>
      </c>
      <c r="R1040" t="n">
        <v>0</v>
      </c>
      <c r="S1040">
        <f>IFERROR(O1040/N1040,0)</f>
        <v/>
      </c>
      <c r="T1040" t="n">
        <v>0</v>
      </c>
      <c r="V1040" t="n">
        <v>0</v>
      </c>
    </row>
    <row r="1041">
      <c r="A1041">
        <f>Skills!A19</f>
        <v/>
      </c>
      <c r="B1041">
        <f>Skills!B19</f>
        <v/>
      </c>
      <c r="C1041">
        <f>Inputs!$B$3&gt;=15</f>
        <v/>
      </c>
      <c r="D1041">
        <f>IF(Skills!C19=1,60+Inputs!$B$25+Inputs!$B$29,IF(Skills!C19=2,90+Inputs!$B$26+Inputs!$B$29,IF(Skills!C19=3,120+Inputs!$B$27+Inputs!$B$29,MAX(0,(Inputs!$B$3-100)*3)+Inputs!$B$28+Inputs!$B$29)))</f>
        <v/>
      </c>
      <c r="E1041">
        <f>INDEX(FactorTable!$B$2:$Y$301, MATCH(ROUND(MIN(300,MAX(1,D1041)),0), FactorTable!$A$2:$A$301,0), Skills!M19+1)</f>
        <v/>
      </c>
      <c r="F1041">
        <f>IF(Skills!N19=TRUE,(Skills!L19/10)*(E1041/1000),Skills!L19/10)+Skills!O19</f>
        <v/>
      </c>
      <c r="G1041">
        <f>Skills!G19*IF(Skills!H19&gt;0,Skills!I19/Skills!H19,1)</f>
        <v/>
      </c>
      <c r="H1041">
        <f>1-(1-Skills!J19/100)^Skills!K19</f>
        <v/>
      </c>
      <c r="I1041" t="inlineStr">
        <is>
          <t>1</t>
        </is>
      </c>
      <c r="J1041" t="inlineStr"/>
      <c r="K1041" t="inlineStr"/>
      <c r="L1041" t="inlineStr"/>
      <c r="M1041" t="inlineStr"/>
      <c r="N1041" t="inlineStr"/>
      <c r="O1041">
        <f>(1-Summary!$B$55)*T1041+Summary!$B$55*V1041</f>
        <v/>
      </c>
      <c r="P1041">
        <f>IF(B1062=0,0,O1041/B1062)</f>
        <v/>
      </c>
      <c r="Q1041" t="n">
        <v>0</v>
      </c>
      <c r="R1041" t="n">
        <v>0</v>
      </c>
      <c r="S1041">
        <f>IFERROR(O1041/N1041,0)</f>
        <v/>
      </c>
      <c r="T1041" t="n">
        <v>0</v>
      </c>
      <c r="V1041" t="n">
        <v>0</v>
      </c>
    </row>
    <row r="1042">
      <c r="A1042">
        <f>Skills!A20</f>
        <v/>
      </c>
      <c r="B1042">
        <f>Skills!B20</f>
        <v/>
      </c>
      <c r="C1042">
        <f>Inputs!$B$3&gt;=10</f>
        <v/>
      </c>
      <c r="D1042">
        <f>IF(Skills!C20=1,60+Inputs!$B$25+Inputs!$B$29,IF(Skills!C20=2,90+Inputs!$B$26+Inputs!$B$29,IF(Skills!C20=3,120+Inputs!$B$27+Inputs!$B$29,MAX(0,(Inputs!$B$3-100)*3)+Inputs!$B$28+Inputs!$B$29)))</f>
        <v/>
      </c>
      <c r="E1042">
        <f>INDEX(FactorTable!$B$2:$Y$301, MATCH(ROUND(MIN(300,MAX(1,D1042)),0), FactorTable!$A$2:$A$301,0), Skills!M20+1)</f>
        <v/>
      </c>
      <c r="F1042">
        <f>IF(Skills!N20=TRUE,(Skills!L20/10)*(E1042/1000),Skills!L20/10)+Skills!O20</f>
        <v/>
      </c>
      <c r="G1042">
        <f>Skills!G20*IF(Skills!H20&gt;0,Skills!I20/Skills!H20,1)</f>
        <v/>
      </c>
      <c r="H1042">
        <f>1-(1-Skills!J20/100)^Skills!K20</f>
        <v/>
      </c>
      <c r="I1042" t="inlineStr">
        <is>
          <t>1</t>
        </is>
      </c>
      <c r="J1042" t="inlineStr"/>
      <c r="K1042" t="inlineStr"/>
      <c r="L1042" t="inlineStr"/>
      <c r="M1042" t="inlineStr"/>
      <c r="N1042" t="inlineStr"/>
      <c r="O1042">
        <f>(1-Summary!$B$55)*T1042+Summary!$B$55*V1042</f>
        <v/>
      </c>
      <c r="P1042">
        <f>IF(B1062=0,0,O1042/B1062)</f>
        <v/>
      </c>
      <c r="Q1042" t="n">
        <v>0</v>
      </c>
      <c r="R1042" t="n">
        <v>0</v>
      </c>
      <c r="S1042">
        <f>IFERROR(O1042/N1042,0)</f>
        <v/>
      </c>
      <c r="T1042" t="n">
        <v>0</v>
      </c>
      <c r="V1042" t="n">
        <v>0</v>
      </c>
    </row>
    <row r="1043">
      <c r="A1043">
        <f>Skills!A21</f>
        <v/>
      </c>
      <c r="B1043">
        <f>Skills!B21</f>
        <v/>
      </c>
      <c r="C1043">
        <f>Inputs!$B$3&gt;=33</f>
        <v/>
      </c>
      <c r="D1043">
        <f>IF(Skills!C21=1,60+Inputs!$B$25+Inputs!$B$29,IF(Skills!C21=2,90+Inputs!$B$26+Inputs!$B$29,IF(Skills!C21=3,120+Inputs!$B$27+Inputs!$B$29,MAX(0,(Inputs!$B$3-100)*3)+Inputs!$B$28+Inputs!$B$29)))</f>
        <v/>
      </c>
      <c r="E1043">
        <f>INDEX(FactorTable!$B$2:$Y$301, MATCH(ROUND(MIN(300,MAX(1,D1043)),0), FactorTable!$A$2:$A$301,0), Skills!M21+1)</f>
        <v/>
      </c>
      <c r="F1043">
        <f>IF(Skills!N21=TRUE,(Skills!L21/10)*(E1043/1000),Skills!L21/10)+Skills!O21</f>
        <v/>
      </c>
      <c r="G1043">
        <f>Skills!G21*IF(Skills!H21&gt;0,Skills!I21/Skills!H21,1)</f>
        <v/>
      </c>
      <c r="H1043">
        <f>1-(1-Skills!J21/100)^Skills!K21</f>
        <v/>
      </c>
      <c r="I1043" t="inlineStr">
        <is>
          <t>1</t>
        </is>
      </c>
      <c r="J1043" t="inlineStr"/>
      <c r="K1043" t="inlineStr"/>
      <c r="L1043" t="inlineStr"/>
      <c r="M1043" t="inlineStr"/>
      <c r="N1043" t="inlineStr"/>
      <c r="O1043">
        <f>(1-Summary!$B$55)*T1043+Summary!$B$55*V1043</f>
        <v/>
      </c>
      <c r="P1043">
        <f>IF(B1062=0,0,O1043/B1062)</f>
        <v/>
      </c>
      <c r="Q1043" t="n">
        <v>0</v>
      </c>
      <c r="R1043" t="n">
        <v>0</v>
      </c>
      <c r="S1043">
        <f>IFERROR(O1043/N1043,0)</f>
        <v/>
      </c>
      <c r="T1043" t="n">
        <v>0</v>
      </c>
      <c r="V1043" t="n">
        <v>0</v>
      </c>
    </row>
    <row r="1044">
      <c r="A1044">
        <f>Skills!A22</f>
        <v/>
      </c>
      <c r="B1044">
        <f>Skills!B22</f>
        <v/>
      </c>
      <c r="C1044">
        <f>Inputs!$B$3&gt;=43</f>
        <v/>
      </c>
      <c r="D1044">
        <f>IF(Skills!C22=1,60+Inputs!$B$25+Inputs!$B$29,IF(Skills!C22=2,90+Inputs!$B$26+Inputs!$B$29,IF(Skills!C22=3,120+Inputs!$B$27+Inputs!$B$29,MAX(0,(Inputs!$B$3-100)*3)+Inputs!$B$28+Inputs!$B$29)))</f>
        <v/>
      </c>
      <c r="E1044">
        <f>INDEX(FactorTable!$B$2:$Y$301, MATCH(ROUND(MIN(300,MAX(1,D1044)),0), FactorTable!$A$2:$A$301,0), Skills!M22+1)</f>
        <v/>
      </c>
      <c r="F1044">
        <f>IF(Skills!N22=TRUE,(Skills!L22/10)*(E1044/1000),Skills!L22/10)+Skills!O22</f>
        <v/>
      </c>
      <c r="G1044">
        <f>Skills!G22*IF(Skills!H22&gt;0,Skills!I22/Skills!H22,1)</f>
        <v/>
      </c>
      <c r="H1044">
        <f>1-(1-Skills!J22/100)^Skills!K22</f>
        <v/>
      </c>
      <c r="I1044" t="inlineStr">
        <is>
          <t>1</t>
        </is>
      </c>
      <c r="J1044" t="inlineStr"/>
      <c r="K1044" t="inlineStr"/>
      <c r="L1044" t="inlineStr"/>
      <c r="M1044" t="inlineStr"/>
      <c r="N1044" t="inlineStr"/>
      <c r="O1044">
        <f>(1-Summary!$B$55)*T1044+Summary!$B$55*V1044</f>
        <v/>
      </c>
      <c r="P1044">
        <f>IF(B1062=0,0,O1044/B1062)</f>
        <v/>
      </c>
      <c r="Q1044" t="n">
        <v>0</v>
      </c>
      <c r="R1044" t="n">
        <v>0</v>
      </c>
      <c r="S1044">
        <f>IFERROR(O1044/N1044,0)</f>
        <v/>
      </c>
      <c r="T1044" t="n">
        <v>0</v>
      </c>
      <c r="V1044" t="n">
        <v>0</v>
      </c>
    </row>
    <row r="1045">
      <c r="A1045">
        <f>Skills!A23</f>
        <v/>
      </c>
      <c r="B1045">
        <f>Skills!B23</f>
        <v/>
      </c>
      <c r="C1045">
        <f>Inputs!$B$3&gt;=38</f>
        <v/>
      </c>
      <c r="D1045">
        <f>IF(Skills!C23=1,60+Inputs!$B$25+Inputs!$B$29,IF(Skills!C23=2,90+Inputs!$B$26+Inputs!$B$29,IF(Skills!C23=3,120+Inputs!$B$27+Inputs!$B$29,MAX(0,(Inputs!$B$3-100)*3)+Inputs!$B$28+Inputs!$B$29)))</f>
        <v/>
      </c>
      <c r="E1045">
        <f>INDEX(FactorTable!$B$2:$Y$301, MATCH(ROUND(MIN(300,MAX(1,D1045)),0), FactorTable!$A$2:$A$301,0), Skills!M23+1)</f>
        <v/>
      </c>
      <c r="F1045">
        <f>IF(Skills!N23=TRUE,(Skills!L23/10)*(E1045/1000),Skills!L23/10)+Skills!O23</f>
        <v/>
      </c>
      <c r="G1045">
        <f>Skills!G23*IF(Skills!H23&gt;0,Skills!I23/Skills!H23,1)</f>
        <v/>
      </c>
      <c r="H1045">
        <f>1-(1-Skills!J23/100)^Skills!K23</f>
        <v/>
      </c>
      <c r="I1045" t="inlineStr">
        <is>
          <t>1</t>
        </is>
      </c>
      <c r="J1045" t="inlineStr"/>
      <c r="K1045" t="inlineStr"/>
      <c r="L1045" t="inlineStr"/>
      <c r="M1045" t="inlineStr"/>
      <c r="N1045" t="inlineStr"/>
      <c r="O1045">
        <f>(1-Summary!$B$55)*T1045+Summary!$B$55*V1045</f>
        <v/>
      </c>
      <c r="P1045">
        <f>IF(B1062=0,0,O1045/B1062)</f>
        <v/>
      </c>
      <c r="Q1045" t="n">
        <v>0</v>
      </c>
      <c r="R1045" t="n">
        <v>0</v>
      </c>
      <c r="S1045">
        <f>IFERROR(O1045/N1045,0)</f>
        <v/>
      </c>
      <c r="T1045" t="n">
        <v>0</v>
      </c>
      <c r="V1045" t="n">
        <v>0</v>
      </c>
    </row>
    <row r="1046">
      <c r="A1046">
        <f>Skills!A24</f>
        <v/>
      </c>
      <c r="B1046">
        <f>Skills!B24</f>
        <v/>
      </c>
      <c r="C1046">
        <f>Inputs!$B$3&gt;=40</f>
        <v/>
      </c>
      <c r="D1046">
        <f>IF(Skills!C24=1,60+Inputs!$B$25+Inputs!$B$29,IF(Skills!C24=2,90+Inputs!$B$26+Inputs!$B$29,IF(Skills!C24=3,120+Inputs!$B$27+Inputs!$B$29,MAX(0,(Inputs!$B$3-100)*3)+Inputs!$B$28+Inputs!$B$29)))</f>
        <v/>
      </c>
      <c r="E1046">
        <f>INDEX(FactorTable!$B$2:$Y$301, MATCH(ROUND(MIN(300,MAX(1,D1046)),0), FactorTable!$A$2:$A$301,0), Skills!M24+1)</f>
        <v/>
      </c>
      <c r="F1046">
        <f>IF(Skills!N24=TRUE,(Skills!L24/10)*(E1046/1000),Skills!L24/10)+Skills!O24</f>
        <v/>
      </c>
      <c r="G1046">
        <f>Skills!G24*IF(Skills!H24&gt;0,Skills!I24/Skills!H24,1)</f>
        <v/>
      </c>
      <c r="H1046">
        <f>1-(1-Skills!J24/100)^Skills!K24</f>
        <v/>
      </c>
      <c r="I1046" t="inlineStr">
        <is>
          <t>1</t>
        </is>
      </c>
      <c r="J1046" t="inlineStr"/>
      <c r="K1046" t="inlineStr"/>
      <c r="L1046" t="inlineStr"/>
      <c r="M1046" t="inlineStr"/>
      <c r="N1046" t="inlineStr"/>
      <c r="O1046">
        <f>(1-Summary!$B$55)*T1046+Summary!$B$55*V1046</f>
        <v/>
      </c>
      <c r="P1046">
        <f>IF(B1062=0,0,O1046/B1062)</f>
        <v/>
      </c>
      <c r="Q1046" t="n">
        <v>0</v>
      </c>
      <c r="R1046" t="n">
        <v>0</v>
      </c>
      <c r="S1046">
        <f>IFERROR(O1046/N1046,0)</f>
        <v/>
      </c>
      <c r="T1046" t="n">
        <v>0</v>
      </c>
      <c r="V1046" t="n">
        <v>0</v>
      </c>
    </row>
    <row r="1047">
      <c r="A1047">
        <f>Skills!A25</f>
        <v/>
      </c>
      <c r="B1047">
        <f>Skills!B25</f>
        <v/>
      </c>
      <c r="C1047">
        <f>Inputs!$B$3&gt;=72</f>
        <v/>
      </c>
      <c r="D1047">
        <f>IF(Skills!C25=1,60+Inputs!$B$25+Inputs!$B$29,IF(Skills!C25=2,90+Inputs!$B$26+Inputs!$B$29,IF(Skills!C25=3,120+Inputs!$B$27+Inputs!$B$29,MAX(0,(Inputs!$B$3-100)*3)+Inputs!$B$28+Inputs!$B$29)))</f>
        <v/>
      </c>
      <c r="E1047">
        <f>INDEX(FactorTable!$B$2:$Y$301, MATCH(ROUND(MIN(300,MAX(1,D1047)),0), FactorTable!$A$2:$A$301,0), Skills!M25+1)</f>
        <v/>
      </c>
      <c r="F1047">
        <f>IF(Skills!N25=TRUE,(Skills!L25/10)*(E1047/1000),Skills!L25/10)+Skills!O25</f>
        <v/>
      </c>
      <c r="G1047">
        <f>Skills!G25*IF(Skills!H25&gt;0,Skills!I25/Skills!H25,1)</f>
        <v/>
      </c>
      <c r="H1047">
        <f>1-(1-Skills!J25/100)^Skills!K25</f>
        <v/>
      </c>
      <c r="I1047" t="inlineStr">
        <is>
          <t>1</t>
        </is>
      </c>
      <c r="J1047" t="inlineStr"/>
      <c r="K1047" t="inlineStr"/>
      <c r="L1047" t="inlineStr"/>
      <c r="M1047" t="inlineStr"/>
      <c r="N1047" t="inlineStr"/>
      <c r="O1047">
        <f>(1-Summary!$B$55)*T1047+Summary!$B$55*V1047</f>
        <v/>
      </c>
      <c r="P1047">
        <f>IF(B1062=0,0,O1047/B1062)</f>
        <v/>
      </c>
      <c r="Q1047" t="n">
        <v>0</v>
      </c>
      <c r="R1047" t="n">
        <v>0</v>
      </c>
      <c r="S1047">
        <f>IFERROR(O1047/N1047,0)</f>
        <v/>
      </c>
      <c r="T1047" t="n">
        <v>0</v>
      </c>
      <c r="V1047" t="n">
        <v>0</v>
      </c>
    </row>
    <row r="1048">
      <c r="A1048">
        <f>Skills!A26</f>
        <v/>
      </c>
      <c r="B1048">
        <f>Skills!B26</f>
        <v/>
      </c>
      <c r="C1048">
        <f>Inputs!$B$3&gt;=75</f>
        <v/>
      </c>
      <c r="D1048">
        <f>IF(Skills!C26=1,60+Inputs!$B$25+Inputs!$B$29,IF(Skills!C26=2,90+Inputs!$B$26+Inputs!$B$29,IF(Skills!C26=3,120+Inputs!$B$27+Inputs!$B$29,MAX(0,(Inputs!$B$3-100)*3)+Inputs!$B$28+Inputs!$B$29)))</f>
        <v/>
      </c>
      <c r="E1048">
        <f>INDEX(FactorTable!$B$2:$Y$301, MATCH(ROUND(MIN(300,MAX(1,D1048)),0), FactorTable!$A$2:$A$301,0), Skills!M26+1)</f>
        <v/>
      </c>
      <c r="F1048">
        <f>IF(Skills!N26=TRUE,(Skills!L26/10)*(E1048/1000),Skills!L26/10)+Skills!O26</f>
        <v/>
      </c>
      <c r="G1048">
        <f>Skills!G26*IF(Skills!H26&gt;0,Skills!I26/Skills!H26,1)</f>
        <v/>
      </c>
      <c r="H1048">
        <f>1-(1-Skills!J26/100)^Skills!K26</f>
        <v/>
      </c>
      <c r="I1048" t="inlineStr">
        <is>
          <t>1</t>
        </is>
      </c>
      <c r="J1048" t="inlineStr"/>
      <c r="K1048" t="inlineStr"/>
      <c r="L1048" t="inlineStr"/>
      <c r="M1048" t="inlineStr"/>
      <c r="N1048" t="inlineStr"/>
      <c r="O1048">
        <f>(1-Summary!$B$55)*T1048+Summary!$B$55*V1048</f>
        <v/>
      </c>
      <c r="P1048">
        <f>IF(B1062=0,0,O1048/B1062)</f>
        <v/>
      </c>
      <c r="Q1048" t="n">
        <v>0</v>
      </c>
      <c r="R1048" t="n">
        <v>0</v>
      </c>
      <c r="S1048">
        <f>IFERROR(O1048/N1048,0)</f>
        <v/>
      </c>
      <c r="T1048" t="n">
        <v>0</v>
      </c>
      <c r="V1048" t="n">
        <v>0</v>
      </c>
    </row>
    <row r="1049">
      <c r="A1049">
        <f>Skills!A27</f>
        <v/>
      </c>
      <c r="B1049">
        <f>Skills!B27</f>
        <v/>
      </c>
      <c r="C1049">
        <f>Inputs!$B$3&gt;=117</f>
        <v/>
      </c>
      <c r="D1049">
        <f>IF(Skills!C27=1,60+Inputs!$B$25+Inputs!$B$29,IF(Skills!C27=2,90+Inputs!$B$26+Inputs!$B$29,IF(Skills!C27=3,120+Inputs!$B$27+Inputs!$B$29,MAX(0,(Inputs!$B$3-100)*3)+Inputs!$B$28+Inputs!$B$29)))</f>
        <v/>
      </c>
      <c r="E1049">
        <f>INDEX(FactorTable!$B$2:$Y$301, MATCH(ROUND(MIN(300,MAX(1,D1049)),0), FactorTable!$A$2:$A$301,0), Skills!M27+1)</f>
        <v/>
      </c>
      <c r="F1049">
        <f>IF(Skills!N27=TRUE,(Skills!L27/10)*(E1049/1000),Skills!L27/10)+Skills!O27</f>
        <v/>
      </c>
      <c r="G1049">
        <f>Skills!G27*IF(Skills!H27&gt;0,Skills!I27/Skills!H27,1)</f>
        <v/>
      </c>
      <c r="H1049">
        <f>1-(1-Skills!J27/100)^Skills!K27</f>
        <v/>
      </c>
      <c r="I1049" t="inlineStr">
        <is>
          <t>1</t>
        </is>
      </c>
      <c r="J1049" t="inlineStr"/>
      <c r="K1049" t="inlineStr"/>
      <c r="L1049" t="inlineStr"/>
      <c r="M1049" t="inlineStr"/>
      <c r="N1049" t="inlineStr"/>
      <c r="O1049">
        <f>(1-Summary!$B$55)*T1049+Summary!$B$55*V1049</f>
        <v/>
      </c>
      <c r="P1049">
        <f>IF(B1062=0,0,O1049/B1062)</f>
        <v/>
      </c>
      <c r="Q1049" t="n">
        <v>0</v>
      </c>
      <c r="R1049" t="n">
        <v>0</v>
      </c>
      <c r="S1049">
        <f>IFERROR(O1049/N1049,0)</f>
        <v/>
      </c>
      <c r="T1049" t="n">
        <v>0</v>
      </c>
      <c r="V1049" t="n">
        <v>0</v>
      </c>
    </row>
    <row r="1051">
      <c r="A1051" t="inlineStr">
        <is>
          <t>Attack% Bucket Multiplier</t>
        </is>
      </c>
      <c r="B1051">
        <f>(1+(((C1039=TRUE)*F1039)+((C1046=TRUE)*(F1046-Calc!F24)))/100)</f>
        <v/>
      </c>
    </row>
    <row r="1052">
      <c r="A1052" t="inlineStr">
        <is>
          <t>Global Crit Rate Bonus %</t>
        </is>
      </c>
      <c r="B1052" t="n">
        <v>0</v>
      </c>
    </row>
    <row r="1053">
      <c r="A1053" t="inlineStr">
        <is>
          <t>Attack Speed Buff Bonus % (unused)</t>
        </is>
      </c>
      <c r="B1053" t="n">
        <v>0</v>
      </c>
    </row>
    <row r="1054">
      <c r="A1054" t="inlineStr">
        <is>
          <t>Actions Per Second</t>
        </is>
      </c>
      <c r="B1054">
        <f>1+MIN(150,150*(1-(1-(Inputs!$B$11+((C1042=TRUE)*(F1042-Calc!F20))+((C1043=TRUE)*(F1043-Calc!F21)))/150)*(1-B1053/150)))/100</f>
        <v/>
      </c>
    </row>
    <row r="1055">
      <c r="A1055" t="inlineStr">
        <is>
          <t>Skill + Buff Cast Rate</t>
        </is>
      </c>
      <c r="B1055">
        <f>IF(AND(Inputs!$B$38&lt;&gt;"pvp",Inputs!$B$43&gt;0),SUMPRODUCT((Skills!E2:E27=TRUE)*(C1024:C1049=TRUE)*R1024:R1049*Skills!F2:F27)/Inputs!$B$43,SUMPRODUCT((Skills!E2:E27=TRUE)*(C1024:C1049=TRUE)*Q1024:Q1049*Skills!F2:F27))</f>
        <v/>
      </c>
    </row>
    <row r="1056">
      <c r="A1056" t="inlineStr">
        <is>
          <t>Eight-Legs Easton Casts Per Second</t>
        </is>
      </c>
      <c r="B1056">
        <f>MAX(0,B1054-B1055)</f>
        <v/>
      </c>
    </row>
    <row r="1057">
      <c r="A1057" t="inlineStr">
        <is>
          <t>Global Critical Damage Bonus % (unused)</t>
        </is>
      </c>
      <c r="B1057" t="n">
        <v>0</v>
      </c>
    </row>
    <row r="1058">
      <c r="A1058" t="inlineStr">
        <is>
          <t>Global Final Damage Bonus % (Jolly Roger only)</t>
        </is>
      </c>
      <c r="B1058">
        <f>((C1040=TRUE)*F1040)</f>
        <v/>
      </c>
    </row>
    <row r="1059">
      <c r="A1059" t="inlineStr">
        <is>
          <t>Buff-Casting Startup Delay (s, fixed-duration only)</t>
        </is>
      </c>
      <c r="B1059">
        <f>IF(AND(Inputs!$B$38&lt;&gt;"pvp",Inputs!$B$43&gt;0),SUMPRODUCT((Skills!T2:T27&gt;0)*(Skills!E2:E27=TRUE)*(C1024:C1049=TRUE))/B1054,0)</f>
        <v/>
      </c>
    </row>
    <row r="1060">
      <c r="A1060" t="inlineStr">
        <is>
          <t>Boss-Only Total DPS (this block's swept value)</t>
        </is>
      </c>
      <c r="B1060">
        <f>SUM(T1024:T1049)</f>
        <v/>
      </c>
    </row>
    <row r="1061">
      <c r="A1061" t="inlineStr">
        <is>
          <t>Normal-Only Total DPS (this block's swept value)</t>
        </is>
      </c>
      <c r="B1061">
        <f>SUM(V1024:V1049)</f>
        <v/>
      </c>
    </row>
    <row r="1062">
      <c r="A1062" s="5" t="inlineStr">
        <is>
          <t>TOTAL DPS</t>
        </is>
      </c>
      <c r="B1062" s="5">
        <f>SUM(O1024:O1049)</f>
        <v/>
      </c>
    </row>
    <row r="1065">
      <c r="A1065" s="5" t="inlineStr">
        <is>
          <t>Stat: Basic Attack Target Increase (flat)</t>
        </is>
      </c>
    </row>
    <row r="1066">
      <c r="A1066" s="9" t="inlineStr">
        <is>
          <t>Key</t>
        </is>
      </c>
      <c r="B1066" s="9" t="inlineStr">
        <is>
          <t>Name</t>
        </is>
      </c>
      <c r="C1066" s="9" t="inlineStr">
        <is>
          <t>Unlocked</t>
        </is>
      </c>
      <c r="D1066" s="9" t="inlineStr">
        <is>
          <t>InputLevel</t>
        </is>
      </c>
      <c r="E1066" s="9" t="inlineStr">
        <is>
          <t>Factor</t>
        </is>
      </c>
      <c r="F1066" s="9" t="inlineStr">
        <is>
          <t>CoefficientPercent</t>
        </is>
      </c>
      <c r="G1066" s="9" t="inlineStr">
        <is>
          <t>EffectiveHits</t>
        </is>
      </c>
      <c r="H1066" s="9" t="inlineStr">
        <is>
          <t>ProcProbability</t>
        </is>
      </c>
      <c r="I1066" s="9" t="inlineStr">
        <is>
          <t>MapleHeroMultiplier</t>
        </is>
      </c>
      <c r="J1066" s="9" t="inlineStr">
        <is>
          <t>BaseDamage</t>
        </is>
      </c>
      <c r="K1066" s="9" t="inlineStr">
        <is>
          <t>BaseHitDamage</t>
        </is>
      </c>
      <c r="L1066" s="9" t="inlineStr">
        <is>
          <t>NonCritAvg</t>
        </is>
      </c>
      <c r="M1066" s="9" t="inlineStr">
        <is>
          <t>CritAvg</t>
        </is>
      </c>
      <c r="N1066" s="9" t="inlineStr">
        <is>
          <t>ExpectedDamage(perHit)</t>
        </is>
      </c>
      <c r="O1066" s="9" t="inlineStr">
        <is>
          <t>DPS</t>
        </is>
      </c>
      <c r="P1066" s="9" t="inlineStr">
        <is>
          <t>% of Total</t>
        </is>
      </c>
      <c r="Q1066" s="9" t="inlineStr">
        <is>
          <t>InvCooldown</t>
        </is>
      </c>
      <c r="R1066" s="9" t="inlineStr">
        <is>
          <t>CastsInFight</t>
        </is>
      </c>
      <c r="S1066" s="9" t="inlineStr">
        <is>
          <t>HitRate(perSec)</t>
        </is>
      </c>
      <c r="U1066" t="inlineStr">
        <is>
          <t>helpers</t>
        </is>
      </c>
    </row>
    <row r="1067">
      <c r="A1067">
        <f>Skills!A2</f>
        <v/>
      </c>
      <c r="B1067">
        <f>Skills!B2</f>
        <v/>
      </c>
      <c r="C1067">
        <f>Inputs!$B$3&gt;=100</f>
        <v/>
      </c>
      <c r="D1067" t="inlineStr"/>
      <c r="E1067" t="inlineStr"/>
      <c r="F1067">
        <f>U1069+Skills!O2</f>
        <v/>
      </c>
      <c r="G1067">
        <f>Skills!G2*IF(Skills!H2&gt;0,Skills!I2/Skills!H2,1)</f>
        <v/>
      </c>
      <c r="H1067">
        <f>1-(1-Skills!J2/100)^Skills!K2</f>
        <v/>
      </c>
      <c r="I1067" t="inlineStr">
        <is>
          <t>1</t>
        </is>
      </c>
      <c r="J1067">
        <f>((Inputs!$B$6*(1+Inputs!$B$7/100))+(((Inputs!$B$12*(1+Inputs!$B$13/100))-(Inputs!$B$12*(1+Inputs!$B$13/100)))+0.25*(Inputs!$B$14-Inputs!$B$14))*(1+Inputs!$B$7/100))*(F1067/100)</f>
        <v/>
      </c>
      <c r="K1067">
        <f>J1067*(1+((Inputs!$B$12*(1+Inputs!$B$13/100))*0.01+Inputs!$B$14*0.0025)/100)*(1+Inputs!$B$15/100)*(1+Inputs!$B$16/100)*(5000/(6000+Inputs!$B$42*(1-(Inputs!$B$19+0)/100)))*(1+(Inputs!$B$24+((C1091=TRUE)*(F1091-Calc!F26))+B1101)/100)*(1+(IF(Skills!A2="EIGHT_LEGS_EASTON",Inputs!$B$17+((C1088=TRUE)*(F1088-Calc!F23))+((C1092=TRUE)*(F1092-Calc!F27)),Inputs!$B$18+0))/100)*((1+(((C1082=TRUE)*F1082)+((C1089=TRUE)*(F1089-Calc!F24)))/100)*I1067)</f>
        <v/>
      </c>
      <c r="L1067">
        <f>K1067*(MIN(Inputs!$B$22+((C1087=TRUE)*(F1087-Calc!F22)),Inputs!$B$23+0)/100+(Inputs!$B$23+0)/100)/2</f>
        <v/>
      </c>
      <c r="M1067">
        <f>L1067*(1+(Inputs!$B$10+((C1090=TRUE)*(F1090-Calc!F25))+B1100)/100)</f>
        <v/>
      </c>
      <c r="N1067">
        <f>L1067*(1-MIN((Inputs!$B$9+((C1084=TRUE)*(F1084-Calc!F19))+B1095),100)/100)+M1067*(MIN((Inputs!$B$9+((C1084=TRUE)*(F1084-Calc!F19))+B1095),100)/100)</f>
        <v/>
      </c>
      <c r="O1067">
        <f>(1-Summary!$B$55)*T1067+Summary!$B$55*V1067</f>
        <v/>
      </c>
      <c r="P1067">
        <f>IF(B1105=0,0,O1067/B1105)</f>
        <v/>
      </c>
      <c r="Q1067" t="n">
        <v>0</v>
      </c>
      <c r="R1067" t="n">
        <v>0</v>
      </c>
      <c r="S1067">
        <f>IFERROR(O1067/N1067,0)</f>
        <v/>
      </c>
      <c r="T1067">
        <f>IF(C1067,(Skills!G2*N1067*B1099)*IF(Inputs!$B$38="pvp",1,1+(Inputs!$B$20+0+Skills!P2)/100),0)</f>
        <v/>
      </c>
      <c r="U1067">
        <f>MAX(0,(Inputs!$B$3-100)*3)+Inputs!$B$28+Inputs!$B$29</f>
        <v/>
      </c>
      <c r="V1067">
        <f>IF(C1067,(Skills!G2*N1067*B1099)*IF(Inputs!$B$38="pvp",1,(1+(Inputs!$B$21+Skills!Q2)/100)*(MIN((6+(Inputs!$B$33+1)),Inputs!$B$37))),0)</f>
        <v/>
      </c>
    </row>
    <row r="1068">
      <c r="A1068">
        <f>Skills!A3</f>
        <v/>
      </c>
      <c r="B1068">
        <f>Skills!B3</f>
        <v/>
      </c>
      <c r="C1068">
        <f>Inputs!$B$3&gt;=35</f>
        <v/>
      </c>
      <c r="D1068">
        <f>IF(Skills!C3=1,60+Inputs!$B$25+Inputs!$B$29,IF(Skills!C3=2,90+Inputs!$B$26+Inputs!$B$29,IF(Skills!C3=3,120+Inputs!$B$27+Inputs!$B$29,MAX(0,(Inputs!$B$3-100)*3)+Inputs!$B$28+Inputs!$B$29)))</f>
        <v/>
      </c>
      <c r="E1068">
        <f>INDEX(FactorTable!$B$2:$Y$301, MATCH(ROUND(MIN(300,MAX(1,D1068)),0), FactorTable!$A$2:$A$301,0), Skills!M3+1)</f>
        <v/>
      </c>
      <c r="F1068">
        <f>IF(Skills!N3=TRUE,(Skills!L3/10)*(E1068/1000),Skills!L3/10)+Skills!O3</f>
        <v/>
      </c>
      <c r="G1068">
        <f>Skills!G3*IF(Skills!H3&gt;0,Skills!I3/Skills!H3,1)</f>
        <v/>
      </c>
      <c r="H1068">
        <f>1-(1-Skills!J3/100)^Skills!K3</f>
        <v/>
      </c>
      <c r="I1068" t="inlineStr">
        <is>
          <t>1</t>
        </is>
      </c>
      <c r="J1068">
        <f>((Inputs!$B$6*(1+Inputs!$B$7/100))+(((Inputs!$B$12*(1+Inputs!$B$13/100))-(Inputs!$B$12*(1+Inputs!$B$13/100)))+0.25*(Inputs!$B$14-Inputs!$B$14))*(1+Inputs!$B$7/100))*(F1068/100)</f>
        <v/>
      </c>
      <c r="K1068">
        <f>J1068*(1+((Inputs!$B$12*(1+Inputs!$B$13/100))*0.01+Inputs!$B$14*0.0025)/100)*(1+Inputs!$B$15/100)*(1+Inputs!$B$16/100)*(5000/(6000+Inputs!$B$42*(1-(Inputs!$B$19+0)/100)))*(1+(Inputs!$B$24+((C1091=TRUE)*(F1091-Calc!F26))+B1101)/100)*(1+4.0*IF(C1080=TRUE,F1080,0)/100)*(1+(IF(Skills!A3="EIGHT_LEGS_EASTON",Inputs!$B$17+((C1088=TRUE)*(F1088-Calc!F23))+((C1092=TRUE)*(F1092-Calc!F27)),Inputs!$B$18+0))/100)*((1+(((C1082=TRUE)*F1082)+((C1089=TRUE)*(F1089-Calc!F24)))/100)*I1068)</f>
        <v/>
      </c>
      <c r="L1068">
        <f>K1068*(MIN(Inputs!$B$22+((C1087=TRUE)*(F1087-Calc!F22)),Inputs!$B$23+0)/100+(Inputs!$B$23+0)/100)/2</f>
        <v/>
      </c>
      <c r="M1068">
        <f>L1068*(1+(Inputs!$B$10+((C1090=TRUE)*(F1090-Calc!F25))+B1100)/100)</f>
        <v/>
      </c>
      <c r="N1068">
        <f>L1068*(1-MIN((Inputs!$B$9+((C1084=TRUE)*(F1084-Calc!F19))+B1095),100)/100)+M1068*(MIN((Inputs!$B$9+((C1084=TRUE)*(F1084-Calc!F19))+B1095),100)/100)</f>
        <v/>
      </c>
      <c r="O1068">
        <f>(1-Summary!$B$55)*T1068+Summary!$B$55*V1068</f>
        <v/>
      </c>
      <c r="P1068">
        <f>IF(B1105=0,0,O1068/B1105)</f>
        <v/>
      </c>
      <c r="Q1068">
        <f>IFERROR(1/IF(Inputs!$B$38="pvp",15,MAX(0.1,Skills!D3-IF(Skills!E3=TRUE,Inputs!$B$32,0))),0)</f>
        <v/>
      </c>
      <c r="R1068">
        <f>IF(AND(Inputs!$B$38&lt;&gt;"pvp",Inputs!$B$43&gt;0),IF(MAX(0,Inputs!$B$43-B1102)&lt;=0,0,(INT(MAX(0,Inputs!$B$43-B1102)/IF(Inputs!$B$38="pvp",15,MAX(0.1,Skills!D3-IF(Skills!E3=TRUE,Inputs!$B$32,0))))+1)),0)</f>
        <v/>
      </c>
      <c r="S1068">
        <f>IFERROR(O1068/N1068,0)</f>
        <v/>
      </c>
      <c r="T1068">
        <f>IF(C1068,(H1068*N1068*IF(AND(Inputs!$B$38&lt;&gt;"pvp",Inputs!$B$43&gt;0),((Skills!G3*((R1068-1)*IF(Skills!H3&gt;0,Skills!I3/Skills!H3,1)+IF(Skills!H3&gt;0,MIN(Skills!I3,MAX(0,MAX(0,Inputs!$B$43-B1102)-((R1068-1)*IF(Inputs!$B$38="pvp",15,MAX(0.1,Skills!D3-IF(Skills!E3=TRUE,Inputs!$B$32,0))))))/Skills!H3,1)))/Inputs!$B$43),G1068*Q1068))*IF(Inputs!$B$38="pvp",1,1+(Inputs!$B$20+0+Skills!P3)/100),0)</f>
        <v/>
      </c>
      <c r="U1068">
        <f>INDEX(FactorTable!$B$2:$Y$301, MATCH(ROUND(MIN(300,MAX(1,U1067)),0), FactorTable!$A$2:$A$301,0), 22)</f>
        <v/>
      </c>
      <c r="V1068">
        <f>IF(C1068,(H1068*N1068*IF(AND(Inputs!$B$38&lt;&gt;"pvp",Inputs!$B$43&gt;0),((Skills!G3*((R1068-1)*IF(Skills!H3&gt;0,Skills!I3/Skills!H3,1)+IF(Skills!H3&gt;0,MIN(Skills!I3,MAX(0,MAX(0,Inputs!$B$43-B1102)-((R1068-1)*IF(Inputs!$B$38="pvp",15,MAX(0.1,Skills!D3-IF(Skills!E3=TRUE,Inputs!$B$32,0))))))/Skills!H3,1)))/Inputs!$B$43),G1068*Q1068))*IF(Inputs!$B$38="pvp",1,(1+(Inputs!$B$21+Skills!Q3)/100)*(MIN(Skills!R3,Inputs!$B$37))),0)</f>
        <v/>
      </c>
    </row>
    <row r="1069">
      <c r="A1069">
        <f>Skills!A4</f>
        <v/>
      </c>
      <c r="B1069">
        <f>Skills!B4</f>
        <v/>
      </c>
      <c r="C1069">
        <f>Inputs!$B$3&gt;=40</f>
        <v/>
      </c>
      <c r="D1069">
        <f>IF(Skills!C4=1,60+Inputs!$B$25+Inputs!$B$29,IF(Skills!C4=2,90+Inputs!$B$26+Inputs!$B$29,IF(Skills!C4=3,120+Inputs!$B$27+Inputs!$B$29,MAX(0,(Inputs!$B$3-100)*3)+Inputs!$B$28+Inputs!$B$29)))</f>
        <v/>
      </c>
      <c r="E1069">
        <f>INDEX(FactorTable!$B$2:$Y$301, MATCH(ROUND(MIN(300,MAX(1,D1069)),0), FactorTable!$A$2:$A$301,0), Skills!M4+1)</f>
        <v/>
      </c>
      <c r="F1069">
        <f>IF(Skills!N4=TRUE,(Skills!L4/10)*(E1069/1000),Skills!L4/10)+Skills!O4</f>
        <v/>
      </c>
      <c r="G1069">
        <f>Skills!G4*IF(Skills!H4&gt;0,Skills!I4/Skills!H4,1)</f>
        <v/>
      </c>
      <c r="H1069">
        <f>1-(1-Skills!J4/100)^Skills!K4</f>
        <v/>
      </c>
      <c r="I1069" t="inlineStr">
        <is>
          <t>1</t>
        </is>
      </c>
      <c r="J1069">
        <f>((Inputs!$B$6*(1+Inputs!$B$7/100))+(((Inputs!$B$12*(1+Inputs!$B$13/100))-(Inputs!$B$12*(1+Inputs!$B$13/100)))+0.25*(Inputs!$B$14-Inputs!$B$14))*(1+Inputs!$B$7/100))*(F1069/100)</f>
        <v/>
      </c>
      <c r="K1069">
        <f>J1069*(1+((Inputs!$B$12*(1+Inputs!$B$13/100))*0.01+Inputs!$B$14*0.0025)/100)*(1+Inputs!$B$15/100)*(1+Inputs!$B$16/100)*(5000/(6000+Inputs!$B$42*(1-(Inputs!$B$19+0)/100)))*(1+(Inputs!$B$24+((C1091=TRUE)*(F1091-Calc!F26))+B1101)/100)*(1+1.0*IF(C1081=TRUE,F1081,0)/100)*(1+(IF(Skills!A4="EIGHT_LEGS_EASTON",Inputs!$B$17+((C1088=TRUE)*(F1088-Calc!F23))+((C1092=TRUE)*(F1092-Calc!F27)),Inputs!$B$18+0))/100)*((1+(((C1082=TRUE)*F1082)+((C1089=TRUE)*(F1089-Calc!F24)))/100)*I1069)</f>
        <v/>
      </c>
      <c r="L1069">
        <f>K1069*(MIN(Inputs!$B$22+((C1087=TRUE)*(F1087-Calc!F22)),Inputs!$B$23+0)/100+(Inputs!$B$23+0)/100)/2</f>
        <v/>
      </c>
      <c r="M1069">
        <f>L1069*(1+(Inputs!$B$10+((C1090=TRUE)*(F1090-Calc!F25))+B1100)/100)</f>
        <v/>
      </c>
      <c r="N1069">
        <f>L1069*(1-MIN((Inputs!$B$9+((C1084=TRUE)*(F1084-Calc!F19))+B1095),100)/100)+M1069*(MIN((Inputs!$B$9+((C1084=TRUE)*(F1084-Calc!F19))+B1095),100)/100)</f>
        <v/>
      </c>
      <c r="O1069">
        <f>(1-Summary!$B$55)*T1069+Summary!$B$55*V1069</f>
        <v/>
      </c>
      <c r="P1069">
        <f>IF(B1105=0,0,O1069/B1105)</f>
        <v/>
      </c>
      <c r="Q1069">
        <f>IFERROR(1/IF(Inputs!$B$38="pvp",15,MAX(0.1,Skills!D4-IF(Skills!E4=TRUE,Inputs!$B$32,0))),0)</f>
        <v/>
      </c>
      <c r="R1069">
        <f>IF(AND(Inputs!$B$38&lt;&gt;"pvp",Inputs!$B$43&gt;0),IF(MAX(0,Inputs!$B$43-B1102)&lt;=0,0,(INT(MAX(0,Inputs!$B$43-B1102)/IF(Inputs!$B$38="pvp",15,MAX(0.1,Skills!D4-IF(Skills!E4=TRUE,Inputs!$B$32,0))))+1)),0)</f>
        <v/>
      </c>
      <c r="S1069">
        <f>IFERROR(O1069/N1069,0)</f>
        <v/>
      </c>
      <c r="T1069">
        <f>IF(C1069,(H1069*N1069*IF(AND(Inputs!$B$38&lt;&gt;"pvp",Inputs!$B$43&gt;0),((Skills!G4*((R1069-1)*IF(Skills!H4&gt;0,Skills!I4/Skills!H4,1)+IF(Skills!H4&gt;0,MIN(Skills!I4,MAX(0,MAX(0,Inputs!$B$43-B1102)-((R1069-1)*IF(Inputs!$B$38="pvp",15,MAX(0.1,Skills!D4-IF(Skills!E4=TRUE,Inputs!$B$32,0))))))/Skills!H4,1)))/Inputs!$B$43),G1069*Q1069))*IF(Inputs!$B$38="pvp",1,1+(Inputs!$B$20+0+Skills!P4)/100),0)</f>
        <v/>
      </c>
      <c r="U1069">
        <f>290*U1068/1000</f>
        <v/>
      </c>
      <c r="V1069">
        <f>IF(C1069,(H1069*N1069*IF(AND(Inputs!$B$38&lt;&gt;"pvp",Inputs!$B$43&gt;0),((Skills!G4*((R1069-1)*IF(Skills!H4&gt;0,Skills!I4/Skills!H4,1)+IF(Skills!H4&gt;0,MIN(Skills!I4,MAX(0,MAX(0,Inputs!$B$43-B1102)-((R1069-1)*IF(Inputs!$B$38="pvp",15,MAX(0.1,Skills!D4-IF(Skills!E4=TRUE,Inputs!$B$32,0))))))/Skills!H4,1)))/Inputs!$B$43),G1069*Q1069))*IF(Inputs!$B$38="pvp",1,(1+(Inputs!$B$21+Skills!Q4)/100)*(MIN(Skills!R4,Inputs!$B$37))),0)</f>
        <v/>
      </c>
    </row>
    <row r="1070">
      <c r="A1070">
        <f>Skills!A5</f>
        <v/>
      </c>
      <c r="B1070">
        <f>Skills!B5</f>
        <v/>
      </c>
      <c r="C1070">
        <f>Inputs!$B$3&gt;=45</f>
        <v/>
      </c>
      <c r="D1070">
        <f>IF(Skills!C5=1,60+Inputs!$B$25+Inputs!$B$29,IF(Skills!C5=2,90+Inputs!$B$26+Inputs!$B$29,IF(Skills!C5=3,120+Inputs!$B$27+Inputs!$B$29,MAX(0,(Inputs!$B$3-100)*3)+Inputs!$B$28+Inputs!$B$29)))</f>
        <v/>
      </c>
      <c r="E1070">
        <f>INDEX(FactorTable!$B$2:$Y$301, MATCH(ROUND(MIN(300,MAX(1,D1070)),0), FactorTable!$A$2:$A$301,0), Skills!M5+1)</f>
        <v/>
      </c>
      <c r="F1070">
        <f>IF(Skills!N5=TRUE,(Skills!L5/10)*(E1070/1000),Skills!L5/10)+Skills!O5</f>
        <v/>
      </c>
      <c r="G1070">
        <f>Skills!G5*IF(Skills!H5&gt;0,Skills!I5/Skills!H5,1)</f>
        <v/>
      </c>
      <c r="H1070">
        <f>1-(1-Skills!J5/100)^Skills!K5</f>
        <v/>
      </c>
      <c r="I1070" t="inlineStr">
        <is>
          <t>1</t>
        </is>
      </c>
      <c r="J1070">
        <f>((Inputs!$B$6*(1+Inputs!$B$7/100))+(((Inputs!$B$12*(1+Inputs!$B$13/100))-(Inputs!$B$12*(1+Inputs!$B$13/100)))+0.25*(Inputs!$B$14-Inputs!$B$14))*(1+Inputs!$B$7/100))*(F1070/100)</f>
        <v/>
      </c>
      <c r="K1070">
        <f>J1070*(1+((Inputs!$B$12*(1+Inputs!$B$13/100))*0.01+Inputs!$B$14*0.0025)/100)*(1+Inputs!$B$15/100)*(1+Inputs!$B$16/100)*(5000/(6000+Inputs!$B$42*(1-(Inputs!$B$19+0)/100)))*(1+(Inputs!$B$24+((C1091=TRUE)*(F1091-Calc!F26))+B1101)/100)*(1+0.4*IF(C1081=TRUE,F1081,0)/100)*(1+(IF(Skills!A5="EIGHT_LEGS_EASTON",Inputs!$B$17+((C1088=TRUE)*(F1088-Calc!F23))+((C1092=TRUE)*(F1092-Calc!F27)),Inputs!$B$18+0))/100)*((1+(((C1082=TRUE)*F1082)+((C1089=TRUE)*(F1089-Calc!F24)))/100)*I1070)</f>
        <v/>
      </c>
      <c r="L1070">
        <f>K1070*(MIN(Inputs!$B$22+((C1087=TRUE)*(F1087-Calc!F22)),Inputs!$B$23+0)/100+(Inputs!$B$23+0)/100)/2</f>
        <v/>
      </c>
      <c r="M1070">
        <f>L1070*(1+(Inputs!$B$10+((C1090=TRUE)*(F1090-Calc!F25))+B1100)/100)</f>
        <v/>
      </c>
      <c r="N1070">
        <f>L1070*(1-MIN((Inputs!$B$9+((C1084=TRUE)*(F1084-Calc!F19))+B1095),100)/100)+M1070*(MIN((Inputs!$B$9+((C1084=TRUE)*(F1084-Calc!F19))+B1095),100)/100)</f>
        <v/>
      </c>
      <c r="O1070">
        <f>(1-Summary!$B$55)*T1070+Summary!$B$55*V1070</f>
        <v/>
      </c>
      <c r="P1070">
        <f>IF(B1105=0,0,O1070/B1105)</f>
        <v/>
      </c>
      <c r="Q1070">
        <f>IFERROR(1/IF(Inputs!$B$38="pvp",15,MAX(0.1,Skills!D5-IF(Skills!E5=TRUE,Inputs!$B$32,0))),0)</f>
        <v/>
      </c>
      <c r="R1070">
        <f>IF(AND(Inputs!$B$38&lt;&gt;"pvp",Inputs!$B$43&gt;0),IF(MAX(0,Inputs!$B$43-B1102)&lt;=0,0,(INT(MAX(0,Inputs!$B$43-B1102)/IF(Inputs!$B$38="pvp",15,MAX(0.1,Skills!D5-IF(Skills!E5=TRUE,Inputs!$B$32,0))))+1)),0)</f>
        <v/>
      </c>
      <c r="S1070">
        <f>IFERROR(O1070/N1070,0)</f>
        <v/>
      </c>
      <c r="T1070">
        <f>IF(C1070,(H1070*N1070*IF(AND(Inputs!$B$38&lt;&gt;"pvp",Inputs!$B$43&gt;0),((Skills!G5*((R1070-1)*IF(Skills!H5&gt;0,Skills!I5/Skills!H5,1)+IF(Skills!H5&gt;0,MIN(Skills!I5,MAX(0,MAX(0,Inputs!$B$43-B1102)-((R1070-1)*IF(Inputs!$B$38="pvp",15,MAX(0.1,Skills!D5-IF(Skills!E5=TRUE,Inputs!$B$32,0))))))/Skills!H5,1)))/Inputs!$B$43),G1070*Q1070))*IF(Inputs!$B$38="pvp",1,1+(Inputs!$B$20+0+Skills!P5)/100),0)</f>
        <v/>
      </c>
      <c r="V1070">
        <f>IF(C1070,(H1070*N1070*IF(AND(Inputs!$B$38&lt;&gt;"pvp",Inputs!$B$43&gt;0),((Skills!G5*((R1070-1)*IF(Skills!H5&gt;0,Skills!I5/Skills!H5,1)+IF(Skills!H5&gt;0,MIN(Skills!I5,MAX(0,MAX(0,Inputs!$B$43-B1102)-((R1070-1)*IF(Inputs!$B$38="pvp",15,MAX(0.1,Skills!D5-IF(Skills!E5=TRUE,Inputs!$B$32,0))))))/Skills!H5,1)))/Inputs!$B$43),G1070*Q1070))*IF(Inputs!$B$38="pvp",1,(1+(Inputs!$B$21+Skills!Q5)/100)*(MIN(Skills!R5,Inputs!$B$37))),0)</f>
        <v/>
      </c>
    </row>
    <row r="1071">
      <c r="A1071">
        <f>Skills!A6</f>
        <v/>
      </c>
      <c r="B1071">
        <f>Skills!B6</f>
        <v/>
      </c>
      <c r="C1071">
        <f>Inputs!$B$3&gt;=63</f>
        <v/>
      </c>
      <c r="D1071">
        <f>IF(Skills!C6=1,60+Inputs!$B$25+Inputs!$B$29,IF(Skills!C6=2,90+Inputs!$B$26+Inputs!$B$29,IF(Skills!C6=3,120+Inputs!$B$27+Inputs!$B$29,MAX(0,(Inputs!$B$3-100)*3)+Inputs!$B$28+Inputs!$B$29)))</f>
        <v/>
      </c>
      <c r="E1071">
        <f>INDEX(FactorTable!$B$2:$Y$301, MATCH(ROUND(MIN(300,MAX(1,D1071)),0), FactorTable!$A$2:$A$301,0), Skills!M6+1)</f>
        <v/>
      </c>
      <c r="F1071">
        <f>IF(Skills!N6=TRUE,(Skills!L6/10)*(E1071/1000),Skills!L6/10)+Skills!O6</f>
        <v/>
      </c>
      <c r="G1071">
        <f>Skills!G6*IF(Skills!H6&gt;0,Skills!I6/Skills!H6,1)</f>
        <v/>
      </c>
      <c r="H1071">
        <f>1-(1-Skills!J6/100)^Skills!K6</f>
        <v/>
      </c>
      <c r="I1071" t="inlineStr">
        <is>
          <t>1</t>
        </is>
      </c>
      <c r="J1071">
        <f>((Inputs!$B$6*(1+Inputs!$B$7/100))+(((Inputs!$B$12*(1+Inputs!$B$13/100))-(Inputs!$B$12*(1+Inputs!$B$13/100)))+0.25*(Inputs!$B$14-Inputs!$B$14))*(1+Inputs!$B$7/100))*(F1071/100)</f>
        <v/>
      </c>
      <c r="K1071">
        <f>J1071*(1+((Inputs!$B$12*(1+Inputs!$B$13/100))*0.01+Inputs!$B$14*0.0025)/100)*(1+Inputs!$B$15/100)*(1+Inputs!$B$16/100)*(5000/(6000+Inputs!$B$42*(1-(Inputs!$B$19+0)/100)))*(1+(Inputs!$B$24+((C1091=TRUE)*(F1091-Calc!F26))+B1101)/100)*(1+2.0*IF(C1080=TRUE,F1080,0)/100)*(1+(IF(Skills!A6="EIGHT_LEGS_EASTON",Inputs!$B$17+((C1088=TRUE)*(F1088-Calc!F23))+((C1092=TRUE)*(F1092-Calc!F27)),Inputs!$B$18+0))/100)*((1+(((C1082=TRUE)*F1082)+((C1089=TRUE)*(F1089-Calc!F24)))/100)*I1071)</f>
        <v/>
      </c>
      <c r="L1071">
        <f>K1071*(MIN(Inputs!$B$22+((C1087=TRUE)*(F1087-Calc!F22)),Inputs!$B$23+0)/100+(Inputs!$B$23+0)/100)/2</f>
        <v/>
      </c>
      <c r="M1071">
        <f>L1071*(1+(Inputs!$B$10+((C1090=TRUE)*(F1090-Calc!F25))+B1100)/100)</f>
        <v/>
      </c>
      <c r="N1071">
        <f>L1071*(1-MIN((Inputs!$B$9+((C1084=TRUE)*(F1084-Calc!F19))+B1095),100)/100)+M1071*(MIN((Inputs!$B$9+((C1084=TRUE)*(F1084-Calc!F19))+B1095),100)/100)</f>
        <v/>
      </c>
      <c r="O1071">
        <f>(1-Summary!$B$55)*T1071+Summary!$B$55*V1071</f>
        <v/>
      </c>
      <c r="P1071">
        <f>IF(B1105=0,0,O1071/B1105)</f>
        <v/>
      </c>
      <c r="Q1071">
        <f>IFERROR(1/IF(Inputs!$B$38="pvp",15,MAX(0.1,Skills!D6-IF(Skills!E6=TRUE,Inputs!$B$32,0))),0)</f>
        <v/>
      </c>
      <c r="R1071">
        <f>IF(AND(Inputs!$B$38&lt;&gt;"pvp",Inputs!$B$43&gt;0),IF(MAX(0,Inputs!$B$43-B1102)&lt;=0,0,(INT(MAX(0,Inputs!$B$43-B1102)/IF(Inputs!$B$38="pvp",15,MAX(0.1,Skills!D6-IF(Skills!E6=TRUE,Inputs!$B$32,0))))+1)),0)</f>
        <v/>
      </c>
      <c r="S1071">
        <f>IFERROR(O1071/N1071,0)</f>
        <v/>
      </c>
      <c r="T1071">
        <f>IF(C1071,(H1071*N1071*IF(AND(Inputs!$B$38&lt;&gt;"pvp",Inputs!$B$43&gt;0),((Skills!G6*((R1071-1)*IF(Skills!H6&gt;0,Skills!I6/Skills!H6,1)+IF(Skills!H6&gt;0,MIN(Skills!I6,MAX(0,MAX(0,Inputs!$B$43-B1102)-((R1071-1)*IF(Inputs!$B$38="pvp",15,MAX(0.1,Skills!D6-IF(Skills!E6=TRUE,Inputs!$B$32,0))))))/Skills!H6,1)))/Inputs!$B$43),G1071*Q1071))*IF(Inputs!$B$38="pvp",1,1+(Inputs!$B$20+0+Skills!P6)/100),0)</f>
        <v/>
      </c>
      <c r="V1071">
        <f>IF(C1071,(H1071*N1071*IF(AND(Inputs!$B$38&lt;&gt;"pvp",Inputs!$B$43&gt;0),((Skills!G6*((R1071-1)*IF(Skills!H6&gt;0,Skills!I6/Skills!H6,1)+IF(Skills!H6&gt;0,MIN(Skills!I6,MAX(0,MAX(0,Inputs!$B$43-B1102)-((R1071-1)*IF(Inputs!$B$38="pvp",15,MAX(0.1,Skills!D6-IF(Skills!E6=TRUE,Inputs!$B$32,0))))))/Skills!H6,1)))/Inputs!$B$43),G1071*Q1071))*IF(Inputs!$B$38="pvp",1,(1+(Inputs!$B$21+Skills!Q6)/100)*(MIN(Skills!R6,Inputs!$B$37))),0)</f>
        <v/>
      </c>
    </row>
    <row r="1072">
      <c r="A1072">
        <f>Skills!A7</f>
        <v/>
      </c>
      <c r="B1072">
        <f>Skills!B7</f>
        <v/>
      </c>
      <c r="C1072">
        <f>Inputs!$B$3&gt;=66</f>
        <v/>
      </c>
      <c r="D1072">
        <f>IF(Skills!C7=1,60+Inputs!$B$25+Inputs!$B$29,IF(Skills!C7=2,90+Inputs!$B$26+Inputs!$B$29,IF(Skills!C7=3,120+Inputs!$B$27+Inputs!$B$29,MAX(0,(Inputs!$B$3-100)*3)+Inputs!$B$28+Inputs!$B$29)))</f>
        <v/>
      </c>
      <c r="E1072">
        <f>INDEX(FactorTable!$B$2:$Y$301, MATCH(ROUND(MIN(300,MAX(1,D1072)),0), FactorTable!$A$2:$A$301,0), Skills!M7+1)</f>
        <v/>
      </c>
      <c r="F1072">
        <f>IF(Skills!N7=TRUE,(Skills!L7/10)*(E1072/1000),Skills!L7/10)+Skills!O7</f>
        <v/>
      </c>
      <c r="G1072">
        <f>Skills!G7*IF(Skills!H7&gt;0,Skills!I7/Skills!H7,1)</f>
        <v/>
      </c>
      <c r="H1072">
        <f>1-(1-Skills!J7/100)^Skills!K7</f>
        <v/>
      </c>
      <c r="I1072" t="inlineStr">
        <is>
          <t>1</t>
        </is>
      </c>
      <c r="J1072">
        <f>((Inputs!$B$6*(1+Inputs!$B$7/100))+(((Inputs!$B$12*(1+Inputs!$B$13/100))-(Inputs!$B$12*(1+Inputs!$B$13/100)))+0.25*(Inputs!$B$14-Inputs!$B$14))*(1+Inputs!$B$7/100))*(F1072/100)</f>
        <v/>
      </c>
      <c r="K1072">
        <f>J1072*(1+((Inputs!$B$12*(1+Inputs!$B$13/100))*0.01+Inputs!$B$14*0.0025)/100)*(1+Inputs!$B$15/100)*(1+Inputs!$B$16/100)*(5000/(6000+Inputs!$B$42*(1-(Inputs!$B$19+0)/100)))*(1+(Inputs!$B$24+((C1091=TRUE)*(F1091-Calc!F26))+B1101)/100)*(1+1.0*IF(C1080=TRUE,F1080,0)/100)*(1+(IF(Skills!A7="EIGHT_LEGS_EASTON",Inputs!$B$17+((C1088=TRUE)*(F1088-Calc!F23))+((C1092=TRUE)*(F1092-Calc!F27)),Inputs!$B$18+0))/100)*((1+(((C1082=TRUE)*F1082)+((C1089=TRUE)*(F1089-Calc!F24)))/100)*I1072)</f>
        <v/>
      </c>
      <c r="L1072">
        <f>K1072*(MIN(Inputs!$B$22+((C1087=TRUE)*(F1087-Calc!F22)),Inputs!$B$23+0)/100+(Inputs!$B$23+0)/100)/2</f>
        <v/>
      </c>
      <c r="M1072">
        <f>L1072*(1+(Inputs!$B$10+((C1090=TRUE)*(F1090-Calc!F25))+B1100)/100)</f>
        <v/>
      </c>
      <c r="N1072">
        <f>L1072*(1-MIN((Inputs!$B$9+((C1084=TRUE)*(F1084-Calc!F19))+B1095),100)/100)+M1072*(MIN((Inputs!$B$9+((C1084=TRUE)*(F1084-Calc!F19))+B1095),100)/100)</f>
        <v/>
      </c>
      <c r="O1072">
        <f>(1-Summary!$B$55)*T1072+Summary!$B$55*V1072</f>
        <v/>
      </c>
      <c r="P1072">
        <f>IF(B1105=0,0,O1072/B1105)</f>
        <v/>
      </c>
      <c r="Q1072">
        <f>IFERROR(1/IF(Inputs!$B$38="pvp",15,MAX(0.1,Skills!D7-IF(Skills!E7=TRUE,Inputs!$B$32,0))),0)</f>
        <v/>
      </c>
      <c r="R1072">
        <f>IF(AND(Inputs!$B$38&lt;&gt;"pvp",Inputs!$B$43&gt;0),IF(MAX(0,Inputs!$B$43-B1102)&lt;=0,0,(INT(MAX(0,Inputs!$B$43-B1102)/IF(Inputs!$B$38="pvp",15,MAX(0.1,Skills!D7-IF(Skills!E7=TRUE,Inputs!$B$32,0))))+1)),0)</f>
        <v/>
      </c>
      <c r="S1072">
        <f>IFERROR(O1072/N1072,0)</f>
        <v/>
      </c>
      <c r="T1072">
        <f>IF(C1072,(H1072*N1072*IF(AND(Inputs!$B$38&lt;&gt;"pvp",Inputs!$B$43&gt;0),((Skills!G7*((R1072-1)*IF(Skills!H7&gt;0,Skills!I7/Skills!H7,1)+IF(Skills!H7&gt;0,MIN(Skills!I7,MAX(0,MAX(0,Inputs!$B$43-B1102)-((R1072-1)*IF(Inputs!$B$38="pvp",15,MAX(0.1,Skills!D7-IF(Skills!E7=TRUE,Inputs!$B$32,0))))))/Skills!H7,1)))/Inputs!$B$43),G1072*Q1072))*IF(Inputs!$B$38="pvp",1,1+(Inputs!$B$20+0+Skills!P7)/100),0)</f>
        <v/>
      </c>
      <c r="V1072">
        <f>IF(C1072,(H1072*N1072*IF(AND(Inputs!$B$38&lt;&gt;"pvp",Inputs!$B$43&gt;0),((Skills!G7*((R1072-1)*IF(Skills!H7&gt;0,Skills!I7/Skills!H7,1)+IF(Skills!H7&gt;0,MIN(Skills!I7,MAX(0,MAX(0,Inputs!$B$43-B1102)-((R1072-1)*IF(Inputs!$B$38="pvp",15,MAX(0.1,Skills!D7-IF(Skills!E7=TRUE,Inputs!$B$32,0))))))/Skills!H7,1)))/Inputs!$B$43),G1072*Q1072))*IF(Inputs!$B$38="pvp",1,(1+(Inputs!$B$21+Skills!Q7)/100)*(MIN(Skills!R7,Inputs!$B$37))),0)</f>
        <v/>
      </c>
    </row>
    <row r="1073">
      <c r="A1073">
        <f>Skills!A8</f>
        <v/>
      </c>
      <c r="B1073">
        <f>Skills!B8</f>
        <v/>
      </c>
      <c r="C1073">
        <f>Inputs!$B$3&gt;=100</f>
        <v/>
      </c>
      <c r="D1073">
        <f>IF(Skills!C8=1,60+Inputs!$B$25+Inputs!$B$29,IF(Skills!C8=2,90+Inputs!$B$26+Inputs!$B$29,IF(Skills!C8=3,120+Inputs!$B$27+Inputs!$B$29,MAX(0,(Inputs!$B$3-100)*3)+Inputs!$B$28+Inputs!$B$29)))</f>
        <v/>
      </c>
      <c r="E1073">
        <f>INDEX(FactorTable!$B$2:$Y$301, MATCH(ROUND(MIN(300,MAX(1,D1073)),0), FactorTable!$A$2:$A$301,0), Skills!M8+1)</f>
        <v/>
      </c>
      <c r="F1073">
        <f>IF(Skills!N8=TRUE,(Skills!L8/10)*(E1073/1000),Skills!L8/10)+Skills!O8</f>
        <v/>
      </c>
      <c r="G1073">
        <f>Skills!G8*IF(Skills!H8&gt;0,Skills!I8/Skills!H8,1)</f>
        <v/>
      </c>
      <c r="H1073">
        <f>1-(1-Skills!J8/100)^Skills!K8</f>
        <v/>
      </c>
      <c r="I1073" t="inlineStr">
        <is>
          <t>1</t>
        </is>
      </c>
      <c r="J1073">
        <f>((Inputs!$B$6*(1+Inputs!$B$7/100))+(((Inputs!$B$12*(1+Inputs!$B$13/100))-(Inputs!$B$12*(1+Inputs!$B$13/100)))+0.25*(Inputs!$B$14-Inputs!$B$14))*(1+Inputs!$B$7/100))*(F1073/100)</f>
        <v/>
      </c>
      <c r="K1073">
        <f>J1073*(1+((Inputs!$B$12*(1+Inputs!$B$13/100))*0.01+Inputs!$B$14*0.0025)/100)*(1+Inputs!$B$15/100)*(1+Inputs!$B$16/100)*(5000/(6000+Inputs!$B$42*(1-(Inputs!$B$19+0)/100)))*(1+(Inputs!$B$24+((C1091=TRUE)*(F1091-Calc!F26))+B1101)/100)*(1+(IF(Skills!A8="EIGHT_LEGS_EASTON",Inputs!$B$17+((C1088=TRUE)*(F1088-Calc!F23))+((C1092=TRUE)*(F1092-Calc!F27)),Inputs!$B$18+0))/100)*((1+(((C1082=TRUE)*F1082)+((C1089=TRUE)*(F1089-Calc!F24)))/100)*I1073)</f>
        <v/>
      </c>
      <c r="L1073">
        <f>K1073*(MIN(Inputs!$B$22+((C1087=TRUE)*(F1087-Calc!F22)),Inputs!$B$23+0)/100+(Inputs!$B$23+0)/100)/2</f>
        <v/>
      </c>
      <c r="M1073">
        <f>L1073*(1+(Inputs!$B$10+((C1090=TRUE)*(F1090-Calc!F25))+B1100)/100)</f>
        <v/>
      </c>
      <c r="N1073">
        <f>L1073*(1-MIN((Inputs!$B$9+((C1084=TRUE)*(F1084-Calc!F19))+B1095),100)/100)+M1073*(MIN((Inputs!$B$9+((C1084=TRUE)*(F1084-Calc!F19))+B1095),100)/100)</f>
        <v/>
      </c>
      <c r="O1073">
        <f>(1-Summary!$B$55)*T1073+Summary!$B$55*V1073</f>
        <v/>
      </c>
      <c r="P1073">
        <f>IF(B1105=0,0,O1073/B1105)</f>
        <v/>
      </c>
      <c r="Q1073">
        <f>IFERROR(1/IF(Inputs!$B$38="pvp",15,MAX(0.1,Skills!D8-IF(Skills!E8=TRUE,Inputs!$B$32,0))),0)</f>
        <v/>
      </c>
      <c r="R1073">
        <f>IF(AND(Inputs!$B$38&lt;&gt;"pvp",Inputs!$B$43&gt;0),IF(MAX(0,Inputs!$B$43-B1102)&lt;=0,0,(INT(MAX(0,Inputs!$B$43-B1102)/IF(Inputs!$B$38="pvp",15,MAX(0.1,Skills!D8-IF(Skills!E8=TRUE,Inputs!$B$32,0))))+1)),0)</f>
        <v/>
      </c>
      <c r="S1073">
        <f>IFERROR(O1073/N1073,0)</f>
        <v/>
      </c>
      <c r="T1073">
        <f>IF(C1073,(H1073*N1073*IF(AND(Inputs!$B$38&lt;&gt;"pvp",Inputs!$B$43&gt;0),((Skills!G8*((R1073-1)*IF(Skills!H8&gt;0,Skills!I8/Skills!H8,1)+IF(Skills!H8&gt;0,MIN(Skills!I8,MAX(0,MAX(0,Inputs!$B$43-B1102)-((R1073-1)*IF(Inputs!$B$38="pvp",15,MAX(0.1,Skills!D8-IF(Skills!E8=TRUE,Inputs!$B$32,0))))))/Skills!H8,1)))/Inputs!$B$43),G1073*Q1073))*IF(Inputs!$B$38="pvp",1,1+(Inputs!$B$20+0+Skills!P8)/100),0)</f>
        <v/>
      </c>
      <c r="V1073">
        <f>IF(C1073,(H1073*N1073*IF(AND(Inputs!$B$38&lt;&gt;"pvp",Inputs!$B$43&gt;0),((Skills!G8*((R1073-1)*IF(Skills!H8&gt;0,Skills!I8/Skills!H8,1)+IF(Skills!H8&gt;0,MIN(Skills!I8,MAX(0,MAX(0,Inputs!$B$43-B1102)-((R1073-1)*IF(Inputs!$B$38="pvp",15,MAX(0.1,Skills!D8-IF(Skills!E8=TRUE,Inputs!$B$32,0))))))/Skills!H8,1)))/Inputs!$B$43),G1073*Q1073))*IF(Inputs!$B$38="pvp",1,(1+(Inputs!$B$21+Skills!Q8)/100)*(MIN(Skills!R8,Inputs!$B$37))),0)</f>
        <v/>
      </c>
    </row>
    <row r="1074">
      <c r="A1074">
        <f>Skills!A9</f>
        <v/>
      </c>
      <c r="B1074">
        <f>Skills!B9</f>
        <v/>
      </c>
      <c r="C1074">
        <f>Inputs!$B$3&gt;=103</f>
        <v/>
      </c>
      <c r="D1074">
        <f>IF(Skills!C9=1,60+Inputs!$B$25+Inputs!$B$29,IF(Skills!C9=2,90+Inputs!$B$26+Inputs!$B$29,IF(Skills!C9=3,120+Inputs!$B$27+Inputs!$B$29,MAX(0,(Inputs!$B$3-100)*3)+Inputs!$B$28+Inputs!$B$29)))</f>
        <v/>
      </c>
      <c r="E1074">
        <f>INDEX(FactorTable!$B$2:$Y$301, MATCH(ROUND(MIN(300,MAX(1,D1074)),0), FactorTable!$A$2:$A$301,0), Skills!M9+1)</f>
        <v/>
      </c>
      <c r="F1074">
        <f>IF(Skills!N9=TRUE,(Skills!L9/10)*(E1074/1000),Skills!L9/10)+Skills!O9</f>
        <v/>
      </c>
      <c r="G1074">
        <f>Skills!G9*IF(Skills!H9&gt;0,Skills!I9/Skills!H9,1)</f>
        <v/>
      </c>
      <c r="H1074">
        <f>1-(1-Skills!J9/100)^Skills!K9</f>
        <v/>
      </c>
      <c r="I1074" t="inlineStr">
        <is>
          <t>1</t>
        </is>
      </c>
      <c r="J1074">
        <f>((Inputs!$B$6*(1+Inputs!$B$7/100))+(((Inputs!$B$12*(1+Inputs!$B$13/100))-(Inputs!$B$12*(1+Inputs!$B$13/100)))+0.25*(Inputs!$B$14-Inputs!$B$14))*(1+Inputs!$B$7/100))*(F1074/100)</f>
        <v/>
      </c>
      <c r="K1074">
        <f>J1074*(1+((Inputs!$B$12*(1+Inputs!$B$13/100))*0.01+Inputs!$B$14*0.0025)/100)*(1+Inputs!$B$15/100)*(1+Inputs!$B$16/100)*(5000/(6000+Inputs!$B$42*(1-(Inputs!$B$19+0)/100)))*(1+(Inputs!$B$24+((C1091=TRUE)*(F1091-Calc!F26))+B1101)/100)*(1+(IF(Skills!A9="EIGHT_LEGS_EASTON",Inputs!$B$17+((C1088=TRUE)*(F1088-Calc!F23))+((C1092=TRUE)*(F1092-Calc!F27)),Inputs!$B$18+0))/100)*((1+(((C1082=TRUE)*F1082)+((C1089=TRUE)*(F1089-Calc!F24)))/100)*I1074)</f>
        <v/>
      </c>
      <c r="L1074">
        <f>K1074*(MIN(Inputs!$B$22+((C1087=TRUE)*(F1087-Calc!F22)),Inputs!$B$23+0)/100+(Inputs!$B$23+0)/100)/2</f>
        <v/>
      </c>
      <c r="M1074">
        <f>L1074*(1+(Inputs!$B$10+((C1090=TRUE)*(F1090-Calc!F25))+B1100)/100)</f>
        <v/>
      </c>
      <c r="N1074">
        <f>L1074*(1-MIN((Inputs!$B$9+((C1084=TRUE)*(F1084-Calc!F19))+B1095),100)/100)+M1074*(MIN((Inputs!$B$9+((C1084=TRUE)*(F1084-Calc!F19))+B1095),100)/100)</f>
        <v/>
      </c>
      <c r="O1074">
        <f>(1-Summary!$B$55)*T1074+Summary!$B$55*V1074</f>
        <v/>
      </c>
      <c r="P1074">
        <f>IF(B1105=0,0,O1074/B1105)</f>
        <v/>
      </c>
      <c r="Q1074">
        <f>IFERROR(1/IF(Inputs!$B$38="pvp",15,MAX(0.1,Skills!D9-IF(Skills!E9=TRUE,Inputs!$B$32,0))),0)</f>
        <v/>
      </c>
      <c r="R1074">
        <f>IF(AND(Inputs!$B$38&lt;&gt;"pvp",Inputs!$B$43&gt;0),IF(MAX(0,Inputs!$B$43-B1102)&lt;=0,0,(INT(MAX(0,Inputs!$B$43-B1102)/IF(Inputs!$B$38="pvp",15,MAX(0.1,Skills!D9-IF(Skills!E9=TRUE,Inputs!$B$32,0))))+1)),0)</f>
        <v/>
      </c>
      <c r="S1074">
        <f>IFERROR(O1074/N1074,0)</f>
        <v/>
      </c>
      <c r="T1074">
        <f>IF(C1074,(H1074*N1074*IF(AND(Inputs!$B$38&lt;&gt;"pvp",Inputs!$B$43&gt;0),((Skills!G9*((R1074-1)*IF(Skills!H9&gt;0,Skills!I9/Skills!H9,1)+IF(Skills!H9&gt;0,MIN(Skills!I9,MAX(0,MAX(0,Inputs!$B$43-B1102)-((R1074-1)*IF(Inputs!$B$38="pvp",15,MAX(0.1,Skills!D9-IF(Skills!E9=TRUE,Inputs!$B$32,0))))))/Skills!H9,1)))/Inputs!$B$43),G1074*Q1074))*IF(Inputs!$B$38="pvp",1,1+(Inputs!$B$20+0+Skills!P9)/100),0)</f>
        <v/>
      </c>
      <c r="V1074">
        <f>IF(C1074,(H1074*N1074*IF(AND(Inputs!$B$38&lt;&gt;"pvp",Inputs!$B$43&gt;0),((Skills!G9*((R1074-1)*IF(Skills!H9&gt;0,Skills!I9/Skills!H9,1)+IF(Skills!H9&gt;0,MIN(Skills!I9,MAX(0,MAX(0,Inputs!$B$43-B1102)-((R1074-1)*IF(Inputs!$B$38="pvp",15,MAX(0.1,Skills!D9-IF(Skills!E9=TRUE,Inputs!$B$32,0))))))/Skills!H9,1)))/Inputs!$B$43),G1074*Q1074))*IF(Inputs!$B$38="pvp",1,(1+(Inputs!$B$21+Skills!Q9)/100)*(MIN(Skills!R9,Inputs!$B$37))),0)</f>
        <v/>
      </c>
    </row>
    <row r="1075">
      <c r="A1075">
        <f>Skills!A10</f>
        <v/>
      </c>
      <c r="B1075">
        <f>Skills!B10</f>
        <v/>
      </c>
      <c r="C1075">
        <f>Inputs!$B$3&gt;=113</f>
        <v/>
      </c>
      <c r="D1075">
        <f>IF(Skills!C10=1,60+Inputs!$B$25+Inputs!$B$29,IF(Skills!C10=2,90+Inputs!$B$26+Inputs!$B$29,IF(Skills!C10=3,120+Inputs!$B$27+Inputs!$B$29,MAX(0,(Inputs!$B$3-100)*3)+Inputs!$B$28+Inputs!$B$29)))</f>
        <v/>
      </c>
      <c r="E1075">
        <f>INDEX(FactorTable!$B$2:$Y$301, MATCH(ROUND(MIN(300,MAX(1,D1075)),0), FactorTable!$A$2:$A$301,0), Skills!M10+1)</f>
        <v/>
      </c>
      <c r="F1075">
        <f>IF(Skills!N10=TRUE,(Skills!L10/10)*(E1075/1000),Skills!L10/10)+Skills!O10</f>
        <v/>
      </c>
      <c r="G1075">
        <f>Skills!G10*IF(Skills!H10&gt;0,Skills!I10/Skills!H10,1)</f>
        <v/>
      </c>
      <c r="H1075">
        <f>1-(1-Skills!J10/100)^Skills!K10</f>
        <v/>
      </c>
      <c r="I1075" t="inlineStr">
        <is>
          <t>1</t>
        </is>
      </c>
      <c r="J1075">
        <f>((Inputs!$B$6*(1+Inputs!$B$7/100))+(((Inputs!$B$12*(1+Inputs!$B$13/100))-(Inputs!$B$12*(1+Inputs!$B$13/100)))+0.25*(Inputs!$B$14-Inputs!$B$14))*(1+Inputs!$B$7/100))*(F1075/100)</f>
        <v/>
      </c>
      <c r="K1075">
        <f>J1075*(1+((Inputs!$B$12*(1+Inputs!$B$13/100))*0.01+Inputs!$B$14*0.0025)/100)*(1+Inputs!$B$15/100)*(1+Inputs!$B$16/100)*(5000/(6000+Inputs!$B$42*(1-(Inputs!$B$19+0)/100)))*(1+(Inputs!$B$24+((C1091=TRUE)*(F1091-Calc!F26))+B1101)/100)*(1+(IF(Skills!A10="EIGHT_LEGS_EASTON",Inputs!$B$17+((C1088=TRUE)*(F1088-Calc!F23))+((C1092=TRUE)*(F1092-Calc!F27)),Inputs!$B$18+0))/100)*((1+(((C1082=TRUE)*F1082)+((C1089=TRUE)*(F1089-Calc!F24)))/100)*I1075)</f>
        <v/>
      </c>
      <c r="L1075">
        <f>K1075*(MIN(Inputs!$B$22+((C1087=TRUE)*(F1087-Calc!F22)),Inputs!$B$23+0)/100+(Inputs!$B$23+0)/100)/2</f>
        <v/>
      </c>
      <c r="M1075">
        <f>L1075*(1+(Inputs!$B$10+((C1090=TRUE)*(F1090-Calc!F25))+B1100)/100)</f>
        <v/>
      </c>
      <c r="N1075">
        <f>L1075*(1-MIN((Inputs!$B$9+((C1084=TRUE)*(F1084-Calc!F19))+B1095),100)/100)+M1075*(MIN((Inputs!$B$9+((C1084=TRUE)*(F1084-Calc!F19))+B1095),100)/100)</f>
        <v/>
      </c>
      <c r="O1075">
        <f>(1-Summary!$B$55)*T1075+Summary!$B$55*V1075</f>
        <v/>
      </c>
      <c r="P1075">
        <f>IF(B1105=0,0,O1075/B1105)</f>
        <v/>
      </c>
      <c r="Q1075">
        <f>IFERROR(1/IF(Inputs!$B$38="pvp",15,MAX(0.1,Skills!D10-IF(Skills!E10=TRUE,Inputs!$B$32,0))),0)</f>
        <v/>
      </c>
      <c r="R1075">
        <f>IF(AND(Inputs!$B$38&lt;&gt;"pvp",Inputs!$B$43&gt;0),IF(MAX(0,Inputs!$B$43-B1102)&lt;=0,0,(INT(MAX(0,Inputs!$B$43-B1102)/IF(Inputs!$B$38="pvp",15,MAX(0.1,Skills!D10-IF(Skills!E10=TRUE,Inputs!$B$32,0))))+1)),0)</f>
        <v/>
      </c>
      <c r="S1075">
        <f>IFERROR(O1075/N1075,0)</f>
        <v/>
      </c>
      <c r="T1075">
        <f>IF(C1075,(H1075*N1075*IF(AND(Inputs!$B$38&lt;&gt;"pvp",Inputs!$B$43&gt;0),((Skills!G10*((R1075-1)*IF(Skills!H10&gt;0,Skills!I10/Skills!H10,1)+IF(Skills!H10&gt;0,MIN(Skills!I10,MAX(0,MAX(0,Inputs!$B$43-B1102)-((R1075-1)*IF(Inputs!$B$38="pvp",15,MAX(0.1,Skills!D10-IF(Skills!E10=TRUE,Inputs!$B$32,0))))))/Skills!H10,1)))/Inputs!$B$43),G1075*Q1075))*IF(Inputs!$B$38="pvp",1,1+(Inputs!$B$20+0+Skills!P10)/100),0)</f>
        <v/>
      </c>
      <c r="V1075">
        <f>IF(C1075,(H1075*N1075*IF(AND(Inputs!$B$38&lt;&gt;"pvp",Inputs!$B$43&gt;0),((Skills!G10*((R1075-1)*IF(Skills!H10&gt;0,Skills!I10/Skills!H10,1)+IF(Skills!H10&gt;0,MIN(Skills!I10,MAX(0,MAX(0,Inputs!$B$43-B1102)-((R1075-1)*IF(Inputs!$B$38="pvp",15,MAX(0.1,Skills!D10-IF(Skills!E10=TRUE,Inputs!$B$32,0))))))/Skills!H10,1)))/Inputs!$B$43),G1075*Q1075))*IF(Inputs!$B$38="pvp",1,(1+(Inputs!$B$21+Skills!Q10)/100)*(MIN(Skills!R10,Inputs!$B$37))),0)</f>
        <v/>
      </c>
    </row>
    <row r="1076">
      <c r="A1076">
        <f>Skills!A11</f>
        <v/>
      </c>
      <c r="B1076">
        <f>Skills!B11</f>
        <v/>
      </c>
      <c r="C1076">
        <f>Inputs!$B$3&gt;=107</f>
        <v/>
      </c>
      <c r="D1076">
        <f>IF(Skills!C11=1,60+Inputs!$B$25+Inputs!$B$29,IF(Skills!C11=2,90+Inputs!$B$26+Inputs!$B$29,IF(Skills!C11=3,120+Inputs!$B$27+Inputs!$B$29,MAX(0,(Inputs!$B$3-100)*3)+Inputs!$B$28+Inputs!$B$29)))</f>
        <v/>
      </c>
      <c r="E1076">
        <f>INDEX(FactorTable!$B$2:$Y$301, MATCH(ROUND(MIN(300,MAX(1,D1076)),0), FactorTable!$A$2:$A$301,0), Skills!M11+1)</f>
        <v/>
      </c>
      <c r="F1076">
        <f>IF(Skills!N11=TRUE,(Skills!L11/10)*(E1076/1000),Skills!L11/10)+Skills!O11</f>
        <v/>
      </c>
      <c r="G1076">
        <f>Skills!G11*IF(Skills!H11&gt;0,Skills!I11/Skills!H11,1)</f>
        <v/>
      </c>
      <c r="H1076">
        <f>1-(1-Skills!J11/100)^Skills!K11</f>
        <v/>
      </c>
      <c r="I1076" t="inlineStr">
        <is>
          <t>1</t>
        </is>
      </c>
      <c r="J1076">
        <f>((Inputs!$B$6*(1+Inputs!$B$7/100))+(((Inputs!$B$12*(1+Inputs!$B$13/100))-(Inputs!$B$12*(1+Inputs!$B$13/100)))+0.25*(Inputs!$B$14-Inputs!$B$14))*(1+Inputs!$B$7/100))*(F1076/100)</f>
        <v/>
      </c>
      <c r="K1076">
        <f>J1076*(1+((Inputs!$B$12*(1+Inputs!$B$13/100))*0.01+Inputs!$B$14*0.0025)/100)*(1+Inputs!$B$15/100)*(1+Inputs!$B$16/100)*(5000/(6000+Inputs!$B$42*(1-(Inputs!$B$19+0)/100)))*(1+(Inputs!$B$24+((C1091=TRUE)*(F1091-Calc!F26))+B1101)/100)*(1+(IF(Skills!A11="EIGHT_LEGS_EASTON",Inputs!$B$17+((C1088=TRUE)*(F1088-Calc!F23))+((C1092=TRUE)*(F1092-Calc!F27)),Inputs!$B$18+0))/100)*((1+(((C1082=TRUE)*F1082)+((C1089=TRUE)*(F1089-Calc!F24)))/100)*I1076)</f>
        <v/>
      </c>
      <c r="L1076">
        <f>K1076*(MIN(Inputs!$B$22+((C1087=TRUE)*(F1087-Calc!F22)),Inputs!$B$23+0)/100+(Inputs!$B$23+0)/100)/2</f>
        <v/>
      </c>
      <c r="M1076">
        <f>L1076*(1+(Inputs!$B$10+((C1090=TRUE)*(F1090-Calc!F25))+B1100)/100)</f>
        <v/>
      </c>
      <c r="N1076">
        <f>L1076*(1-MIN((Inputs!$B$9+((C1084=TRUE)*(F1084-Calc!F19))+B1095),100)/100)+M1076*(MIN((Inputs!$B$9+((C1084=TRUE)*(F1084-Calc!F19))+B1095),100)/100)</f>
        <v/>
      </c>
      <c r="O1076">
        <f>(1-Summary!$B$55)*T1076+Summary!$B$55*V1076</f>
        <v/>
      </c>
      <c r="P1076">
        <f>IF(B1105=0,0,O1076/B1105)</f>
        <v/>
      </c>
      <c r="Q1076">
        <f>IFERROR(1/IF(Inputs!$B$38="pvp",15,MAX(0.1,Skills!D11-IF(Skills!E11=TRUE,Inputs!$B$32,0))),0)</f>
        <v/>
      </c>
      <c r="R1076">
        <f>IF(AND(Inputs!$B$38&lt;&gt;"pvp",Inputs!$B$43&gt;0),IF(MAX(0,Inputs!$B$43-B1102)&lt;=0,0,(INT(MAX(0,Inputs!$B$43-B1102)/IF(Inputs!$B$38="pvp",15,MAX(0.1,Skills!D11-IF(Skills!E11=TRUE,Inputs!$B$32,0))))+1)),0)</f>
        <v/>
      </c>
      <c r="S1076">
        <f>IFERROR(O1076/N1076,0)</f>
        <v/>
      </c>
      <c r="T1076">
        <f>IF(C1076,(H1076*N1076*IF(AND(Inputs!$B$38&lt;&gt;"pvp",Inputs!$B$43&gt;0),((Skills!G11*((R1076-1)*IF(Skills!H11&gt;0,Skills!I11/Skills!H11,1)+IF(Skills!H11&gt;0,MIN(Skills!I11,MAX(0,MAX(0,Inputs!$B$43-B1102)-((R1076-1)*IF(Inputs!$B$38="pvp",15,MAX(0.1,Skills!D11-IF(Skills!E11=TRUE,Inputs!$B$32,0))))))/Skills!H11,1)))/Inputs!$B$43),G1076*Q1076))*IF(Inputs!$B$38="pvp",1,1+(Inputs!$B$20+0+Skills!P11)/100),0)</f>
        <v/>
      </c>
      <c r="V1076">
        <f>IF(C1076,(H1076*N1076*IF(AND(Inputs!$B$38&lt;&gt;"pvp",Inputs!$B$43&gt;0),((Skills!G11*((R1076-1)*IF(Skills!H11&gt;0,Skills!I11/Skills!H11,1)+IF(Skills!H11&gt;0,MIN(Skills!I11,MAX(0,MAX(0,Inputs!$B$43-B1102)-((R1076-1)*IF(Inputs!$B$38="pvp",15,MAX(0.1,Skills!D11-IF(Skills!E11=TRUE,Inputs!$B$32,0))))))/Skills!H11,1)))/Inputs!$B$43),G1076*Q1076))*IF(Inputs!$B$38="pvp",1,(1+(Inputs!$B$21+Skills!Q11)/100)*(MIN(Skills!R11,Inputs!$B$37))),0)</f>
        <v/>
      </c>
    </row>
    <row r="1077">
      <c r="A1077">
        <f>Skills!A12</f>
        <v/>
      </c>
      <c r="B1077">
        <f>Skills!B12</f>
        <v/>
      </c>
      <c r="C1077">
        <f>Inputs!$B$3&gt;=110</f>
        <v/>
      </c>
      <c r="D1077">
        <f>IF(Skills!C12=1,60+Inputs!$B$25+Inputs!$B$29,IF(Skills!C12=2,90+Inputs!$B$26+Inputs!$B$29,IF(Skills!C12=3,120+Inputs!$B$27+Inputs!$B$29,MAX(0,(Inputs!$B$3-100)*3)+Inputs!$B$28+Inputs!$B$29)))</f>
        <v/>
      </c>
      <c r="E1077">
        <f>INDEX(FactorTable!$B$2:$Y$301, MATCH(ROUND(MIN(300,MAX(1,D1077)),0), FactorTable!$A$2:$A$301,0), Skills!M12+1)</f>
        <v/>
      </c>
      <c r="F1077">
        <f>IF(Skills!N12=TRUE,(Skills!L12/10)*(E1077/1000),Skills!L12/10)+Skills!O12</f>
        <v/>
      </c>
      <c r="G1077">
        <f>Skills!G12*IF(Skills!H12&gt;0,Skills!I12/Skills!H12,1)</f>
        <v/>
      </c>
      <c r="H1077">
        <f>1-(1-Skills!J12/100)^Skills!K12</f>
        <v/>
      </c>
      <c r="I1077" t="inlineStr">
        <is>
          <t>1</t>
        </is>
      </c>
      <c r="J1077">
        <f>((Inputs!$B$6*(1+Inputs!$B$7/100))+(((Inputs!$B$12*(1+Inputs!$B$13/100))-(Inputs!$B$12*(1+Inputs!$B$13/100)))+0.25*(Inputs!$B$14-Inputs!$B$14))*(1+Inputs!$B$7/100))*(F1077/100)</f>
        <v/>
      </c>
      <c r="K1077">
        <f>J1077*(1+((Inputs!$B$12*(1+Inputs!$B$13/100))*0.01+Inputs!$B$14*0.0025)/100)*(1+Inputs!$B$15/100)*(1+Inputs!$B$16/100)*(5000/(6000+Inputs!$B$42*(1-(Inputs!$B$19+0)/100)))*(1+(Inputs!$B$24+((C1091=TRUE)*(F1091-Calc!F26))+B1101)/100)*(1+(IF(Skills!A12="EIGHT_LEGS_EASTON",Inputs!$B$17+((C1088=TRUE)*(F1088-Calc!F23))+((C1092=TRUE)*(F1092-Calc!F27)),Inputs!$B$18+0))/100)*((1+(((C1082=TRUE)*F1082)+((C1089=TRUE)*(F1089-Calc!F24)))/100)*I1077)</f>
        <v/>
      </c>
      <c r="L1077">
        <f>K1077*(MIN(Inputs!$B$22+((C1087=TRUE)*(F1087-Calc!F22)),Inputs!$B$23+0)/100+(Inputs!$B$23+0)/100)/2</f>
        <v/>
      </c>
      <c r="M1077">
        <f>L1077*(1+(Inputs!$B$10+((C1090=TRUE)*(F1090-Calc!F25))+B1100)/100)</f>
        <v/>
      </c>
      <c r="N1077">
        <f>L1077*(1-MIN((Inputs!$B$9+((C1084=TRUE)*(F1084-Calc!F19))+B1095),100)/100)+M1077*(MIN((Inputs!$B$9+((C1084=TRUE)*(F1084-Calc!F19))+B1095),100)/100)</f>
        <v/>
      </c>
      <c r="O1077">
        <f>(1-Summary!$B$55)*T1077+Summary!$B$55*V1077</f>
        <v/>
      </c>
      <c r="P1077">
        <f>IF(B1105=0,0,O1077/B1105)</f>
        <v/>
      </c>
      <c r="Q1077">
        <f>IFERROR(1/IF(Inputs!$B$38="pvp",15,MAX(0.1,Skills!D12-IF(Skills!E12=TRUE,Inputs!$B$32,0))),0)</f>
        <v/>
      </c>
      <c r="R1077">
        <f>IF(AND(Inputs!$B$38&lt;&gt;"pvp",Inputs!$B$43&gt;0),IF(MAX(0,Inputs!$B$43-B1102)&lt;=0,0,(INT(MAX(0,Inputs!$B$43-B1102)/IF(Inputs!$B$38="pvp",15,MAX(0.1,Skills!D12-IF(Skills!E12=TRUE,Inputs!$B$32,0))))+1)),0)</f>
        <v/>
      </c>
      <c r="S1077">
        <f>IFERROR(O1077/N1077,0)</f>
        <v/>
      </c>
      <c r="T1077">
        <f>IF(C1077,(H1077*N1077*IF(AND(Inputs!$B$38&lt;&gt;"pvp",Inputs!$B$43&gt;0),((Skills!G12*((R1077-1)*IF(Skills!H12&gt;0,Skills!I12/Skills!H12,1)+IF(Skills!H12&gt;0,MIN(Skills!I12,MAX(0,MAX(0,Inputs!$B$43-B1102)-((R1077-1)*IF(Inputs!$B$38="pvp",15,MAX(0.1,Skills!D12-IF(Skills!E12=TRUE,Inputs!$B$32,0))))))/Skills!H12,1)))/Inputs!$B$43),G1077*Q1077))*IF(Inputs!$B$38="pvp",1,1+(Inputs!$B$20+0+Skills!P12)/100),0)</f>
        <v/>
      </c>
      <c r="V1077">
        <f>IF(C1077,(H1077*N1077*IF(AND(Inputs!$B$38&lt;&gt;"pvp",Inputs!$B$43&gt;0),((Skills!G12*((R1077-1)*IF(Skills!H12&gt;0,Skills!I12/Skills!H12,1)+IF(Skills!H12&gt;0,MIN(Skills!I12,MAX(0,MAX(0,Inputs!$B$43-B1102)-((R1077-1)*IF(Inputs!$B$38="pvp",15,MAX(0.1,Skills!D12-IF(Skills!E12=TRUE,Inputs!$B$32,0))))))/Skills!H12,1)))/Inputs!$B$43),G1077*Q1077))*IF(Inputs!$B$38="pvp",1,(1+(Inputs!$B$21+Skills!Q12)/100)*(MIN(Skills!R12,Inputs!$B$37))),0)</f>
        <v/>
      </c>
    </row>
    <row r="1078">
      <c r="A1078">
        <f>Skills!A13</f>
        <v/>
      </c>
      <c r="B1078">
        <f>Skills!B13</f>
        <v/>
      </c>
      <c r="C1078">
        <f>Inputs!$B$3&gt;=110</f>
        <v/>
      </c>
      <c r="D1078">
        <f>IF(Skills!C13=1,60+Inputs!$B$25+Inputs!$B$29,IF(Skills!C13=2,90+Inputs!$B$26+Inputs!$B$29,IF(Skills!C13=3,120+Inputs!$B$27+Inputs!$B$29,MAX(0,(Inputs!$B$3-100)*3)+Inputs!$B$28+Inputs!$B$29)))</f>
        <v/>
      </c>
      <c r="E1078">
        <f>INDEX(FactorTable!$B$2:$Y$301, MATCH(ROUND(MIN(300,MAX(1,D1078)),0), FactorTable!$A$2:$A$301,0), Skills!M13+1)</f>
        <v/>
      </c>
      <c r="F1078">
        <f>IF(Skills!N13=TRUE,(Skills!L13/10)*(E1078/1000),Skills!L13/10)+Skills!O13</f>
        <v/>
      </c>
      <c r="G1078">
        <f>Skills!G13*IF(Skills!H13&gt;0,Skills!I13/Skills!H13,1)</f>
        <v/>
      </c>
      <c r="H1078">
        <f>1-(1-Skills!J13/100)^Skills!K13</f>
        <v/>
      </c>
      <c r="I1078" t="inlineStr">
        <is>
          <t>1</t>
        </is>
      </c>
      <c r="J1078">
        <f>((Inputs!$B$6*(1+Inputs!$B$7/100))+(((Inputs!$B$12*(1+Inputs!$B$13/100))-(Inputs!$B$12*(1+Inputs!$B$13/100)))+0.25*(Inputs!$B$14-Inputs!$B$14))*(1+Inputs!$B$7/100))*(F1078/100)</f>
        <v/>
      </c>
      <c r="K1078">
        <f>J1078*(1+((Inputs!$B$12*(1+Inputs!$B$13/100))*0.01+Inputs!$B$14*0.0025)/100)*(1+Inputs!$B$15/100)*(1+Inputs!$B$16/100)*(5000/(6000+Inputs!$B$42*(1-(Inputs!$B$19+0)/100)))*(1+(Inputs!$B$24+((C1091=TRUE)*(F1091-Calc!F26))+B1101)/100)*(1+(IF(Skills!A13="EIGHT_LEGS_EASTON",Inputs!$B$17+((C1088=TRUE)*(F1088-Calc!F23))+((C1092=TRUE)*(F1092-Calc!F27)),Inputs!$B$18+0))/100)*((1+(((C1082=TRUE)*F1082)+((C1089=TRUE)*(F1089-Calc!F24)))/100)*I1078)</f>
        <v/>
      </c>
      <c r="L1078">
        <f>K1078*(MIN(Inputs!$B$22+((C1087=TRUE)*(F1087-Calc!F22)),Inputs!$B$23+0)/100+(Inputs!$B$23+0)/100)/2</f>
        <v/>
      </c>
      <c r="M1078">
        <f>L1078*(1+(Inputs!$B$10+((C1090=TRUE)*(F1090-Calc!F25))+B1100)/100)</f>
        <v/>
      </c>
      <c r="N1078">
        <f>L1078*(1-MIN((Inputs!$B$9+((C1084=TRUE)*(F1084-Calc!F19))+B1095),100)/100)+M1078*(MIN((Inputs!$B$9+((C1084=TRUE)*(F1084-Calc!F19))+B1095),100)/100)</f>
        <v/>
      </c>
      <c r="O1078">
        <f>(1-Summary!$B$55)*T1078+Summary!$B$55*V1078</f>
        <v/>
      </c>
      <c r="P1078">
        <f>IF(B1105=0,0,O1078/B1105)</f>
        <v/>
      </c>
      <c r="Q1078">
        <f>IFERROR(1/IF(Inputs!$B$38="pvp",15,MAX(0.1,Skills!D13-IF(Skills!E13=TRUE,Inputs!$B$32,0))),0)</f>
        <v/>
      </c>
      <c r="R1078">
        <f>IF(AND(Inputs!$B$38&lt;&gt;"pvp",Inputs!$B$43&gt;0),IF(MAX(0,Inputs!$B$43-B1102)&lt;=0,0,(INT(MAX(0,Inputs!$B$43-B1102)/IF(Inputs!$B$38="pvp",15,MAX(0.1,Skills!D13-IF(Skills!E13=TRUE,Inputs!$B$32,0))))+1)),0)</f>
        <v/>
      </c>
      <c r="S1078">
        <f>IFERROR(O1078/N1078,0)</f>
        <v/>
      </c>
      <c r="T1078">
        <f>IF(C1078,(H1078*N1078*IF(AND(Inputs!$B$38&lt;&gt;"pvp",Inputs!$B$43&gt;0),((Skills!G13*((R1078-1)*IF(Skills!H13&gt;0,Skills!I13/Skills!H13,1)+IF(Skills!H13&gt;0,MIN(Skills!I13,MAX(0,MAX(0,Inputs!$B$43-B1102)-((R1078-1)*IF(Inputs!$B$38="pvp",15,MAX(0.1,Skills!D13-IF(Skills!E13=TRUE,Inputs!$B$32,0))))))/Skills!H13,1)))/Inputs!$B$43),G1078*Q1078))*IF(Inputs!$B$38="pvp",1,1+(Inputs!$B$20+0+Skills!P13)/100),0)</f>
        <v/>
      </c>
      <c r="V1078">
        <f>IF(C1078,(H1078*N1078*IF(AND(Inputs!$B$38&lt;&gt;"pvp",Inputs!$B$43&gt;0),((Skills!G13*((R1078-1)*IF(Skills!H13&gt;0,Skills!I13/Skills!H13,1)+IF(Skills!H13&gt;0,MIN(Skills!I13,MAX(0,MAX(0,Inputs!$B$43-B1102)-((R1078-1)*IF(Inputs!$B$38="pvp",15,MAX(0.1,Skills!D13-IF(Skills!E13=TRUE,Inputs!$B$32,0))))))/Skills!H13,1)))/Inputs!$B$43),G1078*Q1078))*IF(Inputs!$B$38="pvp",1,(1+(Inputs!$B$21+Skills!Q13)/100)*(MIN(Skills!R13,Inputs!$B$37))),0)</f>
        <v/>
      </c>
    </row>
    <row r="1079">
      <c r="A1079">
        <f>Skills!A14</f>
        <v/>
      </c>
      <c r="B1079">
        <f>Skills!B14</f>
        <v/>
      </c>
      <c r="C1079">
        <f>Inputs!$B$3&gt;=125</f>
        <v/>
      </c>
      <c r="D1079">
        <f>IF(Skills!C14=1,60+Inputs!$B$25+Inputs!$B$29,IF(Skills!C14=2,90+Inputs!$B$26+Inputs!$B$29,IF(Skills!C14=3,120+Inputs!$B$27+Inputs!$B$29,MAX(0,(Inputs!$B$3-100)*3)+Inputs!$B$28+Inputs!$B$29)))</f>
        <v/>
      </c>
      <c r="E1079">
        <f>INDEX(FactorTable!$B$2:$Y$301, MATCH(ROUND(MIN(300,MAX(1,D1079)),0), FactorTable!$A$2:$A$301,0), Skills!M14+1)</f>
        <v/>
      </c>
      <c r="F1079">
        <f>IF(Skills!N14=TRUE,(Skills!L14/10)*(E1079/1000),Skills!L14/10)+Skills!O14</f>
        <v/>
      </c>
      <c r="G1079">
        <f>Skills!G14*IF(Skills!H14&gt;0,Skills!I14/Skills!H14,1)</f>
        <v/>
      </c>
      <c r="H1079">
        <f>1-(1-Skills!J14/100)^Skills!K14</f>
        <v/>
      </c>
      <c r="I1079" t="inlineStr">
        <is>
          <t>1</t>
        </is>
      </c>
      <c r="J1079">
        <f>((Inputs!$B$6*(1+Inputs!$B$7/100))+(((Inputs!$B$12*(1+Inputs!$B$13/100))-(Inputs!$B$12*(1+Inputs!$B$13/100)))+0.25*(Inputs!$B$14-Inputs!$B$14))*(1+Inputs!$B$7/100))*(F1079/100)</f>
        <v/>
      </c>
      <c r="K1079">
        <f>J1079*(1+((Inputs!$B$12*(1+Inputs!$B$13/100))*0.01+Inputs!$B$14*0.0025)/100)*(1+Inputs!$B$15/100)*(1+Inputs!$B$16/100)*(5000/(6000+Inputs!$B$42*(1-(Inputs!$B$19+0)/100)))*(1+(Inputs!$B$24+((C1091=TRUE)*(F1091-Calc!F26))+B1101)/100)*(1+(IF(Skills!A14="EIGHT_LEGS_EASTON",Inputs!$B$17+((C1088=TRUE)*(F1088-Calc!F23))+((C1092=TRUE)*(F1092-Calc!F27)),Inputs!$B$18+0))/100)*((1+(((C1082=TRUE)*F1082)+((C1089=TRUE)*(F1089-Calc!F24)))/100)*I1079)</f>
        <v/>
      </c>
      <c r="L1079">
        <f>K1079*(MIN(Inputs!$B$22+((C1087=TRUE)*(F1087-Calc!F22)),Inputs!$B$23+0)/100+(Inputs!$B$23+0)/100)/2</f>
        <v/>
      </c>
      <c r="M1079">
        <f>L1079*(1+(Inputs!$B$10+((C1090=TRUE)*(F1090-Calc!F25))+B1100)/100)</f>
        <v/>
      </c>
      <c r="N1079">
        <f>L1079*(1-MIN((Inputs!$B$9+((C1084=TRUE)*(F1084-Calc!F19))+B1095),100)/100)+M1079*(MIN((Inputs!$B$9+((C1084=TRUE)*(F1084-Calc!F19))+B1095),100)/100)</f>
        <v/>
      </c>
      <c r="O1079">
        <f>(1-Summary!$B$55)*T1079+Summary!$B$55*V1079</f>
        <v/>
      </c>
      <c r="P1079">
        <f>IF(B1105=0,0,O1079/B1105)</f>
        <v/>
      </c>
      <c r="Q1079" t="n">
        <v>0</v>
      </c>
      <c r="R1079" t="n">
        <v>0</v>
      </c>
      <c r="S1079">
        <f>IFERROR(O1079/N1079,0)</f>
        <v/>
      </c>
      <c r="T1079">
        <f>IF(C1079,(H1079*N1079*(B1099+IF(AND(Inputs!$B$38&lt;&gt;"pvp",Inputs!$B$43&gt;0),((Skills!G8*((R1073-1)*IF(Skills!H8&gt;0,Skills!I8/Skills!H8,1)+IF(Skills!H8&gt;0,MIN(Skills!I8,MAX(0,MAX(0,Inputs!$B$43-B1102)-((R1073-1)*IF(Inputs!$B$38="pvp",15,MAX(0.1,Skills!D8-IF(Skills!E8=TRUE,Inputs!$B$32,0))))))/Skills!H8,1)))/Inputs!$B$43),G1073*Q1073)+IF(AND(Inputs!$B$38&lt;&gt;"pvp",Inputs!$B$43&gt;0),((Skills!G11*((R1076-1)*IF(Skills!H11&gt;0,Skills!I11/Skills!H11,1)+IF(Skills!H11&gt;0,MIN(Skills!I11,MAX(0,MAX(0,Inputs!$B$43-B1102)-((R1076-1)*IF(Inputs!$B$38="pvp",15,MAX(0.1,Skills!D11-IF(Skills!E11=TRUE,Inputs!$B$32,0))))))/Skills!H11,1)))/Inputs!$B$43),G1076*Q1076)))*IF(Inputs!$B$38="pvp",1,1+(Inputs!$B$20+0+Skills!P14)/100),0)</f>
        <v/>
      </c>
      <c r="V1079">
        <f>IF(C1079,(H1079*N1079*(B1099+IF(AND(Inputs!$B$38&lt;&gt;"pvp",Inputs!$B$43&gt;0),((Skills!G8*((R1073-1)*IF(Skills!H8&gt;0,Skills!I8/Skills!H8,1)+IF(Skills!H8&gt;0,MIN(Skills!I8,MAX(0,MAX(0,Inputs!$B$43-B1102)-((R1073-1)*IF(Inputs!$B$38="pvp",15,MAX(0.1,Skills!D8-IF(Skills!E8=TRUE,Inputs!$B$32,0))))))/Skills!H8,1)))/Inputs!$B$43),G1073*Q1073)+IF(AND(Inputs!$B$38&lt;&gt;"pvp",Inputs!$B$43&gt;0),((Skills!G11*((R1076-1)*IF(Skills!H11&gt;0,Skills!I11/Skills!H11,1)+IF(Skills!H11&gt;0,MIN(Skills!I11,MAX(0,MAX(0,Inputs!$B$43-B1102)-((R1076-1)*IF(Inputs!$B$38="pvp",15,MAX(0.1,Skills!D11-IF(Skills!E11=TRUE,Inputs!$B$32,0))))))/Skills!H11,1)))/Inputs!$B$43),G1076*Q1076)))*IF(Inputs!$B$38="pvp",1,(1+(Inputs!$B$21+Skills!Q14)/100)*(MIN(Skills!R14,Inputs!$B$37))),0)</f>
        <v/>
      </c>
    </row>
    <row r="1080">
      <c r="A1080">
        <f>Skills!A15</f>
        <v/>
      </c>
      <c r="B1080">
        <f>Skills!B15</f>
        <v/>
      </c>
      <c r="C1080">
        <f>Inputs!$B$3&gt;=100</f>
        <v/>
      </c>
      <c r="D1080">
        <f>IF(Skills!C15=1,60+Inputs!$B$25+Inputs!$B$29,IF(Skills!C15=2,90+Inputs!$B$26+Inputs!$B$29,IF(Skills!C15=3,120+Inputs!$B$27+Inputs!$B$29,MAX(0,(Inputs!$B$3-100)*3)+Inputs!$B$28+Inputs!$B$29)))</f>
        <v/>
      </c>
      <c r="E1080">
        <f>INDEX(FactorTable!$B$2:$Y$301, MATCH(ROUND(MIN(300,MAX(1,D1080)),0), FactorTable!$A$2:$A$301,0), Skills!M15+1)</f>
        <v/>
      </c>
      <c r="F1080">
        <f>IF(Skills!N15=TRUE,(Skills!L15/10)*(E1080/1000),Skills!L15/10)+Skills!O15</f>
        <v/>
      </c>
      <c r="G1080" t="inlineStr"/>
      <c r="H1080" t="inlineStr"/>
      <c r="I1080" t="inlineStr">
        <is>
          <t>1</t>
        </is>
      </c>
      <c r="J1080" t="inlineStr"/>
      <c r="K1080" t="inlineStr"/>
      <c r="L1080" t="inlineStr"/>
      <c r="M1080" t="inlineStr"/>
      <c r="N1080" t="inlineStr"/>
      <c r="O1080" t="inlineStr"/>
      <c r="P1080" t="inlineStr"/>
      <c r="Q1080" t="inlineStr"/>
      <c r="R1080" t="inlineStr"/>
      <c r="S1080" t="inlineStr"/>
    </row>
    <row r="1081">
      <c r="A1081">
        <f>Skills!A16</f>
        <v/>
      </c>
      <c r="B1081">
        <f>Skills!B16</f>
        <v/>
      </c>
      <c r="C1081">
        <f>Inputs!$B$3&gt;=120</f>
        <v/>
      </c>
      <c r="D1081">
        <f>IF(Skills!C16=1,60+Inputs!$B$25+Inputs!$B$29,IF(Skills!C16=2,90+Inputs!$B$26+Inputs!$B$29,IF(Skills!C16=3,120+Inputs!$B$27+Inputs!$B$29,MAX(0,(Inputs!$B$3-100)*3)+Inputs!$B$28+Inputs!$B$29)))</f>
        <v/>
      </c>
      <c r="E1081">
        <f>INDEX(FactorTable!$B$2:$Y$301, MATCH(ROUND(MIN(300,MAX(1,D1081)),0), FactorTable!$A$2:$A$301,0), Skills!M16+1)</f>
        <v/>
      </c>
      <c r="F1081">
        <f>IF(Skills!N16=TRUE,(Skills!L16/10)*(E1081/1000),Skills!L16/10)+Skills!O16</f>
        <v/>
      </c>
      <c r="G1081" t="inlineStr"/>
      <c r="H1081" t="inlineStr"/>
      <c r="I1081" t="inlineStr">
        <is>
          <t>1</t>
        </is>
      </c>
      <c r="J1081" t="inlineStr"/>
      <c r="K1081" t="inlineStr"/>
      <c r="L1081" t="inlineStr"/>
      <c r="M1081" t="inlineStr"/>
      <c r="N1081" t="inlineStr"/>
      <c r="O1081" t="inlineStr"/>
      <c r="P1081" t="inlineStr"/>
      <c r="Q1081" t="inlineStr"/>
      <c r="R1081" t="inlineStr"/>
      <c r="S1081" t="inlineStr"/>
    </row>
    <row r="1082">
      <c r="A1082">
        <f>Skills!A17</f>
        <v/>
      </c>
      <c r="B1082">
        <f>Skills!B17</f>
        <v/>
      </c>
      <c r="C1082">
        <f>Inputs!$B$3&gt;=66</f>
        <v/>
      </c>
      <c r="D1082">
        <f>IF(Skills!C17=1,60+Inputs!$B$25+Inputs!$B$29,IF(Skills!C17=2,90+Inputs!$B$26+Inputs!$B$29,IF(Skills!C17=3,120+Inputs!$B$27+Inputs!$B$29,MAX(0,(Inputs!$B$3-100)*3)+Inputs!$B$28+Inputs!$B$29)))</f>
        <v/>
      </c>
      <c r="E1082">
        <f>INDEX(FactorTable!$B$2:$Y$301, MATCH(ROUND(MIN(300,MAX(1,D1082)),0), FactorTable!$A$2:$A$301,0), Skills!M17+1)</f>
        <v/>
      </c>
      <c r="F1082">
        <f>IF(Skills!N17=TRUE,(Skills!L17/10)*(E1082/1000),Skills!L17/10)+Skills!O17</f>
        <v/>
      </c>
      <c r="G1082">
        <f>Skills!G17*IF(Skills!H17&gt;0,Skills!I17/Skills!H17,1)</f>
        <v/>
      </c>
      <c r="H1082">
        <f>1-(1-Skills!J17/100)^Skills!K17</f>
        <v/>
      </c>
      <c r="I1082" t="inlineStr">
        <is>
          <t>1</t>
        </is>
      </c>
      <c r="J1082" t="inlineStr"/>
      <c r="K1082" t="inlineStr"/>
      <c r="L1082" t="inlineStr"/>
      <c r="M1082" t="inlineStr"/>
      <c r="N1082" t="inlineStr"/>
      <c r="O1082">
        <f>(1-Summary!$B$55)*T1082+Summary!$B$55*V1082</f>
        <v/>
      </c>
      <c r="P1082">
        <f>IF(B1105=0,0,O1082/B1105)</f>
        <v/>
      </c>
      <c r="Q1082" t="n">
        <v>0</v>
      </c>
      <c r="R1082" t="n">
        <v>0</v>
      </c>
      <c r="S1082">
        <f>IFERROR(O1082/N1082,0)</f>
        <v/>
      </c>
      <c r="T1082" t="n">
        <v>0</v>
      </c>
      <c r="V1082" t="n">
        <v>0</v>
      </c>
    </row>
    <row r="1083">
      <c r="A1083">
        <f>Skills!A18</f>
        <v/>
      </c>
      <c r="B1083">
        <f>Skills!B18</f>
        <v/>
      </c>
      <c r="C1083">
        <f>Inputs!$B$3&gt;=115</f>
        <v/>
      </c>
      <c r="D1083">
        <f>IF(Skills!C18=1,60+Inputs!$B$25+Inputs!$B$29,IF(Skills!C18=2,90+Inputs!$B$26+Inputs!$B$29,IF(Skills!C18=3,120+Inputs!$B$27+Inputs!$B$29,MAX(0,(Inputs!$B$3-100)*3)+Inputs!$B$28+Inputs!$B$29)))</f>
        <v/>
      </c>
      <c r="E1083">
        <f>INDEX(FactorTable!$B$2:$Y$301, MATCH(ROUND(MIN(300,MAX(1,D1083)),0), FactorTable!$A$2:$A$301,0), Skills!M18+1)</f>
        <v/>
      </c>
      <c r="F1083">
        <f>IF(Skills!N18=TRUE,(Skills!L18/10)*(E1083/1000),Skills!L18/10)+Skills!O18</f>
        <v/>
      </c>
      <c r="G1083">
        <f>Skills!G18*IF(Skills!H18&gt;0,Skills!I18/Skills!H18,1)</f>
        <v/>
      </c>
      <c r="H1083">
        <f>1-(1-Skills!J18/100)^Skills!K18</f>
        <v/>
      </c>
      <c r="I1083" t="inlineStr">
        <is>
          <t>1</t>
        </is>
      </c>
      <c r="J1083" t="inlineStr"/>
      <c r="K1083" t="inlineStr"/>
      <c r="L1083" t="inlineStr"/>
      <c r="M1083" t="inlineStr"/>
      <c r="N1083" t="inlineStr"/>
      <c r="O1083">
        <f>(1-Summary!$B$55)*T1083+Summary!$B$55*V1083</f>
        <v/>
      </c>
      <c r="P1083">
        <f>IF(B1105=0,0,O1083/B1105)</f>
        <v/>
      </c>
      <c r="Q1083" t="n">
        <v>0</v>
      </c>
      <c r="R1083" t="n">
        <v>0</v>
      </c>
      <c r="S1083">
        <f>IFERROR(O1083/N1083,0)</f>
        <v/>
      </c>
      <c r="T1083" t="n">
        <v>0</v>
      </c>
      <c r="V1083" t="n">
        <v>0</v>
      </c>
    </row>
    <row r="1084">
      <c r="A1084">
        <f>Skills!A19</f>
        <v/>
      </c>
      <c r="B1084">
        <f>Skills!B19</f>
        <v/>
      </c>
      <c r="C1084">
        <f>Inputs!$B$3&gt;=15</f>
        <v/>
      </c>
      <c r="D1084">
        <f>IF(Skills!C19=1,60+Inputs!$B$25+Inputs!$B$29,IF(Skills!C19=2,90+Inputs!$B$26+Inputs!$B$29,IF(Skills!C19=3,120+Inputs!$B$27+Inputs!$B$29,MAX(0,(Inputs!$B$3-100)*3)+Inputs!$B$28+Inputs!$B$29)))</f>
        <v/>
      </c>
      <c r="E1084">
        <f>INDEX(FactorTable!$B$2:$Y$301, MATCH(ROUND(MIN(300,MAX(1,D1084)),0), FactorTable!$A$2:$A$301,0), Skills!M19+1)</f>
        <v/>
      </c>
      <c r="F1084">
        <f>IF(Skills!N19=TRUE,(Skills!L19/10)*(E1084/1000),Skills!L19/10)+Skills!O19</f>
        <v/>
      </c>
      <c r="G1084">
        <f>Skills!G19*IF(Skills!H19&gt;0,Skills!I19/Skills!H19,1)</f>
        <v/>
      </c>
      <c r="H1084">
        <f>1-(1-Skills!J19/100)^Skills!K19</f>
        <v/>
      </c>
      <c r="I1084" t="inlineStr">
        <is>
          <t>1</t>
        </is>
      </c>
      <c r="J1084" t="inlineStr"/>
      <c r="K1084" t="inlineStr"/>
      <c r="L1084" t="inlineStr"/>
      <c r="M1084" t="inlineStr"/>
      <c r="N1084" t="inlineStr"/>
      <c r="O1084">
        <f>(1-Summary!$B$55)*T1084+Summary!$B$55*V1084</f>
        <v/>
      </c>
      <c r="P1084">
        <f>IF(B1105=0,0,O1084/B1105)</f>
        <v/>
      </c>
      <c r="Q1084" t="n">
        <v>0</v>
      </c>
      <c r="R1084" t="n">
        <v>0</v>
      </c>
      <c r="S1084">
        <f>IFERROR(O1084/N1084,0)</f>
        <v/>
      </c>
      <c r="T1084" t="n">
        <v>0</v>
      </c>
      <c r="V1084" t="n">
        <v>0</v>
      </c>
    </row>
    <row r="1085">
      <c r="A1085">
        <f>Skills!A20</f>
        <v/>
      </c>
      <c r="B1085">
        <f>Skills!B20</f>
        <v/>
      </c>
      <c r="C1085">
        <f>Inputs!$B$3&gt;=10</f>
        <v/>
      </c>
      <c r="D1085">
        <f>IF(Skills!C20=1,60+Inputs!$B$25+Inputs!$B$29,IF(Skills!C20=2,90+Inputs!$B$26+Inputs!$B$29,IF(Skills!C20=3,120+Inputs!$B$27+Inputs!$B$29,MAX(0,(Inputs!$B$3-100)*3)+Inputs!$B$28+Inputs!$B$29)))</f>
        <v/>
      </c>
      <c r="E1085">
        <f>INDEX(FactorTable!$B$2:$Y$301, MATCH(ROUND(MIN(300,MAX(1,D1085)),0), FactorTable!$A$2:$A$301,0), Skills!M20+1)</f>
        <v/>
      </c>
      <c r="F1085">
        <f>IF(Skills!N20=TRUE,(Skills!L20/10)*(E1085/1000),Skills!L20/10)+Skills!O20</f>
        <v/>
      </c>
      <c r="G1085">
        <f>Skills!G20*IF(Skills!H20&gt;0,Skills!I20/Skills!H20,1)</f>
        <v/>
      </c>
      <c r="H1085">
        <f>1-(1-Skills!J20/100)^Skills!K20</f>
        <v/>
      </c>
      <c r="I1085" t="inlineStr">
        <is>
          <t>1</t>
        </is>
      </c>
      <c r="J1085" t="inlineStr"/>
      <c r="K1085" t="inlineStr"/>
      <c r="L1085" t="inlineStr"/>
      <c r="M1085" t="inlineStr"/>
      <c r="N1085" t="inlineStr"/>
      <c r="O1085">
        <f>(1-Summary!$B$55)*T1085+Summary!$B$55*V1085</f>
        <v/>
      </c>
      <c r="P1085">
        <f>IF(B1105=0,0,O1085/B1105)</f>
        <v/>
      </c>
      <c r="Q1085" t="n">
        <v>0</v>
      </c>
      <c r="R1085" t="n">
        <v>0</v>
      </c>
      <c r="S1085">
        <f>IFERROR(O1085/N1085,0)</f>
        <v/>
      </c>
      <c r="T1085" t="n">
        <v>0</v>
      </c>
      <c r="V1085" t="n">
        <v>0</v>
      </c>
    </row>
    <row r="1086">
      <c r="A1086">
        <f>Skills!A21</f>
        <v/>
      </c>
      <c r="B1086">
        <f>Skills!B21</f>
        <v/>
      </c>
      <c r="C1086">
        <f>Inputs!$B$3&gt;=33</f>
        <v/>
      </c>
      <c r="D1086">
        <f>IF(Skills!C21=1,60+Inputs!$B$25+Inputs!$B$29,IF(Skills!C21=2,90+Inputs!$B$26+Inputs!$B$29,IF(Skills!C21=3,120+Inputs!$B$27+Inputs!$B$29,MAX(0,(Inputs!$B$3-100)*3)+Inputs!$B$28+Inputs!$B$29)))</f>
        <v/>
      </c>
      <c r="E1086">
        <f>INDEX(FactorTable!$B$2:$Y$301, MATCH(ROUND(MIN(300,MAX(1,D1086)),0), FactorTable!$A$2:$A$301,0), Skills!M21+1)</f>
        <v/>
      </c>
      <c r="F1086">
        <f>IF(Skills!N21=TRUE,(Skills!L21/10)*(E1086/1000),Skills!L21/10)+Skills!O21</f>
        <v/>
      </c>
      <c r="G1086">
        <f>Skills!G21*IF(Skills!H21&gt;0,Skills!I21/Skills!H21,1)</f>
        <v/>
      </c>
      <c r="H1086">
        <f>1-(1-Skills!J21/100)^Skills!K21</f>
        <v/>
      </c>
      <c r="I1086" t="inlineStr">
        <is>
          <t>1</t>
        </is>
      </c>
      <c r="J1086" t="inlineStr"/>
      <c r="K1086" t="inlineStr"/>
      <c r="L1086" t="inlineStr"/>
      <c r="M1086" t="inlineStr"/>
      <c r="N1086" t="inlineStr"/>
      <c r="O1086">
        <f>(1-Summary!$B$55)*T1086+Summary!$B$55*V1086</f>
        <v/>
      </c>
      <c r="P1086">
        <f>IF(B1105=0,0,O1086/B1105)</f>
        <v/>
      </c>
      <c r="Q1086" t="n">
        <v>0</v>
      </c>
      <c r="R1086" t="n">
        <v>0</v>
      </c>
      <c r="S1086">
        <f>IFERROR(O1086/N1086,0)</f>
        <v/>
      </c>
      <c r="T1086" t="n">
        <v>0</v>
      </c>
      <c r="V1086" t="n">
        <v>0</v>
      </c>
    </row>
    <row r="1087">
      <c r="A1087">
        <f>Skills!A22</f>
        <v/>
      </c>
      <c r="B1087">
        <f>Skills!B22</f>
        <v/>
      </c>
      <c r="C1087">
        <f>Inputs!$B$3&gt;=43</f>
        <v/>
      </c>
      <c r="D1087">
        <f>IF(Skills!C22=1,60+Inputs!$B$25+Inputs!$B$29,IF(Skills!C22=2,90+Inputs!$B$26+Inputs!$B$29,IF(Skills!C22=3,120+Inputs!$B$27+Inputs!$B$29,MAX(0,(Inputs!$B$3-100)*3)+Inputs!$B$28+Inputs!$B$29)))</f>
        <v/>
      </c>
      <c r="E1087">
        <f>INDEX(FactorTable!$B$2:$Y$301, MATCH(ROUND(MIN(300,MAX(1,D1087)),0), FactorTable!$A$2:$A$301,0), Skills!M22+1)</f>
        <v/>
      </c>
      <c r="F1087">
        <f>IF(Skills!N22=TRUE,(Skills!L22/10)*(E1087/1000),Skills!L22/10)+Skills!O22</f>
        <v/>
      </c>
      <c r="G1087">
        <f>Skills!G22*IF(Skills!H22&gt;0,Skills!I22/Skills!H22,1)</f>
        <v/>
      </c>
      <c r="H1087">
        <f>1-(1-Skills!J22/100)^Skills!K22</f>
        <v/>
      </c>
      <c r="I1087" t="inlineStr">
        <is>
          <t>1</t>
        </is>
      </c>
      <c r="J1087" t="inlineStr"/>
      <c r="K1087" t="inlineStr"/>
      <c r="L1087" t="inlineStr"/>
      <c r="M1087" t="inlineStr"/>
      <c r="N1087" t="inlineStr"/>
      <c r="O1087">
        <f>(1-Summary!$B$55)*T1087+Summary!$B$55*V1087</f>
        <v/>
      </c>
      <c r="P1087">
        <f>IF(B1105=0,0,O1087/B1105)</f>
        <v/>
      </c>
      <c r="Q1087" t="n">
        <v>0</v>
      </c>
      <c r="R1087" t="n">
        <v>0</v>
      </c>
      <c r="S1087">
        <f>IFERROR(O1087/N1087,0)</f>
        <v/>
      </c>
      <c r="T1087" t="n">
        <v>0</v>
      </c>
      <c r="V1087" t="n">
        <v>0</v>
      </c>
    </row>
    <row r="1088">
      <c r="A1088">
        <f>Skills!A23</f>
        <v/>
      </c>
      <c r="B1088">
        <f>Skills!B23</f>
        <v/>
      </c>
      <c r="C1088">
        <f>Inputs!$B$3&gt;=38</f>
        <v/>
      </c>
      <c r="D1088">
        <f>IF(Skills!C23=1,60+Inputs!$B$25+Inputs!$B$29,IF(Skills!C23=2,90+Inputs!$B$26+Inputs!$B$29,IF(Skills!C23=3,120+Inputs!$B$27+Inputs!$B$29,MAX(0,(Inputs!$B$3-100)*3)+Inputs!$B$28+Inputs!$B$29)))</f>
        <v/>
      </c>
      <c r="E1088">
        <f>INDEX(FactorTable!$B$2:$Y$301, MATCH(ROUND(MIN(300,MAX(1,D1088)),0), FactorTable!$A$2:$A$301,0), Skills!M23+1)</f>
        <v/>
      </c>
      <c r="F1088">
        <f>IF(Skills!N23=TRUE,(Skills!L23/10)*(E1088/1000),Skills!L23/10)+Skills!O23</f>
        <v/>
      </c>
      <c r="G1088">
        <f>Skills!G23*IF(Skills!H23&gt;0,Skills!I23/Skills!H23,1)</f>
        <v/>
      </c>
      <c r="H1088">
        <f>1-(1-Skills!J23/100)^Skills!K23</f>
        <v/>
      </c>
      <c r="I1088" t="inlineStr">
        <is>
          <t>1</t>
        </is>
      </c>
      <c r="J1088" t="inlineStr"/>
      <c r="K1088" t="inlineStr"/>
      <c r="L1088" t="inlineStr"/>
      <c r="M1088" t="inlineStr"/>
      <c r="N1088" t="inlineStr"/>
      <c r="O1088">
        <f>(1-Summary!$B$55)*T1088+Summary!$B$55*V1088</f>
        <v/>
      </c>
      <c r="P1088">
        <f>IF(B1105=0,0,O1088/B1105)</f>
        <v/>
      </c>
      <c r="Q1088" t="n">
        <v>0</v>
      </c>
      <c r="R1088" t="n">
        <v>0</v>
      </c>
      <c r="S1088">
        <f>IFERROR(O1088/N1088,0)</f>
        <v/>
      </c>
      <c r="T1088" t="n">
        <v>0</v>
      </c>
      <c r="V1088" t="n">
        <v>0</v>
      </c>
    </row>
    <row r="1089">
      <c r="A1089">
        <f>Skills!A24</f>
        <v/>
      </c>
      <c r="B1089">
        <f>Skills!B24</f>
        <v/>
      </c>
      <c r="C1089">
        <f>Inputs!$B$3&gt;=40</f>
        <v/>
      </c>
      <c r="D1089">
        <f>IF(Skills!C24=1,60+Inputs!$B$25+Inputs!$B$29,IF(Skills!C24=2,90+Inputs!$B$26+Inputs!$B$29,IF(Skills!C24=3,120+Inputs!$B$27+Inputs!$B$29,MAX(0,(Inputs!$B$3-100)*3)+Inputs!$B$28+Inputs!$B$29)))</f>
        <v/>
      </c>
      <c r="E1089">
        <f>INDEX(FactorTable!$B$2:$Y$301, MATCH(ROUND(MIN(300,MAX(1,D1089)),0), FactorTable!$A$2:$A$301,0), Skills!M24+1)</f>
        <v/>
      </c>
      <c r="F1089">
        <f>IF(Skills!N24=TRUE,(Skills!L24/10)*(E1089/1000),Skills!L24/10)+Skills!O24</f>
        <v/>
      </c>
      <c r="G1089">
        <f>Skills!G24*IF(Skills!H24&gt;0,Skills!I24/Skills!H24,1)</f>
        <v/>
      </c>
      <c r="H1089">
        <f>1-(1-Skills!J24/100)^Skills!K24</f>
        <v/>
      </c>
      <c r="I1089" t="inlineStr">
        <is>
          <t>1</t>
        </is>
      </c>
      <c r="J1089" t="inlineStr"/>
      <c r="K1089" t="inlineStr"/>
      <c r="L1089" t="inlineStr"/>
      <c r="M1089" t="inlineStr"/>
      <c r="N1089" t="inlineStr"/>
      <c r="O1089">
        <f>(1-Summary!$B$55)*T1089+Summary!$B$55*V1089</f>
        <v/>
      </c>
      <c r="P1089">
        <f>IF(B1105=0,0,O1089/B1105)</f>
        <v/>
      </c>
      <c r="Q1089" t="n">
        <v>0</v>
      </c>
      <c r="R1089" t="n">
        <v>0</v>
      </c>
      <c r="S1089">
        <f>IFERROR(O1089/N1089,0)</f>
        <v/>
      </c>
      <c r="T1089" t="n">
        <v>0</v>
      </c>
      <c r="V1089" t="n">
        <v>0</v>
      </c>
    </row>
    <row r="1090">
      <c r="A1090">
        <f>Skills!A25</f>
        <v/>
      </c>
      <c r="B1090">
        <f>Skills!B25</f>
        <v/>
      </c>
      <c r="C1090">
        <f>Inputs!$B$3&gt;=72</f>
        <v/>
      </c>
      <c r="D1090">
        <f>IF(Skills!C25=1,60+Inputs!$B$25+Inputs!$B$29,IF(Skills!C25=2,90+Inputs!$B$26+Inputs!$B$29,IF(Skills!C25=3,120+Inputs!$B$27+Inputs!$B$29,MAX(0,(Inputs!$B$3-100)*3)+Inputs!$B$28+Inputs!$B$29)))</f>
        <v/>
      </c>
      <c r="E1090">
        <f>INDEX(FactorTable!$B$2:$Y$301, MATCH(ROUND(MIN(300,MAX(1,D1090)),0), FactorTable!$A$2:$A$301,0), Skills!M25+1)</f>
        <v/>
      </c>
      <c r="F1090">
        <f>IF(Skills!N25=TRUE,(Skills!L25/10)*(E1090/1000),Skills!L25/10)+Skills!O25</f>
        <v/>
      </c>
      <c r="G1090">
        <f>Skills!G25*IF(Skills!H25&gt;0,Skills!I25/Skills!H25,1)</f>
        <v/>
      </c>
      <c r="H1090">
        <f>1-(1-Skills!J25/100)^Skills!K25</f>
        <v/>
      </c>
      <c r="I1090" t="inlineStr">
        <is>
          <t>1</t>
        </is>
      </c>
      <c r="J1090" t="inlineStr"/>
      <c r="K1090" t="inlineStr"/>
      <c r="L1090" t="inlineStr"/>
      <c r="M1090" t="inlineStr"/>
      <c r="N1090" t="inlineStr"/>
      <c r="O1090">
        <f>(1-Summary!$B$55)*T1090+Summary!$B$55*V1090</f>
        <v/>
      </c>
      <c r="P1090">
        <f>IF(B1105=0,0,O1090/B1105)</f>
        <v/>
      </c>
      <c r="Q1090" t="n">
        <v>0</v>
      </c>
      <c r="R1090" t="n">
        <v>0</v>
      </c>
      <c r="S1090">
        <f>IFERROR(O1090/N1090,0)</f>
        <v/>
      </c>
      <c r="T1090" t="n">
        <v>0</v>
      </c>
      <c r="V1090" t="n">
        <v>0</v>
      </c>
    </row>
    <row r="1091">
      <c r="A1091">
        <f>Skills!A26</f>
        <v/>
      </c>
      <c r="B1091">
        <f>Skills!B26</f>
        <v/>
      </c>
      <c r="C1091">
        <f>Inputs!$B$3&gt;=75</f>
        <v/>
      </c>
      <c r="D1091">
        <f>IF(Skills!C26=1,60+Inputs!$B$25+Inputs!$B$29,IF(Skills!C26=2,90+Inputs!$B$26+Inputs!$B$29,IF(Skills!C26=3,120+Inputs!$B$27+Inputs!$B$29,MAX(0,(Inputs!$B$3-100)*3)+Inputs!$B$28+Inputs!$B$29)))</f>
        <v/>
      </c>
      <c r="E1091">
        <f>INDEX(FactorTable!$B$2:$Y$301, MATCH(ROUND(MIN(300,MAX(1,D1091)),0), FactorTable!$A$2:$A$301,0), Skills!M26+1)</f>
        <v/>
      </c>
      <c r="F1091">
        <f>IF(Skills!N26=TRUE,(Skills!L26/10)*(E1091/1000),Skills!L26/10)+Skills!O26</f>
        <v/>
      </c>
      <c r="G1091">
        <f>Skills!G26*IF(Skills!H26&gt;0,Skills!I26/Skills!H26,1)</f>
        <v/>
      </c>
      <c r="H1091">
        <f>1-(1-Skills!J26/100)^Skills!K26</f>
        <v/>
      </c>
      <c r="I1091" t="inlineStr">
        <is>
          <t>1</t>
        </is>
      </c>
      <c r="J1091" t="inlineStr"/>
      <c r="K1091" t="inlineStr"/>
      <c r="L1091" t="inlineStr"/>
      <c r="M1091" t="inlineStr"/>
      <c r="N1091" t="inlineStr"/>
      <c r="O1091">
        <f>(1-Summary!$B$55)*T1091+Summary!$B$55*V1091</f>
        <v/>
      </c>
      <c r="P1091">
        <f>IF(B1105=0,0,O1091/B1105)</f>
        <v/>
      </c>
      <c r="Q1091" t="n">
        <v>0</v>
      </c>
      <c r="R1091" t="n">
        <v>0</v>
      </c>
      <c r="S1091">
        <f>IFERROR(O1091/N1091,0)</f>
        <v/>
      </c>
      <c r="T1091" t="n">
        <v>0</v>
      </c>
      <c r="V1091" t="n">
        <v>0</v>
      </c>
    </row>
    <row r="1092">
      <c r="A1092">
        <f>Skills!A27</f>
        <v/>
      </c>
      <c r="B1092">
        <f>Skills!B27</f>
        <v/>
      </c>
      <c r="C1092">
        <f>Inputs!$B$3&gt;=117</f>
        <v/>
      </c>
      <c r="D1092">
        <f>IF(Skills!C27=1,60+Inputs!$B$25+Inputs!$B$29,IF(Skills!C27=2,90+Inputs!$B$26+Inputs!$B$29,IF(Skills!C27=3,120+Inputs!$B$27+Inputs!$B$29,MAX(0,(Inputs!$B$3-100)*3)+Inputs!$B$28+Inputs!$B$29)))</f>
        <v/>
      </c>
      <c r="E1092">
        <f>INDEX(FactorTable!$B$2:$Y$301, MATCH(ROUND(MIN(300,MAX(1,D1092)),0), FactorTable!$A$2:$A$301,0), Skills!M27+1)</f>
        <v/>
      </c>
      <c r="F1092">
        <f>IF(Skills!N27=TRUE,(Skills!L27/10)*(E1092/1000),Skills!L27/10)+Skills!O27</f>
        <v/>
      </c>
      <c r="G1092">
        <f>Skills!G27*IF(Skills!H27&gt;0,Skills!I27/Skills!H27,1)</f>
        <v/>
      </c>
      <c r="H1092">
        <f>1-(1-Skills!J27/100)^Skills!K27</f>
        <v/>
      </c>
      <c r="I1092" t="inlineStr">
        <is>
          <t>1</t>
        </is>
      </c>
      <c r="J1092" t="inlineStr"/>
      <c r="K1092" t="inlineStr"/>
      <c r="L1092" t="inlineStr"/>
      <c r="M1092" t="inlineStr"/>
      <c r="N1092" t="inlineStr"/>
      <c r="O1092">
        <f>(1-Summary!$B$55)*T1092+Summary!$B$55*V1092</f>
        <v/>
      </c>
      <c r="P1092">
        <f>IF(B1105=0,0,O1092/B1105)</f>
        <v/>
      </c>
      <c r="Q1092" t="n">
        <v>0</v>
      </c>
      <c r="R1092" t="n">
        <v>0</v>
      </c>
      <c r="S1092">
        <f>IFERROR(O1092/N1092,0)</f>
        <v/>
      </c>
      <c r="T1092" t="n">
        <v>0</v>
      </c>
      <c r="V1092" t="n">
        <v>0</v>
      </c>
    </row>
    <row r="1094">
      <c r="A1094" t="inlineStr">
        <is>
          <t>Attack% Bucket Multiplier</t>
        </is>
      </c>
      <c r="B1094">
        <f>(1+(((C1082=TRUE)*F1082)+((C1089=TRUE)*(F1089-Calc!F24)))/100)</f>
        <v/>
      </c>
    </row>
    <row r="1095">
      <c r="A1095" t="inlineStr">
        <is>
          <t>Global Crit Rate Bonus %</t>
        </is>
      </c>
      <c r="B1095" t="n">
        <v>0</v>
      </c>
    </row>
    <row r="1096">
      <c r="A1096" t="inlineStr">
        <is>
          <t>Attack Speed Buff Bonus % (unused)</t>
        </is>
      </c>
      <c r="B1096" t="n">
        <v>0</v>
      </c>
    </row>
    <row r="1097">
      <c r="A1097" t="inlineStr">
        <is>
          <t>Actions Per Second</t>
        </is>
      </c>
      <c r="B1097">
        <f>1+MIN(150,150*(1-(1-(Inputs!$B$11+((C1085=TRUE)*(F1085-Calc!F20))+((C1086=TRUE)*(F1086-Calc!F21)))/150)*(1-B1096/150)))/100</f>
        <v/>
      </c>
    </row>
    <row r="1098">
      <c r="A1098" t="inlineStr">
        <is>
          <t>Skill + Buff Cast Rate</t>
        </is>
      </c>
      <c r="B1098">
        <f>IF(AND(Inputs!$B$38&lt;&gt;"pvp",Inputs!$B$43&gt;0),SUMPRODUCT((Skills!E2:E27=TRUE)*(C1067:C1092=TRUE)*R1067:R1092*Skills!F2:F27)/Inputs!$B$43,SUMPRODUCT((Skills!E2:E27=TRUE)*(C1067:C1092=TRUE)*Q1067:Q1092*Skills!F2:F27))</f>
        <v/>
      </c>
    </row>
    <row r="1099">
      <c r="A1099" t="inlineStr">
        <is>
          <t>Eight-Legs Easton Casts Per Second</t>
        </is>
      </c>
      <c r="B1099">
        <f>MAX(0,B1097-B1098)</f>
        <v/>
      </c>
    </row>
    <row r="1100">
      <c r="A1100" t="inlineStr">
        <is>
          <t>Global Critical Damage Bonus % (unused)</t>
        </is>
      </c>
      <c r="B1100" t="n">
        <v>0</v>
      </c>
    </row>
    <row r="1101">
      <c r="A1101" t="inlineStr">
        <is>
          <t>Global Final Damage Bonus % (Jolly Roger only)</t>
        </is>
      </c>
      <c r="B1101">
        <f>((C1083=TRUE)*F1083)</f>
        <v/>
      </c>
    </row>
    <row r="1102">
      <c r="A1102" t="inlineStr">
        <is>
          <t>Buff-Casting Startup Delay (s, fixed-duration only)</t>
        </is>
      </c>
      <c r="B1102">
        <f>IF(AND(Inputs!$B$38&lt;&gt;"pvp",Inputs!$B$43&gt;0),SUMPRODUCT((Skills!T2:T27&gt;0)*(Skills!E2:E27=TRUE)*(C1067:C1092=TRUE))/B1097,0)</f>
        <v/>
      </c>
    </row>
    <row r="1103">
      <c r="A1103" t="inlineStr">
        <is>
          <t>Boss-Only Total DPS (this block's swept value)</t>
        </is>
      </c>
      <c r="B1103">
        <f>SUM(T1067:T1092)</f>
        <v/>
      </c>
    </row>
    <row r="1104">
      <c r="A1104" t="inlineStr">
        <is>
          <t>Normal-Only Total DPS (this block's swept value)</t>
        </is>
      </c>
      <c r="B1104">
        <f>SUM(V1067:V1092)</f>
        <v/>
      </c>
    </row>
    <row r="1105">
      <c r="A1105" s="5" t="inlineStr">
        <is>
          <t>TOTAL DPS</t>
        </is>
      </c>
      <c r="B1105" s="5">
        <f>SUM(O1067:O1092)</f>
        <v/>
      </c>
    </row>
    <row r="1108">
      <c r="A1108" s="5" t="inlineStr">
        <is>
          <t>Stat: Buff Duration Increase %</t>
        </is>
      </c>
    </row>
    <row r="1109">
      <c r="A1109" s="9" t="inlineStr">
        <is>
          <t>Key</t>
        </is>
      </c>
      <c r="B1109" s="9" t="inlineStr">
        <is>
          <t>Name</t>
        </is>
      </c>
      <c r="C1109" s="9" t="inlineStr">
        <is>
          <t>Unlocked</t>
        </is>
      </c>
      <c r="D1109" s="9" t="inlineStr">
        <is>
          <t>InputLevel</t>
        </is>
      </c>
      <c r="E1109" s="9" t="inlineStr">
        <is>
          <t>Factor</t>
        </is>
      </c>
      <c r="F1109" s="9" t="inlineStr">
        <is>
          <t>CoefficientPercent</t>
        </is>
      </c>
      <c r="G1109" s="9" t="inlineStr">
        <is>
          <t>EffectiveHits</t>
        </is>
      </c>
      <c r="H1109" s="9" t="inlineStr">
        <is>
          <t>ProcProbability</t>
        </is>
      </c>
      <c r="I1109" s="9" t="inlineStr">
        <is>
          <t>MapleHeroMultiplier</t>
        </is>
      </c>
      <c r="J1109" s="9" t="inlineStr">
        <is>
          <t>BaseDamage</t>
        </is>
      </c>
      <c r="K1109" s="9" t="inlineStr">
        <is>
          <t>BaseHitDamage</t>
        </is>
      </c>
      <c r="L1109" s="9" t="inlineStr">
        <is>
          <t>NonCritAvg</t>
        </is>
      </c>
      <c r="M1109" s="9" t="inlineStr">
        <is>
          <t>CritAvg</t>
        </is>
      </c>
      <c r="N1109" s="9" t="inlineStr">
        <is>
          <t>ExpectedDamage(perHit)</t>
        </is>
      </c>
      <c r="O1109" s="9" t="inlineStr">
        <is>
          <t>DPS</t>
        </is>
      </c>
      <c r="P1109" s="9" t="inlineStr">
        <is>
          <t>% of Total</t>
        </is>
      </c>
      <c r="Q1109" s="9" t="inlineStr">
        <is>
          <t>InvCooldown</t>
        </is>
      </c>
      <c r="R1109" s="9" t="inlineStr">
        <is>
          <t>CastsInFight</t>
        </is>
      </c>
      <c r="S1109" s="9" t="inlineStr">
        <is>
          <t>HitRate(perSec)</t>
        </is>
      </c>
      <c r="U1109" t="inlineStr">
        <is>
          <t>helpers</t>
        </is>
      </c>
    </row>
    <row r="1110">
      <c r="A1110">
        <f>Skills!A2</f>
        <v/>
      </c>
      <c r="B1110">
        <f>Skills!B2</f>
        <v/>
      </c>
      <c r="C1110">
        <f>Inputs!$B$3&gt;=100</f>
        <v/>
      </c>
      <c r="D1110" t="inlineStr"/>
      <c r="E1110" t="inlineStr"/>
      <c r="F1110">
        <f>U1112+Skills!O2</f>
        <v/>
      </c>
      <c r="G1110">
        <f>Skills!G2*IF(Skills!H2&gt;0,Skills!I2/Skills!H2,1)</f>
        <v/>
      </c>
      <c r="H1110">
        <f>1-(1-Skills!J2/100)^Skills!K2</f>
        <v/>
      </c>
      <c r="I1110" t="inlineStr">
        <is>
          <t>1</t>
        </is>
      </c>
      <c r="J1110">
        <f>((Inputs!$B$6*(1+Inputs!$B$7/100))+(((Inputs!$B$12*(1+Inputs!$B$13/100))-(Inputs!$B$12*(1+Inputs!$B$13/100)))+0.25*(Inputs!$B$14-Inputs!$B$14))*(1+Inputs!$B$7/100))*(F1110/100)</f>
        <v/>
      </c>
      <c r="K1110">
        <f>J1110*(1+((Inputs!$B$12*(1+Inputs!$B$13/100))*0.01+Inputs!$B$14*0.0025)/100)*(1+Inputs!$B$15/100)*(1+Inputs!$B$16/100)*(5000/(6000+Inputs!$B$42*(1-(Inputs!$B$19+0)/100)))*(1+(Inputs!$B$24+((C1134=TRUE)*(F1134-Calc!F26))+B1144)/100)*(1+(IF(Skills!A2="EIGHT_LEGS_EASTON",Inputs!$B$17+((C1131=TRUE)*(F1131-Calc!F23))+((C1135=TRUE)*(F1135-Calc!F27)),Inputs!$B$18+0))/100)*((1+(((C1125=TRUE)*F1125)+((C1132=TRUE)*(F1132-Calc!F24)))/100)*I1110)</f>
        <v/>
      </c>
      <c r="L1110">
        <f>K1110*(MIN(Inputs!$B$22+((C1130=TRUE)*(F1130-Calc!F22)),Inputs!$B$23+0)/100+(Inputs!$B$23+0)/100)/2</f>
        <v/>
      </c>
      <c r="M1110">
        <f>L1110*(1+(Inputs!$B$10+((C1133=TRUE)*(F1133-Calc!F25))+B1143)/100)</f>
        <v/>
      </c>
      <c r="N1110">
        <f>L1110*(1-MIN((Inputs!$B$9+((C1127=TRUE)*(F1127-Calc!F19))+B1138),100)/100)+M1110*(MIN((Inputs!$B$9+((C1127=TRUE)*(F1127-Calc!F19))+B1138),100)/100)</f>
        <v/>
      </c>
      <c r="O1110">
        <f>(1-Summary!$B$55)*T1110+Summary!$B$55*V1110</f>
        <v/>
      </c>
      <c r="P1110">
        <f>IF(B1148=0,0,O1110/B1148)</f>
        <v/>
      </c>
      <c r="Q1110" t="n">
        <v>0</v>
      </c>
      <c r="R1110" t="n">
        <v>0</v>
      </c>
      <c r="S1110">
        <f>IFERROR(O1110/N1110,0)</f>
        <v/>
      </c>
      <c r="T1110">
        <f>IF(C1110,(Skills!G2*N1110*B1142)*IF(Inputs!$B$38="pvp",1,1+(Inputs!$B$20+0+Skills!P2)/100),0)</f>
        <v/>
      </c>
      <c r="U1110">
        <f>MAX(0,(Inputs!$B$3-100)*3)+Inputs!$B$28+Inputs!$B$29</f>
        <v/>
      </c>
      <c r="V1110">
        <f>IF(C1110,(Skills!G2*N1110*B1142)*IF(Inputs!$B$38="pvp",1,(1+(Inputs!$B$21+Skills!Q2)/100)*(MIN((6+Inputs!$B$33),Inputs!$B$37))),0)</f>
        <v/>
      </c>
    </row>
    <row r="1111">
      <c r="A1111">
        <f>Skills!A3</f>
        <v/>
      </c>
      <c r="B1111">
        <f>Skills!B3</f>
        <v/>
      </c>
      <c r="C1111">
        <f>Inputs!$B$3&gt;=35</f>
        <v/>
      </c>
      <c r="D1111">
        <f>IF(Skills!C3=1,60+Inputs!$B$25+Inputs!$B$29,IF(Skills!C3=2,90+Inputs!$B$26+Inputs!$B$29,IF(Skills!C3=3,120+Inputs!$B$27+Inputs!$B$29,MAX(0,(Inputs!$B$3-100)*3)+Inputs!$B$28+Inputs!$B$29)))</f>
        <v/>
      </c>
      <c r="E1111">
        <f>INDEX(FactorTable!$B$2:$Y$301, MATCH(ROUND(MIN(300,MAX(1,D1111)),0), FactorTable!$A$2:$A$301,0), Skills!M3+1)</f>
        <v/>
      </c>
      <c r="F1111">
        <f>IF(Skills!N3=TRUE,(Skills!L3/10)*(E1111/1000),Skills!L3/10)+Skills!O3</f>
        <v/>
      </c>
      <c r="G1111">
        <f>Skills!G3*IF(Skills!H3&gt;0,Skills!I3/Skills!H3,1)</f>
        <v/>
      </c>
      <c r="H1111">
        <f>1-(1-Skills!J3/100)^Skills!K3</f>
        <v/>
      </c>
      <c r="I1111" t="inlineStr">
        <is>
          <t>1</t>
        </is>
      </c>
      <c r="J1111">
        <f>((Inputs!$B$6*(1+Inputs!$B$7/100))+(((Inputs!$B$12*(1+Inputs!$B$13/100))-(Inputs!$B$12*(1+Inputs!$B$13/100)))+0.25*(Inputs!$B$14-Inputs!$B$14))*(1+Inputs!$B$7/100))*(F1111/100)</f>
        <v/>
      </c>
      <c r="K1111">
        <f>J1111*(1+((Inputs!$B$12*(1+Inputs!$B$13/100))*0.01+Inputs!$B$14*0.0025)/100)*(1+Inputs!$B$15/100)*(1+Inputs!$B$16/100)*(5000/(6000+Inputs!$B$42*(1-(Inputs!$B$19+0)/100)))*(1+(Inputs!$B$24+((C1134=TRUE)*(F1134-Calc!F26))+B1144)/100)*(1+4.0*IF(C1123=TRUE,F1123,0)/100)*(1+(IF(Skills!A3="EIGHT_LEGS_EASTON",Inputs!$B$17+((C1131=TRUE)*(F1131-Calc!F23))+((C1135=TRUE)*(F1135-Calc!F27)),Inputs!$B$18+0))/100)*((1+(((C1125=TRUE)*F1125)+((C1132=TRUE)*(F1132-Calc!F24)))/100)*I1111)</f>
        <v/>
      </c>
      <c r="L1111">
        <f>K1111*(MIN(Inputs!$B$22+((C1130=TRUE)*(F1130-Calc!F22)),Inputs!$B$23+0)/100+(Inputs!$B$23+0)/100)/2</f>
        <v/>
      </c>
      <c r="M1111">
        <f>L1111*(1+(Inputs!$B$10+((C1133=TRUE)*(F1133-Calc!F25))+B1143)/100)</f>
        <v/>
      </c>
      <c r="N1111">
        <f>L1111*(1-MIN((Inputs!$B$9+((C1127=TRUE)*(F1127-Calc!F19))+B1138),100)/100)+M1111*(MIN((Inputs!$B$9+((C1127=TRUE)*(F1127-Calc!F19))+B1138),100)/100)</f>
        <v/>
      </c>
      <c r="O1111">
        <f>(1-Summary!$B$55)*T1111+Summary!$B$55*V1111</f>
        <v/>
      </c>
      <c r="P1111">
        <f>IF(B1148=0,0,O1111/B1148)</f>
        <v/>
      </c>
      <c r="Q1111">
        <f>IFERROR(1/IF(Inputs!$B$38="pvp",15,MAX(0.1,Skills!D3-IF(Skills!E3=TRUE,Inputs!$B$32,0))),0)</f>
        <v/>
      </c>
      <c r="R1111">
        <f>IF(AND(Inputs!$B$38&lt;&gt;"pvp",Inputs!$B$43&gt;0),IF(MAX(0,Inputs!$B$43-B1145)&lt;=0,0,(INT(MAX(0,Inputs!$B$43-B1145)/IF(Inputs!$B$38="pvp",15,MAX(0.1,Skills!D3-IF(Skills!E3=TRUE,Inputs!$B$32,0))))+1)),0)</f>
        <v/>
      </c>
      <c r="S1111">
        <f>IFERROR(O1111/N1111,0)</f>
        <v/>
      </c>
      <c r="T1111">
        <f>IF(C1111,(H1111*N1111*IF(AND(Inputs!$B$38&lt;&gt;"pvp",Inputs!$B$43&gt;0),((Skills!G3*((R1111-1)*IF(Skills!H3&gt;0,Skills!I3/Skills!H3,1)+IF(Skills!H3&gt;0,MIN(Skills!I3,MAX(0,MAX(0,Inputs!$B$43-B1145)-((R1111-1)*IF(Inputs!$B$38="pvp",15,MAX(0.1,Skills!D3-IF(Skills!E3=TRUE,Inputs!$B$32,0))))))/Skills!H3,1)))/Inputs!$B$43),G1111*Q1111))*IF(Inputs!$B$38="pvp",1,1+(Inputs!$B$20+0+Skills!P3)/100),0)</f>
        <v/>
      </c>
      <c r="U1111">
        <f>INDEX(FactorTable!$B$2:$Y$301, MATCH(ROUND(MIN(300,MAX(1,U1110)),0), FactorTable!$A$2:$A$301,0), 22)</f>
        <v/>
      </c>
      <c r="V1111">
        <f>IF(C1111,(H1111*N1111*IF(AND(Inputs!$B$38&lt;&gt;"pvp",Inputs!$B$43&gt;0),((Skills!G3*((R1111-1)*IF(Skills!H3&gt;0,Skills!I3/Skills!H3,1)+IF(Skills!H3&gt;0,MIN(Skills!I3,MAX(0,MAX(0,Inputs!$B$43-B1145)-((R1111-1)*IF(Inputs!$B$38="pvp",15,MAX(0.1,Skills!D3-IF(Skills!E3=TRUE,Inputs!$B$32,0))))))/Skills!H3,1)))/Inputs!$B$43),G1111*Q1111))*IF(Inputs!$B$38="pvp",1,(1+(Inputs!$B$21+Skills!Q3)/100)*(MIN(Skills!R3,Inputs!$B$37))),0)</f>
        <v/>
      </c>
    </row>
    <row r="1112">
      <c r="A1112">
        <f>Skills!A4</f>
        <v/>
      </c>
      <c r="B1112">
        <f>Skills!B4</f>
        <v/>
      </c>
      <c r="C1112">
        <f>Inputs!$B$3&gt;=40</f>
        <v/>
      </c>
      <c r="D1112">
        <f>IF(Skills!C4=1,60+Inputs!$B$25+Inputs!$B$29,IF(Skills!C4=2,90+Inputs!$B$26+Inputs!$B$29,IF(Skills!C4=3,120+Inputs!$B$27+Inputs!$B$29,MAX(0,(Inputs!$B$3-100)*3)+Inputs!$B$28+Inputs!$B$29)))</f>
        <v/>
      </c>
      <c r="E1112">
        <f>INDEX(FactorTable!$B$2:$Y$301, MATCH(ROUND(MIN(300,MAX(1,D1112)),0), FactorTable!$A$2:$A$301,0), Skills!M4+1)</f>
        <v/>
      </c>
      <c r="F1112">
        <f>IF(Skills!N4=TRUE,(Skills!L4/10)*(E1112/1000),Skills!L4/10)+Skills!O4</f>
        <v/>
      </c>
      <c r="G1112">
        <f>Skills!G4*IF(Skills!H4&gt;0,Skills!I4/Skills!H4,1)</f>
        <v/>
      </c>
      <c r="H1112">
        <f>1-(1-Skills!J4/100)^Skills!K4</f>
        <v/>
      </c>
      <c r="I1112" t="inlineStr">
        <is>
          <t>1</t>
        </is>
      </c>
      <c r="J1112">
        <f>((Inputs!$B$6*(1+Inputs!$B$7/100))+(((Inputs!$B$12*(1+Inputs!$B$13/100))-(Inputs!$B$12*(1+Inputs!$B$13/100)))+0.25*(Inputs!$B$14-Inputs!$B$14))*(1+Inputs!$B$7/100))*(F1112/100)</f>
        <v/>
      </c>
      <c r="K1112">
        <f>J1112*(1+((Inputs!$B$12*(1+Inputs!$B$13/100))*0.01+Inputs!$B$14*0.0025)/100)*(1+Inputs!$B$15/100)*(1+Inputs!$B$16/100)*(5000/(6000+Inputs!$B$42*(1-(Inputs!$B$19+0)/100)))*(1+(Inputs!$B$24+((C1134=TRUE)*(F1134-Calc!F26))+B1144)/100)*(1+1.0*IF(C1124=TRUE,F1124,0)/100)*(1+(IF(Skills!A4="EIGHT_LEGS_EASTON",Inputs!$B$17+((C1131=TRUE)*(F1131-Calc!F23))+((C1135=TRUE)*(F1135-Calc!F27)),Inputs!$B$18+0))/100)*((1+(((C1125=TRUE)*F1125)+((C1132=TRUE)*(F1132-Calc!F24)))/100)*I1112)</f>
        <v/>
      </c>
      <c r="L1112">
        <f>K1112*(MIN(Inputs!$B$22+((C1130=TRUE)*(F1130-Calc!F22)),Inputs!$B$23+0)/100+(Inputs!$B$23+0)/100)/2</f>
        <v/>
      </c>
      <c r="M1112">
        <f>L1112*(1+(Inputs!$B$10+((C1133=TRUE)*(F1133-Calc!F25))+B1143)/100)</f>
        <v/>
      </c>
      <c r="N1112">
        <f>L1112*(1-MIN((Inputs!$B$9+((C1127=TRUE)*(F1127-Calc!F19))+B1138),100)/100)+M1112*(MIN((Inputs!$B$9+((C1127=TRUE)*(F1127-Calc!F19))+B1138),100)/100)</f>
        <v/>
      </c>
      <c r="O1112">
        <f>(1-Summary!$B$55)*T1112+Summary!$B$55*V1112</f>
        <v/>
      </c>
      <c r="P1112">
        <f>IF(B1148=0,0,O1112/B1148)</f>
        <v/>
      </c>
      <c r="Q1112">
        <f>IFERROR(1/IF(Inputs!$B$38="pvp",15,MAX(0.1,Skills!D4-IF(Skills!E4=TRUE,Inputs!$B$32,0))),0)</f>
        <v/>
      </c>
      <c r="R1112">
        <f>IF(AND(Inputs!$B$38&lt;&gt;"pvp",Inputs!$B$43&gt;0),IF(MAX(0,Inputs!$B$43-B1145)&lt;=0,0,(INT(MAX(0,Inputs!$B$43-B1145)/IF(Inputs!$B$38="pvp",15,MAX(0.1,Skills!D4-IF(Skills!E4=TRUE,Inputs!$B$32,0))))+1)),0)</f>
        <v/>
      </c>
      <c r="S1112">
        <f>IFERROR(O1112/N1112,0)</f>
        <v/>
      </c>
      <c r="T1112">
        <f>IF(C1112,(H1112*N1112*IF(AND(Inputs!$B$38&lt;&gt;"pvp",Inputs!$B$43&gt;0),((Skills!G4*((R1112-1)*IF(Skills!H4&gt;0,Skills!I4/Skills!H4,1)+IF(Skills!H4&gt;0,MIN(Skills!I4,MAX(0,MAX(0,Inputs!$B$43-B1145)-((R1112-1)*IF(Inputs!$B$38="pvp",15,MAX(0.1,Skills!D4-IF(Skills!E4=TRUE,Inputs!$B$32,0))))))/Skills!H4,1)))/Inputs!$B$43),G1112*Q1112))*IF(Inputs!$B$38="pvp",1,1+(Inputs!$B$20+0+Skills!P4)/100),0)</f>
        <v/>
      </c>
      <c r="U1112">
        <f>290*U1111/1000</f>
        <v/>
      </c>
      <c r="V1112">
        <f>IF(C1112,(H1112*N1112*IF(AND(Inputs!$B$38&lt;&gt;"pvp",Inputs!$B$43&gt;0),((Skills!G4*((R1112-1)*IF(Skills!H4&gt;0,Skills!I4/Skills!H4,1)+IF(Skills!H4&gt;0,MIN(Skills!I4,MAX(0,MAX(0,Inputs!$B$43-B1145)-((R1112-1)*IF(Inputs!$B$38="pvp",15,MAX(0.1,Skills!D4-IF(Skills!E4=TRUE,Inputs!$B$32,0))))))/Skills!H4,1)))/Inputs!$B$43),G1112*Q1112))*IF(Inputs!$B$38="pvp",1,(1+(Inputs!$B$21+Skills!Q4)/100)*(MIN(Skills!R4,Inputs!$B$37))),0)</f>
        <v/>
      </c>
    </row>
    <row r="1113">
      <c r="A1113">
        <f>Skills!A5</f>
        <v/>
      </c>
      <c r="B1113">
        <f>Skills!B5</f>
        <v/>
      </c>
      <c r="C1113">
        <f>Inputs!$B$3&gt;=45</f>
        <v/>
      </c>
      <c r="D1113">
        <f>IF(Skills!C5=1,60+Inputs!$B$25+Inputs!$B$29,IF(Skills!C5=2,90+Inputs!$B$26+Inputs!$B$29,IF(Skills!C5=3,120+Inputs!$B$27+Inputs!$B$29,MAX(0,(Inputs!$B$3-100)*3)+Inputs!$B$28+Inputs!$B$29)))</f>
        <v/>
      </c>
      <c r="E1113">
        <f>INDEX(FactorTable!$B$2:$Y$301, MATCH(ROUND(MIN(300,MAX(1,D1113)),0), FactorTable!$A$2:$A$301,0), Skills!M5+1)</f>
        <v/>
      </c>
      <c r="F1113">
        <f>IF(Skills!N5=TRUE,(Skills!L5/10)*(E1113/1000),Skills!L5/10)+Skills!O5</f>
        <v/>
      </c>
      <c r="G1113">
        <f>Skills!G5*IF(Skills!H5&gt;0,Skills!I5/Skills!H5,1)</f>
        <v/>
      </c>
      <c r="H1113">
        <f>1-(1-Skills!J5/100)^Skills!K5</f>
        <v/>
      </c>
      <c r="I1113" t="inlineStr">
        <is>
          <t>1</t>
        </is>
      </c>
      <c r="J1113">
        <f>((Inputs!$B$6*(1+Inputs!$B$7/100))+(((Inputs!$B$12*(1+Inputs!$B$13/100))-(Inputs!$B$12*(1+Inputs!$B$13/100)))+0.25*(Inputs!$B$14-Inputs!$B$14))*(1+Inputs!$B$7/100))*(F1113/100)</f>
        <v/>
      </c>
      <c r="K1113">
        <f>J1113*(1+((Inputs!$B$12*(1+Inputs!$B$13/100))*0.01+Inputs!$B$14*0.0025)/100)*(1+Inputs!$B$15/100)*(1+Inputs!$B$16/100)*(5000/(6000+Inputs!$B$42*(1-(Inputs!$B$19+0)/100)))*(1+(Inputs!$B$24+((C1134=TRUE)*(F1134-Calc!F26))+B1144)/100)*(1+0.4*IF(C1124=TRUE,F1124,0)/100)*(1+(IF(Skills!A5="EIGHT_LEGS_EASTON",Inputs!$B$17+((C1131=TRUE)*(F1131-Calc!F23))+((C1135=TRUE)*(F1135-Calc!F27)),Inputs!$B$18+0))/100)*((1+(((C1125=TRUE)*F1125)+((C1132=TRUE)*(F1132-Calc!F24)))/100)*I1113)</f>
        <v/>
      </c>
      <c r="L1113">
        <f>K1113*(MIN(Inputs!$B$22+((C1130=TRUE)*(F1130-Calc!F22)),Inputs!$B$23+0)/100+(Inputs!$B$23+0)/100)/2</f>
        <v/>
      </c>
      <c r="M1113">
        <f>L1113*(1+(Inputs!$B$10+((C1133=TRUE)*(F1133-Calc!F25))+B1143)/100)</f>
        <v/>
      </c>
      <c r="N1113">
        <f>L1113*(1-MIN((Inputs!$B$9+((C1127=TRUE)*(F1127-Calc!F19))+B1138),100)/100)+M1113*(MIN((Inputs!$B$9+((C1127=TRUE)*(F1127-Calc!F19))+B1138),100)/100)</f>
        <v/>
      </c>
      <c r="O1113">
        <f>(1-Summary!$B$55)*T1113+Summary!$B$55*V1113</f>
        <v/>
      </c>
      <c r="P1113">
        <f>IF(B1148=0,0,O1113/B1148)</f>
        <v/>
      </c>
      <c r="Q1113">
        <f>IFERROR(1/IF(Inputs!$B$38="pvp",15,MAX(0.1,Skills!D5-IF(Skills!E5=TRUE,Inputs!$B$32,0))),0)</f>
        <v/>
      </c>
      <c r="R1113">
        <f>IF(AND(Inputs!$B$38&lt;&gt;"pvp",Inputs!$B$43&gt;0),IF(MAX(0,Inputs!$B$43-B1145)&lt;=0,0,(INT(MAX(0,Inputs!$B$43-B1145)/IF(Inputs!$B$38="pvp",15,MAX(0.1,Skills!D5-IF(Skills!E5=TRUE,Inputs!$B$32,0))))+1)),0)</f>
        <v/>
      </c>
      <c r="S1113">
        <f>IFERROR(O1113/N1113,0)</f>
        <v/>
      </c>
      <c r="T1113">
        <f>IF(C1113,(H1113*N1113*IF(AND(Inputs!$B$38&lt;&gt;"pvp",Inputs!$B$43&gt;0),((Skills!G5*((R1113-1)*IF(Skills!H5&gt;0,Skills!I5/Skills!H5,1)+IF(Skills!H5&gt;0,MIN(Skills!I5,MAX(0,MAX(0,Inputs!$B$43-B1145)-((R1113-1)*IF(Inputs!$B$38="pvp",15,MAX(0.1,Skills!D5-IF(Skills!E5=TRUE,Inputs!$B$32,0))))))/Skills!H5,1)))/Inputs!$B$43),G1113*Q1113))*IF(Inputs!$B$38="pvp",1,1+(Inputs!$B$20+0+Skills!P5)/100),0)</f>
        <v/>
      </c>
      <c r="V1113">
        <f>IF(C1113,(H1113*N1113*IF(AND(Inputs!$B$38&lt;&gt;"pvp",Inputs!$B$43&gt;0),((Skills!G5*((R1113-1)*IF(Skills!H5&gt;0,Skills!I5/Skills!H5,1)+IF(Skills!H5&gt;0,MIN(Skills!I5,MAX(0,MAX(0,Inputs!$B$43-B1145)-((R1113-1)*IF(Inputs!$B$38="pvp",15,MAX(0.1,Skills!D5-IF(Skills!E5=TRUE,Inputs!$B$32,0))))))/Skills!H5,1)))/Inputs!$B$43),G1113*Q1113))*IF(Inputs!$B$38="pvp",1,(1+(Inputs!$B$21+Skills!Q5)/100)*(MIN(Skills!R5,Inputs!$B$37))),0)</f>
        <v/>
      </c>
    </row>
    <row r="1114">
      <c r="A1114">
        <f>Skills!A6</f>
        <v/>
      </c>
      <c r="B1114">
        <f>Skills!B6</f>
        <v/>
      </c>
      <c r="C1114">
        <f>Inputs!$B$3&gt;=63</f>
        <v/>
      </c>
      <c r="D1114">
        <f>IF(Skills!C6=1,60+Inputs!$B$25+Inputs!$B$29,IF(Skills!C6=2,90+Inputs!$B$26+Inputs!$B$29,IF(Skills!C6=3,120+Inputs!$B$27+Inputs!$B$29,MAX(0,(Inputs!$B$3-100)*3)+Inputs!$B$28+Inputs!$B$29)))</f>
        <v/>
      </c>
      <c r="E1114">
        <f>INDEX(FactorTable!$B$2:$Y$301, MATCH(ROUND(MIN(300,MAX(1,D1114)),0), FactorTable!$A$2:$A$301,0), Skills!M6+1)</f>
        <v/>
      </c>
      <c r="F1114">
        <f>IF(Skills!N6=TRUE,(Skills!L6/10)*(E1114/1000),Skills!L6/10)+Skills!O6</f>
        <v/>
      </c>
      <c r="G1114">
        <f>Skills!G6*IF(Skills!H6&gt;0,Skills!I6/Skills!H6,1)</f>
        <v/>
      </c>
      <c r="H1114">
        <f>1-(1-Skills!J6/100)^Skills!K6</f>
        <v/>
      </c>
      <c r="I1114" t="inlineStr">
        <is>
          <t>1</t>
        </is>
      </c>
      <c r="J1114">
        <f>((Inputs!$B$6*(1+Inputs!$B$7/100))+(((Inputs!$B$12*(1+Inputs!$B$13/100))-(Inputs!$B$12*(1+Inputs!$B$13/100)))+0.25*(Inputs!$B$14-Inputs!$B$14))*(1+Inputs!$B$7/100))*(F1114/100)</f>
        <v/>
      </c>
      <c r="K1114">
        <f>J1114*(1+((Inputs!$B$12*(1+Inputs!$B$13/100))*0.01+Inputs!$B$14*0.0025)/100)*(1+Inputs!$B$15/100)*(1+Inputs!$B$16/100)*(5000/(6000+Inputs!$B$42*(1-(Inputs!$B$19+0)/100)))*(1+(Inputs!$B$24+((C1134=TRUE)*(F1134-Calc!F26))+B1144)/100)*(1+2.0*IF(C1123=TRUE,F1123,0)/100)*(1+(IF(Skills!A6="EIGHT_LEGS_EASTON",Inputs!$B$17+((C1131=TRUE)*(F1131-Calc!F23))+((C1135=TRUE)*(F1135-Calc!F27)),Inputs!$B$18+0))/100)*((1+(((C1125=TRUE)*F1125)+((C1132=TRUE)*(F1132-Calc!F24)))/100)*I1114)</f>
        <v/>
      </c>
      <c r="L1114">
        <f>K1114*(MIN(Inputs!$B$22+((C1130=TRUE)*(F1130-Calc!F22)),Inputs!$B$23+0)/100+(Inputs!$B$23+0)/100)/2</f>
        <v/>
      </c>
      <c r="M1114">
        <f>L1114*(1+(Inputs!$B$10+((C1133=TRUE)*(F1133-Calc!F25))+B1143)/100)</f>
        <v/>
      </c>
      <c r="N1114">
        <f>L1114*(1-MIN((Inputs!$B$9+((C1127=TRUE)*(F1127-Calc!F19))+B1138),100)/100)+M1114*(MIN((Inputs!$B$9+((C1127=TRUE)*(F1127-Calc!F19))+B1138),100)/100)</f>
        <v/>
      </c>
      <c r="O1114">
        <f>(1-Summary!$B$55)*T1114+Summary!$B$55*V1114</f>
        <v/>
      </c>
      <c r="P1114">
        <f>IF(B1148=0,0,O1114/B1148)</f>
        <v/>
      </c>
      <c r="Q1114">
        <f>IFERROR(1/IF(Inputs!$B$38="pvp",15,MAX(0.1,Skills!D6-IF(Skills!E6=TRUE,Inputs!$B$32,0))),0)</f>
        <v/>
      </c>
      <c r="R1114">
        <f>IF(AND(Inputs!$B$38&lt;&gt;"pvp",Inputs!$B$43&gt;0),IF(MAX(0,Inputs!$B$43-B1145)&lt;=0,0,(INT(MAX(0,Inputs!$B$43-B1145)/IF(Inputs!$B$38="pvp",15,MAX(0.1,Skills!D6-IF(Skills!E6=TRUE,Inputs!$B$32,0))))+1)),0)</f>
        <v/>
      </c>
      <c r="S1114">
        <f>IFERROR(O1114/N1114,0)</f>
        <v/>
      </c>
      <c r="T1114">
        <f>IF(C1114,(H1114*N1114*IF(AND(Inputs!$B$38&lt;&gt;"pvp",Inputs!$B$43&gt;0),((Skills!G6*((R1114-1)*IF(Skills!H6&gt;0,Skills!I6/Skills!H6,1)+IF(Skills!H6&gt;0,MIN(Skills!I6,MAX(0,MAX(0,Inputs!$B$43-B1145)-((R1114-1)*IF(Inputs!$B$38="pvp",15,MAX(0.1,Skills!D6-IF(Skills!E6=TRUE,Inputs!$B$32,0))))))/Skills!H6,1)))/Inputs!$B$43),G1114*Q1114))*IF(Inputs!$B$38="pvp",1,1+(Inputs!$B$20+0+Skills!P6)/100),0)</f>
        <v/>
      </c>
      <c r="V1114">
        <f>IF(C1114,(H1114*N1114*IF(AND(Inputs!$B$38&lt;&gt;"pvp",Inputs!$B$43&gt;0),((Skills!G6*((R1114-1)*IF(Skills!H6&gt;0,Skills!I6/Skills!H6,1)+IF(Skills!H6&gt;0,MIN(Skills!I6,MAX(0,MAX(0,Inputs!$B$43-B1145)-((R1114-1)*IF(Inputs!$B$38="pvp",15,MAX(0.1,Skills!D6-IF(Skills!E6=TRUE,Inputs!$B$32,0))))))/Skills!H6,1)))/Inputs!$B$43),G1114*Q1114))*IF(Inputs!$B$38="pvp",1,(1+(Inputs!$B$21+Skills!Q6)/100)*(MIN(Skills!R6,Inputs!$B$37))),0)</f>
        <v/>
      </c>
    </row>
    <row r="1115">
      <c r="A1115">
        <f>Skills!A7</f>
        <v/>
      </c>
      <c r="B1115">
        <f>Skills!B7</f>
        <v/>
      </c>
      <c r="C1115">
        <f>Inputs!$B$3&gt;=66</f>
        <v/>
      </c>
      <c r="D1115">
        <f>IF(Skills!C7=1,60+Inputs!$B$25+Inputs!$B$29,IF(Skills!C7=2,90+Inputs!$B$26+Inputs!$B$29,IF(Skills!C7=3,120+Inputs!$B$27+Inputs!$B$29,MAX(0,(Inputs!$B$3-100)*3)+Inputs!$B$28+Inputs!$B$29)))</f>
        <v/>
      </c>
      <c r="E1115">
        <f>INDEX(FactorTable!$B$2:$Y$301, MATCH(ROUND(MIN(300,MAX(1,D1115)),0), FactorTable!$A$2:$A$301,0), Skills!M7+1)</f>
        <v/>
      </c>
      <c r="F1115">
        <f>IF(Skills!N7=TRUE,(Skills!L7/10)*(E1115/1000),Skills!L7/10)+Skills!O7</f>
        <v/>
      </c>
      <c r="G1115">
        <f>Skills!G7*IF(Skills!H7&gt;0,Skills!I7/Skills!H7,1)</f>
        <v/>
      </c>
      <c r="H1115">
        <f>1-(1-Skills!J7/100)^Skills!K7</f>
        <v/>
      </c>
      <c r="I1115" t="inlineStr">
        <is>
          <t>1</t>
        </is>
      </c>
      <c r="J1115">
        <f>((Inputs!$B$6*(1+Inputs!$B$7/100))+(((Inputs!$B$12*(1+Inputs!$B$13/100))-(Inputs!$B$12*(1+Inputs!$B$13/100)))+0.25*(Inputs!$B$14-Inputs!$B$14))*(1+Inputs!$B$7/100))*(F1115/100)</f>
        <v/>
      </c>
      <c r="K1115">
        <f>J1115*(1+((Inputs!$B$12*(1+Inputs!$B$13/100))*0.01+Inputs!$B$14*0.0025)/100)*(1+Inputs!$B$15/100)*(1+Inputs!$B$16/100)*(5000/(6000+Inputs!$B$42*(1-(Inputs!$B$19+0)/100)))*(1+(Inputs!$B$24+((C1134=TRUE)*(F1134-Calc!F26))+B1144)/100)*(1+1.0*IF(C1123=TRUE,F1123,0)/100)*(1+(IF(Skills!A7="EIGHT_LEGS_EASTON",Inputs!$B$17+((C1131=TRUE)*(F1131-Calc!F23))+((C1135=TRUE)*(F1135-Calc!F27)),Inputs!$B$18+0))/100)*((1+(((C1125=TRUE)*F1125)+((C1132=TRUE)*(F1132-Calc!F24)))/100)*I1115)</f>
        <v/>
      </c>
      <c r="L1115">
        <f>K1115*(MIN(Inputs!$B$22+((C1130=TRUE)*(F1130-Calc!F22)),Inputs!$B$23+0)/100+(Inputs!$B$23+0)/100)/2</f>
        <v/>
      </c>
      <c r="M1115">
        <f>L1115*(1+(Inputs!$B$10+((C1133=TRUE)*(F1133-Calc!F25))+B1143)/100)</f>
        <v/>
      </c>
      <c r="N1115">
        <f>L1115*(1-MIN((Inputs!$B$9+((C1127=TRUE)*(F1127-Calc!F19))+B1138),100)/100)+M1115*(MIN((Inputs!$B$9+((C1127=TRUE)*(F1127-Calc!F19))+B1138),100)/100)</f>
        <v/>
      </c>
      <c r="O1115">
        <f>(1-Summary!$B$55)*T1115+Summary!$B$55*V1115</f>
        <v/>
      </c>
      <c r="P1115">
        <f>IF(B1148=0,0,O1115/B1148)</f>
        <v/>
      </c>
      <c r="Q1115">
        <f>IFERROR(1/IF(Inputs!$B$38="pvp",15,MAX(0.1,Skills!D7-IF(Skills!E7=TRUE,Inputs!$B$32,0))),0)</f>
        <v/>
      </c>
      <c r="R1115">
        <f>IF(AND(Inputs!$B$38&lt;&gt;"pvp",Inputs!$B$43&gt;0),IF(MAX(0,Inputs!$B$43-B1145)&lt;=0,0,(INT(MAX(0,Inputs!$B$43-B1145)/IF(Inputs!$B$38="pvp",15,MAX(0.1,Skills!D7-IF(Skills!E7=TRUE,Inputs!$B$32,0))))+1)),0)</f>
        <v/>
      </c>
      <c r="S1115">
        <f>IFERROR(O1115/N1115,0)</f>
        <v/>
      </c>
      <c r="T1115">
        <f>IF(C1115,(H1115*N1115*IF(AND(Inputs!$B$38&lt;&gt;"pvp",Inputs!$B$43&gt;0),((Skills!G7*((R1115-1)*IF(Skills!H7&gt;0,Skills!I7/Skills!H7,1)+IF(Skills!H7&gt;0,MIN(Skills!I7,MAX(0,MAX(0,Inputs!$B$43-B1145)-((R1115-1)*IF(Inputs!$B$38="pvp",15,MAX(0.1,Skills!D7-IF(Skills!E7=TRUE,Inputs!$B$32,0))))))/Skills!H7,1)))/Inputs!$B$43),G1115*Q1115))*IF(Inputs!$B$38="pvp",1,1+(Inputs!$B$20+0+Skills!P7)/100),0)</f>
        <v/>
      </c>
      <c r="V1115">
        <f>IF(C1115,(H1115*N1115*IF(AND(Inputs!$B$38&lt;&gt;"pvp",Inputs!$B$43&gt;0),((Skills!G7*((R1115-1)*IF(Skills!H7&gt;0,Skills!I7/Skills!H7,1)+IF(Skills!H7&gt;0,MIN(Skills!I7,MAX(0,MAX(0,Inputs!$B$43-B1145)-((R1115-1)*IF(Inputs!$B$38="pvp",15,MAX(0.1,Skills!D7-IF(Skills!E7=TRUE,Inputs!$B$32,0))))))/Skills!H7,1)))/Inputs!$B$43),G1115*Q1115))*IF(Inputs!$B$38="pvp",1,(1+(Inputs!$B$21+Skills!Q7)/100)*(MIN(Skills!R7,Inputs!$B$37))),0)</f>
        <v/>
      </c>
    </row>
    <row r="1116">
      <c r="A1116">
        <f>Skills!A8</f>
        <v/>
      </c>
      <c r="B1116">
        <f>Skills!B8</f>
        <v/>
      </c>
      <c r="C1116">
        <f>Inputs!$B$3&gt;=100</f>
        <v/>
      </c>
      <c r="D1116">
        <f>IF(Skills!C8=1,60+Inputs!$B$25+Inputs!$B$29,IF(Skills!C8=2,90+Inputs!$B$26+Inputs!$B$29,IF(Skills!C8=3,120+Inputs!$B$27+Inputs!$B$29,MAX(0,(Inputs!$B$3-100)*3)+Inputs!$B$28+Inputs!$B$29)))</f>
        <v/>
      </c>
      <c r="E1116">
        <f>INDEX(FactorTable!$B$2:$Y$301, MATCH(ROUND(MIN(300,MAX(1,D1116)),0), FactorTable!$A$2:$A$301,0), Skills!M8+1)</f>
        <v/>
      </c>
      <c r="F1116">
        <f>IF(Skills!N8=TRUE,(Skills!L8/10)*(E1116/1000),Skills!L8/10)+Skills!O8</f>
        <v/>
      </c>
      <c r="G1116">
        <f>Skills!G8*IF(Skills!H8&gt;0,Skills!I8/Skills!H8,1)</f>
        <v/>
      </c>
      <c r="H1116">
        <f>1-(1-Skills!J8/100)^Skills!K8</f>
        <v/>
      </c>
      <c r="I1116" t="inlineStr">
        <is>
          <t>1</t>
        </is>
      </c>
      <c r="J1116">
        <f>((Inputs!$B$6*(1+Inputs!$B$7/100))+(((Inputs!$B$12*(1+Inputs!$B$13/100))-(Inputs!$B$12*(1+Inputs!$B$13/100)))+0.25*(Inputs!$B$14-Inputs!$B$14))*(1+Inputs!$B$7/100))*(F1116/100)</f>
        <v/>
      </c>
      <c r="K1116">
        <f>J1116*(1+((Inputs!$B$12*(1+Inputs!$B$13/100))*0.01+Inputs!$B$14*0.0025)/100)*(1+Inputs!$B$15/100)*(1+Inputs!$B$16/100)*(5000/(6000+Inputs!$B$42*(1-(Inputs!$B$19+0)/100)))*(1+(Inputs!$B$24+((C1134=TRUE)*(F1134-Calc!F26))+B1144)/100)*(1+(IF(Skills!A8="EIGHT_LEGS_EASTON",Inputs!$B$17+((C1131=TRUE)*(F1131-Calc!F23))+((C1135=TRUE)*(F1135-Calc!F27)),Inputs!$B$18+0))/100)*((1+(((C1125=TRUE)*F1125)+((C1132=TRUE)*(F1132-Calc!F24)))/100)*I1116)</f>
        <v/>
      </c>
      <c r="L1116">
        <f>K1116*(MIN(Inputs!$B$22+((C1130=TRUE)*(F1130-Calc!F22)),Inputs!$B$23+0)/100+(Inputs!$B$23+0)/100)/2</f>
        <v/>
      </c>
      <c r="M1116">
        <f>L1116*(1+(Inputs!$B$10+((C1133=TRUE)*(F1133-Calc!F25))+B1143)/100)</f>
        <v/>
      </c>
      <c r="N1116">
        <f>L1116*(1-MIN((Inputs!$B$9+((C1127=TRUE)*(F1127-Calc!F19))+B1138),100)/100)+M1116*(MIN((Inputs!$B$9+((C1127=TRUE)*(F1127-Calc!F19))+B1138),100)/100)</f>
        <v/>
      </c>
      <c r="O1116">
        <f>(1-Summary!$B$55)*T1116+Summary!$B$55*V1116</f>
        <v/>
      </c>
      <c r="P1116">
        <f>IF(B1148=0,0,O1116/B1148)</f>
        <v/>
      </c>
      <c r="Q1116">
        <f>IFERROR(1/IF(Inputs!$B$38="pvp",15,MAX(0.1,Skills!D8-IF(Skills!E8=TRUE,Inputs!$B$32,0))),0)</f>
        <v/>
      </c>
      <c r="R1116">
        <f>IF(AND(Inputs!$B$38&lt;&gt;"pvp",Inputs!$B$43&gt;0),IF(MAX(0,Inputs!$B$43-B1145)&lt;=0,0,(INT(MAX(0,Inputs!$B$43-B1145)/IF(Inputs!$B$38="pvp",15,MAX(0.1,Skills!D8-IF(Skills!E8=TRUE,Inputs!$B$32,0))))+1)),0)</f>
        <v/>
      </c>
      <c r="S1116">
        <f>IFERROR(O1116/N1116,0)</f>
        <v/>
      </c>
      <c r="T1116">
        <f>IF(C1116,(H1116*N1116*IF(AND(Inputs!$B$38&lt;&gt;"pvp",Inputs!$B$43&gt;0),((Skills!G8*((R1116-1)*IF(Skills!H8&gt;0,Skills!I8/Skills!H8,1)+IF(Skills!H8&gt;0,MIN(Skills!I8,MAX(0,MAX(0,Inputs!$B$43-B1145)-((R1116-1)*IF(Inputs!$B$38="pvp",15,MAX(0.1,Skills!D8-IF(Skills!E8=TRUE,Inputs!$B$32,0))))))/Skills!H8,1)))/Inputs!$B$43),G1116*Q1116))*IF(Inputs!$B$38="pvp",1,1+(Inputs!$B$20+0+Skills!P8)/100),0)</f>
        <v/>
      </c>
      <c r="V1116">
        <f>IF(C1116,(H1116*N1116*IF(AND(Inputs!$B$38&lt;&gt;"pvp",Inputs!$B$43&gt;0),((Skills!G8*((R1116-1)*IF(Skills!H8&gt;0,Skills!I8/Skills!H8,1)+IF(Skills!H8&gt;0,MIN(Skills!I8,MAX(0,MAX(0,Inputs!$B$43-B1145)-((R1116-1)*IF(Inputs!$B$38="pvp",15,MAX(0.1,Skills!D8-IF(Skills!E8=TRUE,Inputs!$B$32,0))))))/Skills!H8,1)))/Inputs!$B$43),G1116*Q1116))*IF(Inputs!$B$38="pvp",1,(1+(Inputs!$B$21+Skills!Q8)/100)*(MIN(Skills!R8,Inputs!$B$37))),0)</f>
        <v/>
      </c>
    </row>
    <row r="1117">
      <c r="A1117">
        <f>Skills!A9</f>
        <v/>
      </c>
      <c r="B1117">
        <f>Skills!B9</f>
        <v/>
      </c>
      <c r="C1117">
        <f>Inputs!$B$3&gt;=103</f>
        <v/>
      </c>
      <c r="D1117">
        <f>IF(Skills!C9=1,60+Inputs!$B$25+Inputs!$B$29,IF(Skills!C9=2,90+Inputs!$B$26+Inputs!$B$29,IF(Skills!C9=3,120+Inputs!$B$27+Inputs!$B$29,MAX(0,(Inputs!$B$3-100)*3)+Inputs!$B$28+Inputs!$B$29)))</f>
        <v/>
      </c>
      <c r="E1117">
        <f>INDEX(FactorTable!$B$2:$Y$301, MATCH(ROUND(MIN(300,MAX(1,D1117)),0), FactorTable!$A$2:$A$301,0), Skills!M9+1)</f>
        <v/>
      </c>
      <c r="F1117">
        <f>IF(Skills!N9=TRUE,(Skills!L9/10)*(E1117/1000),Skills!L9/10)+Skills!O9</f>
        <v/>
      </c>
      <c r="G1117">
        <f>Skills!G9*IF(Skills!H9&gt;0,Skills!I9/Skills!H9,1)</f>
        <v/>
      </c>
      <c r="H1117">
        <f>1-(1-Skills!J9/100)^Skills!K9</f>
        <v/>
      </c>
      <c r="I1117" t="inlineStr">
        <is>
          <t>1</t>
        </is>
      </c>
      <c r="J1117">
        <f>((Inputs!$B$6*(1+Inputs!$B$7/100))+(((Inputs!$B$12*(1+Inputs!$B$13/100))-(Inputs!$B$12*(1+Inputs!$B$13/100)))+0.25*(Inputs!$B$14-Inputs!$B$14))*(1+Inputs!$B$7/100))*(F1117/100)</f>
        <v/>
      </c>
      <c r="K1117">
        <f>J1117*(1+((Inputs!$B$12*(1+Inputs!$B$13/100))*0.01+Inputs!$B$14*0.0025)/100)*(1+Inputs!$B$15/100)*(1+Inputs!$B$16/100)*(5000/(6000+Inputs!$B$42*(1-(Inputs!$B$19+0)/100)))*(1+(Inputs!$B$24+((C1134=TRUE)*(F1134-Calc!F26))+B1144)/100)*(1+(IF(Skills!A9="EIGHT_LEGS_EASTON",Inputs!$B$17+((C1131=TRUE)*(F1131-Calc!F23))+((C1135=TRUE)*(F1135-Calc!F27)),Inputs!$B$18+0))/100)*((1+(((C1125=TRUE)*F1125)+((C1132=TRUE)*(F1132-Calc!F24)))/100)*I1117)</f>
        <v/>
      </c>
      <c r="L1117">
        <f>K1117*(MIN(Inputs!$B$22+((C1130=TRUE)*(F1130-Calc!F22)),Inputs!$B$23+0)/100+(Inputs!$B$23+0)/100)/2</f>
        <v/>
      </c>
      <c r="M1117">
        <f>L1117*(1+(Inputs!$B$10+((C1133=TRUE)*(F1133-Calc!F25))+B1143)/100)</f>
        <v/>
      </c>
      <c r="N1117">
        <f>L1117*(1-MIN((Inputs!$B$9+((C1127=TRUE)*(F1127-Calc!F19))+B1138),100)/100)+M1117*(MIN((Inputs!$B$9+((C1127=TRUE)*(F1127-Calc!F19))+B1138),100)/100)</f>
        <v/>
      </c>
      <c r="O1117">
        <f>(1-Summary!$B$55)*T1117+Summary!$B$55*V1117</f>
        <v/>
      </c>
      <c r="P1117">
        <f>IF(B1148=0,0,O1117/B1148)</f>
        <v/>
      </c>
      <c r="Q1117">
        <f>IFERROR(1/IF(Inputs!$B$38="pvp",15,MAX(0.1,Skills!D9-IF(Skills!E9=TRUE,Inputs!$B$32,0))),0)</f>
        <v/>
      </c>
      <c r="R1117">
        <f>IF(AND(Inputs!$B$38&lt;&gt;"pvp",Inputs!$B$43&gt;0),IF(MAX(0,Inputs!$B$43-B1145)&lt;=0,0,(INT(MAX(0,Inputs!$B$43-B1145)/IF(Inputs!$B$38="pvp",15,MAX(0.1,Skills!D9-IF(Skills!E9=TRUE,Inputs!$B$32,0))))+1)),0)</f>
        <v/>
      </c>
      <c r="S1117">
        <f>IFERROR(O1117/N1117,0)</f>
        <v/>
      </c>
      <c r="T1117">
        <f>IF(C1117,(H1117*N1117*IF(AND(Inputs!$B$38&lt;&gt;"pvp",Inputs!$B$43&gt;0),((Skills!G9*((R1117-1)*IF(Skills!H9&gt;0,Skills!I9/Skills!H9,1)+IF(Skills!H9&gt;0,MIN(Skills!I9,MAX(0,MAX(0,Inputs!$B$43-B1145)-((R1117-1)*IF(Inputs!$B$38="pvp",15,MAX(0.1,Skills!D9-IF(Skills!E9=TRUE,Inputs!$B$32,0))))))/Skills!H9,1)))/Inputs!$B$43),G1117*Q1117))*IF(Inputs!$B$38="pvp",1,1+(Inputs!$B$20+0+Skills!P9)/100),0)</f>
        <v/>
      </c>
      <c r="V1117">
        <f>IF(C1117,(H1117*N1117*IF(AND(Inputs!$B$38&lt;&gt;"pvp",Inputs!$B$43&gt;0),((Skills!G9*((R1117-1)*IF(Skills!H9&gt;0,Skills!I9/Skills!H9,1)+IF(Skills!H9&gt;0,MIN(Skills!I9,MAX(0,MAX(0,Inputs!$B$43-B1145)-((R1117-1)*IF(Inputs!$B$38="pvp",15,MAX(0.1,Skills!D9-IF(Skills!E9=TRUE,Inputs!$B$32,0))))))/Skills!H9,1)))/Inputs!$B$43),G1117*Q1117))*IF(Inputs!$B$38="pvp",1,(1+(Inputs!$B$21+Skills!Q9)/100)*(MIN(Skills!R9,Inputs!$B$37))),0)</f>
        <v/>
      </c>
    </row>
    <row r="1118">
      <c r="A1118">
        <f>Skills!A10</f>
        <v/>
      </c>
      <c r="B1118">
        <f>Skills!B10</f>
        <v/>
      </c>
      <c r="C1118">
        <f>Inputs!$B$3&gt;=113</f>
        <v/>
      </c>
      <c r="D1118">
        <f>IF(Skills!C10=1,60+Inputs!$B$25+Inputs!$B$29,IF(Skills!C10=2,90+Inputs!$B$26+Inputs!$B$29,IF(Skills!C10=3,120+Inputs!$B$27+Inputs!$B$29,MAX(0,(Inputs!$B$3-100)*3)+Inputs!$B$28+Inputs!$B$29)))</f>
        <v/>
      </c>
      <c r="E1118">
        <f>INDEX(FactorTable!$B$2:$Y$301, MATCH(ROUND(MIN(300,MAX(1,D1118)),0), FactorTable!$A$2:$A$301,0), Skills!M10+1)</f>
        <v/>
      </c>
      <c r="F1118">
        <f>IF(Skills!N10=TRUE,(Skills!L10/10)*(E1118/1000),Skills!L10/10)+Skills!O10</f>
        <v/>
      </c>
      <c r="G1118">
        <f>Skills!G10*IF(Skills!H10&gt;0,Skills!I10/Skills!H10,1)</f>
        <v/>
      </c>
      <c r="H1118">
        <f>1-(1-Skills!J10/100)^Skills!K10</f>
        <v/>
      </c>
      <c r="I1118" t="inlineStr">
        <is>
          <t>1</t>
        </is>
      </c>
      <c r="J1118">
        <f>((Inputs!$B$6*(1+Inputs!$B$7/100))+(((Inputs!$B$12*(1+Inputs!$B$13/100))-(Inputs!$B$12*(1+Inputs!$B$13/100)))+0.25*(Inputs!$B$14-Inputs!$B$14))*(1+Inputs!$B$7/100))*(F1118/100)</f>
        <v/>
      </c>
      <c r="K1118">
        <f>J1118*(1+((Inputs!$B$12*(1+Inputs!$B$13/100))*0.01+Inputs!$B$14*0.0025)/100)*(1+Inputs!$B$15/100)*(1+Inputs!$B$16/100)*(5000/(6000+Inputs!$B$42*(1-(Inputs!$B$19+0)/100)))*(1+(Inputs!$B$24+((C1134=TRUE)*(F1134-Calc!F26))+B1144)/100)*(1+(IF(Skills!A10="EIGHT_LEGS_EASTON",Inputs!$B$17+((C1131=TRUE)*(F1131-Calc!F23))+((C1135=TRUE)*(F1135-Calc!F27)),Inputs!$B$18+0))/100)*((1+(((C1125=TRUE)*F1125)+((C1132=TRUE)*(F1132-Calc!F24)))/100)*I1118)</f>
        <v/>
      </c>
      <c r="L1118">
        <f>K1118*(MIN(Inputs!$B$22+((C1130=TRUE)*(F1130-Calc!F22)),Inputs!$B$23+0)/100+(Inputs!$B$23+0)/100)/2</f>
        <v/>
      </c>
      <c r="M1118">
        <f>L1118*(1+(Inputs!$B$10+((C1133=TRUE)*(F1133-Calc!F25))+B1143)/100)</f>
        <v/>
      </c>
      <c r="N1118">
        <f>L1118*(1-MIN((Inputs!$B$9+((C1127=TRUE)*(F1127-Calc!F19))+B1138),100)/100)+M1118*(MIN((Inputs!$B$9+((C1127=TRUE)*(F1127-Calc!F19))+B1138),100)/100)</f>
        <v/>
      </c>
      <c r="O1118">
        <f>(1-Summary!$B$55)*T1118+Summary!$B$55*V1118</f>
        <v/>
      </c>
      <c r="P1118">
        <f>IF(B1148=0,0,O1118/B1148)</f>
        <v/>
      </c>
      <c r="Q1118">
        <f>IFERROR(1/IF(Inputs!$B$38="pvp",15,MAX(0.1,Skills!D10-IF(Skills!E10=TRUE,Inputs!$B$32,0))),0)</f>
        <v/>
      </c>
      <c r="R1118">
        <f>IF(AND(Inputs!$B$38&lt;&gt;"pvp",Inputs!$B$43&gt;0),IF(MAX(0,Inputs!$B$43-B1145)&lt;=0,0,(INT(MAX(0,Inputs!$B$43-B1145)/IF(Inputs!$B$38="pvp",15,MAX(0.1,Skills!D10-IF(Skills!E10=TRUE,Inputs!$B$32,0))))+1)),0)</f>
        <v/>
      </c>
      <c r="S1118">
        <f>IFERROR(O1118/N1118,0)</f>
        <v/>
      </c>
      <c r="T1118">
        <f>IF(C1118,(H1118*N1118*IF(AND(Inputs!$B$38&lt;&gt;"pvp",Inputs!$B$43&gt;0),((Skills!G10*((R1118-1)*IF(Skills!H10&gt;0,Skills!I10/Skills!H10,1)+IF(Skills!H10&gt;0,MIN(Skills!I10,MAX(0,MAX(0,Inputs!$B$43-B1145)-((R1118-1)*IF(Inputs!$B$38="pvp",15,MAX(0.1,Skills!D10-IF(Skills!E10=TRUE,Inputs!$B$32,0))))))/Skills!H10,1)))/Inputs!$B$43),G1118*Q1118))*IF(Inputs!$B$38="pvp",1,1+(Inputs!$B$20+0+Skills!P10)/100),0)</f>
        <v/>
      </c>
      <c r="V1118">
        <f>IF(C1118,(H1118*N1118*IF(AND(Inputs!$B$38&lt;&gt;"pvp",Inputs!$B$43&gt;0),((Skills!G10*((R1118-1)*IF(Skills!H10&gt;0,Skills!I10/Skills!H10,1)+IF(Skills!H10&gt;0,MIN(Skills!I10,MAX(0,MAX(0,Inputs!$B$43-B1145)-((R1118-1)*IF(Inputs!$B$38="pvp",15,MAX(0.1,Skills!D10-IF(Skills!E10=TRUE,Inputs!$B$32,0))))))/Skills!H10,1)))/Inputs!$B$43),G1118*Q1118))*IF(Inputs!$B$38="pvp",1,(1+(Inputs!$B$21+Skills!Q10)/100)*(MIN(Skills!R10,Inputs!$B$37))),0)</f>
        <v/>
      </c>
    </row>
    <row r="1119">
      <c r="A1119">
        <f>Skills!A11</f>
        <v/>
      </c>
      <c r="B1119">
        <f>Skills!B11</f>
        <v/>
      </c>
      <c r="C1119">
        <f>Inputs!$B$3&gt;=107</f>
        <v/>
      </c>
      <c r="D1119">
        <f>IF(Skills!C11=1,60+Inputs!$B$25+Inputs!$B$29,IF(Skills!C11=2,90+Inputs!$B$26+Inputs!$B$29,IF(Skills!C11=3,120+Inputs!$B$27+Inputs!$B$29,MAX(0,(Inputs!$B$3-100)*3)+Inputs!$B$28+Inputs!$B$29)))</f>
        <v/>
      </c>
      <c r="E1119">
        <f>INDEX(FactorTable!$B$2:$Y$301, MATCH(ROUND(MIN(300,MAX(1,D1119)),0), FactorTable!$A$2:$A$301,0), Skills!M11+1)</f>
        <v/>
      </c>
      <c r="F1119">
        <f>IF(Skills!N11=TRUE,(Skills!L11/10)*(E1119/1000),Skills!L11/10)+Skills!O11</f>
        <v/>
      </c>
      <c r="G1119">
        <f>Skills!G11*IF(Skills!H11&gt;0,Skills!I11/Skills!H11,1)</f>
        <v/>
      </c>
      <c r="H1119">
        <f>1-(1-Skills!J11/100)^Skills!K11</f>
        <v/>
      </c>
      <c r="I1119" t="inlineStr">
        <is>
          <t>1</t>
        </is>
      </c>
      <c r="J1119">
        <f>((Inputs!$B$6*(1+Inputs!$B$7/100))+(((Inputs!$B$12*(1+Inputs!$B$13/100))-(Inputs!$B$12*(1+Inputs!$B$13/100)))+0.25*(Inputs!$B$14-Inputs!$B$14))*(1+Inputs!$B$7/100))*(F1119/100)</f>
        <v/>
      </c>
      <c r="K1119">
        <f>J1119*(1+((Inputs!$B$12*(1+Inputs!$B$13/100))*0.01+Inputs!$B$14*0.0025)/100)*(1+Inputs!$B$15/100)*(1+Inputs!$B$16/100)*(5000/(6000+Inputs!$B$42*(1-(Inputs!$B$19+0)/100)))*(1+(Inputs!$B$24+((C1134=TRUE)*(F1134-Calc!F26))+B1144)/100)*(1+(IF(Skills!A11="EIGHT_LEGS_EASTON",Inputs!$B$17+((C1131=TRUE)*(F1131-Calc!F23))+((C1135=TRUE)*(F1135-Calc!F27)),Inputs!$B$18+0))/100)*((1+(((C1125=TRUE)*F1125)+((C1132=TRUE)*(F1132-Calc!F24)))/100)*I1119)</f>
        <v/>
      </c>
      <c r="L1119">
        <f>K1119*(MIN(Inputs!$B$22+((C1130=TRUE)*(F1130-Calc!F22)),Inputs!$B$23+0)/100+(Inputs!$B$23+0)/100)/2</f>
        <v/>
      </c>
      <c r="M1119">
        <f>L1119*(1+(Inputs!$B$10+((C1133=TRUE)*(F1133-Calc!F25))+B1143)/100)</f>
        <v/>
      </c>
      <c r="N1119">
        <f>L1119*(1-MIN((Inputs!$B$9+((C1127=TRUE)*(F1127-Calc!F19))+B1138),100)/100)+M1119*(MIN((Inputs!$B$9+((C1127=TRUE)*(F1127-Calc!F19))+B1138),100)/100)</f>
        <v/>
      </c>
      <c r="O1119">
        <f>(1-Summary!$B$55)*T1119+Summary!$B$55*V1119</f>
        <v/>
      </c>
      <c r="P1119">
        <f>IF(B1148=0,0,O1119/B1148)</f>
        <v/>
      </c>
      <c r="Q1119">
        <f>IFERROR(1/IF(Inputs!$B$38="pvp",15,MAX(0.1,Skills!D11-IF(Skills!E11=TRUE,Inputs!$B$32,0))),0)</f>
        <v/>
      </c>
      <c r="R1119">
        <f>IF(AND(Inputs!$B$38&lt;&gt;"pvp",Inputs!$B$43&gt;0),IF(MAX(0,Inputs!$B$43-B1145)&lt;=0,0,(INT(MAX(0,Inputs!$B$43-B1145)/IF(Inputs!$B$38="pvp",15,MAX(0.1,Skills!D11-IF(Skills!E11=TRUE,Inputs!$B$32,0))))+1)),0)</f>
        <v/>
      </c>
      <c r="S1119">
        <f>IFERROR(O1119/N1119,0)</f>
        <v/>
      </c>
      <c r="T1119">
        <f>IF(C1119,(H1119*N1119*IF(AND(Inputs!$B$38&lt;&gt;"pvp",Inputs!$B$43&gt;0),((Skills!G11*((R1119-1)*IF(Skills!H11&gt;0,Skills!I11/Skills!H11,1)+IF(Skills!H11&gt;0,MIN(Skills!I11,MAX(0,MAX(0,Inputs!$B$43-B1145)-((R1119-1)*IF(Inputs!$B$38="pvp",15,MAX(0.1,Skills!D11-IF(Skills!E11=TRUE,Inputs!$B$32,0))))))/Skills!H11,1)))/Inputs!$B$43),G1119*Q1119))*IF(Inputs!$B$38="pvp",1,1+(Inputs!$B$20+0+Skills!P11)/100),0)</f>
        <v/>
      </c>
      <c r="V1119">
        <f>IF(C1119,(H1119*N1119*IF(AND(Inputs!$B$38&lt;&gt;"pvp",Inputs!$B$43&gt;0),((Skills!G11*((R1119-1)*IF(Skills!H11&gt;0,Skills!I11/Skills!H11,1)+IF(Skills!H11&gt;0,MIN(Skills!I11,MAX(0,MAX(0,Inputs!$B$43-B1145)-((R1119-1)*IF(Inputs!$B$38="pvp",15,MAX(0.1,Skills!D11-IF(Skills!E11=TRUE,Inputs!$B$32,0))))))/Skills!H11,1)))/Inputs!$B$43),G1119*Q1119))*IF(Inputs!$B$38="pvp",1,(1+(Inputs!$B$21+Skills!Q11)/100)*(MIN(Skills!R11,Inputs!$B$37))),0)</f>
        <v/>
      </c>
    </row>
    <row r="1120">
      <c r="A1120">
        <f>Skills!A12</f>
        <v/>
      </c>
      <c r="B1120">
        <f>Skills!B12</f>
        <v/>
      </c>
      <c r="C1120">
        <f>Inputs!$B$3&gt;=110</f>
        <v/>
      </c>
      <c r="D1120">
        <f>IF(Skills!C12=1,60+Inputs!$B$25+Inputs!$B$29,IF(Skills!C12=2,90+Inputs!$B$26+Inputs!$B$29,IF(Skills!C12=3,120+Inputs!$B$27+Inputs!$B$29,MAX(0,(Inputs!$B$3-100)*3)+Inputs!$B$28+Inputs!$B$29)))</f>
        <v/>
      </c>
      <c r="E1120">
        <f>INDEX(FactorTable!$B$2:$Y$301, MATCH(ROUND(MIN(300,MAX(1,D1120)),0), FactorTable!$A$2:$A$301,0), Skills!M12+1)</f>
        <v/>
      </c>
      <c r="F1120">
        <f>IF(Skills!N12=TRUE,(Skills!L12/10)*(E1120/1000),Skills!L12/10)+Skills!O12</f>
        <v/>
      </c>
      <c r="G1120">
        <f>Skills!G12*IF(Skills!H12&gt;0,Skills!I12/Skills!H12,1)</f>
        <v/>
      </c>
      <c r="H1120">
        <f>1-(1-Skills!J12/100)^Skills!K12</f>
        <v/>
      </c>
      <c r="I1120" t="inlineStr">
        <is>
          <t>1</t>
        </is>
      </c>
      <c r="J1120">
        <f>((Inputs!$B$6*(1+Inputs!$B$7/100))+(((Inputs!$B$12*(1+Inputs!$B$13/100))-(Inputs!$B$12*(1+Inputs!$B$13/100)))+0.25*(Inputs!$B$14-Inputs!$B$14))*(1+Inputs!$B$7/100))*(F1120/100)</f>
        <v/>
      </c>
      <c r="K1120">
        <f>J1120*(1+((Inputs!$B$12*(1+Inputs!$B$13/100))*0.01+Inputs!$B$14*0.0025)/100)*(1+Inputs!$B$15/100)*(1+Inputs!$B$16/100)*(5000/(6000+Inputs!$B$42*(1-(Inputs!$B$19+0)/100)))*(1+(Inputs!$B$24+((C1134=TRUE)*(F1134-Calc!F26))+B1144)/100)*(1+(IF(Skills!A12="EIGHT_LEGS_EASTON",Inputs!$B$17+((C1131=TRUE)*(F1131-Calc!F23))+((C1135=TRUE)*(F1135-Calc!F27)),Inputs!$B$18+0))/100)*((1+(((C1125=TRUE)*F1125)+((C1132=TRUE)*(F1132-Calc!F24)))/100)*I1120)</f>
        <v/>
      </c>
      <c r="L1120">
        <f>K1120*(MIN(Inputs!$B$22+((C1130=TRUE)*(F1130-Calc!F22)),Inputs!$B$23+0)/100+(Inputs!$B$23+0)/100)/2</f>
        <v/>
      </c>
      <c r="M1120">
        <f>L1120*(1+(Inputs!$B$10+((C1133=TRUE)*(F1133-Calc!F25))+B1143)/100)</f>
        <v/>
      </c>
      <c r="N1120">
        <f>L1120*(1-MIN((Inputs!$B$9+((C1127=TRUE)*(F1127-Calc!F19))+B1138),100)/100)+M1120*(MIN((Inputs!$B$9+((C1127=TRUE)*(F1127-Calc!F19))+B1138),100)/100)</f>
        <v/>
      </c>
      <c r="O1120">
        <f>(1-Summary!$B$55)*T1120+Summary!$B$55*V1120</f>
        <v/>
      </c>
      <c r="P1120">
        <f>IF(B1148=0,0,O1120/B1148)</f>
        <v/>
      </c>
      <c r="Q1120">
        <f>IFERROR(1/IF(Inputs!$B$38="pvp",15,MAX(0.1,Skills!D12-IF(Skills!E12=TRUE,Inputs!$B$32,0))),0)</f>
        <v/>
      </c>
      <c r="R1120">
        <f>IF(AND(Inputs!$B$38&lt;&gt;"pvp",Inputs!$B$43&gt;0),IF(MAX(0,Inputs!$B$43-B1145)&lt;=0,0,(INT(MAX(0,Inputs!$B$43-B1145)/IF(Inputs!$B$38="pvp",15,MAX(0.1,Skills!D12-IF(Skills!E12=TRUE,Inputs!$B$32,0))))+1)),0)</f>
        <v/>
      </c>
      <c r="S1120">
        <f>IFERROR(O1120/N1120,0)</f>
        <v/>
      </c>
      <c r="T1120">
        <f>IF(C1120,(H1120*N1120*IF(AND(Inputs!$B$38&lt;&gt;"pvp",Inputs!$B$43&gt;0),((Skills!G12*((R1120-1)*IF(Skills!H12&gt;0,Skills!I12/Skills!H12,1)+IF(Skills!H12&gt;0,MIN(Skills!I12,MAX(0,MAX(0,Inputs!$B$43-B1145)-((R1120-1)*IF(Inputs!$B$38="pvp",15,MAX(0.1,Skills!D12-IF(Skills!E12=TRUE,Inputs!$B$32,0))))))/Skills!H12,1)))/Inputs!$B$43),G1120*Q1120))*IF(Inputs!$B$38="pvp",1,1+(Inputs!$B$20+0+Skills!P12)/100),0)</f>
        <v/>
      </c>
      <c r="V1120">
        <f>IF(C1120,(H1120*N1120*IF(AND(Inputs!$B$38&lt;&gt;"pvp",Inputs!$B$43&gt;0),((Skills!G12*((R1120-1)*IF(Skills!H12&gt;0,Skills!I12/Skills!H12,1)+IF(Skills!H12&gt;0,MIN(Skills!I12,MAX(0,MAX(0,Inputs!$B$43-B1145)-((R1120-1)*IF(Inputs!$B$38="pvp",15,MAX(0.1,Skills!D12-IF(Skills!E12=TRUE,Inputs!$B$32,0))))))/Skills!H12,1)))/Inputs!$B$43),G1120*Q1120))*IF(Inputs!$B$38="pvp",1,(1+(Inputs!$B$21+Skills!Q12)/100)*(MIN(Skills!R12,Inputs!$B$37))),0)</f>
        <v/>
      </c>
    </row>
    <row r="1121">
      <c r="A1121">
        <f>Skills!A13</f>
        <v/>
      </c>
      <c r="B1121">
        <f>Skills!B13</f>
        <v/>
      </c>
      <c r="C1121">
        <f>Inputs!$B$3&gt;=110</f>
        <v/>
      </c>
      <c r="D1121">
        <f>IF(Skills!C13=1,60+Inputs!$B$25+Inputs!$B$29,IF(Skills!C13=2,90+Inputs!$B$26+Inputs!$B$29,IF(Skills!C13=3,120+Inputs!$B$27+Inputs!$B$29,MAX(0,(Inputs!$B$3-100)*3)+Inputs!$B$28+Inputs!$B$29)))</f>
        <v/>
      </c>
      <c r="E1121">
        <f>INDEX(FactorTable!$B$2:$Y$301, MATCH(ROUND(MIN(300,MAX(1,D1121)),0), FactorTable!$A$2:$A$301,0), Skills!M13+1)</f>
        <v/>
      </c>
      <c r="F1121">
        <f>IF(Skills!N13=TRUE,(Skills!L13/10)*(E1121/1000),Skills!L13/10)+Skills!O13</f>
        <v/>
      </c>
      <c r="G1121">
        <f>Skills!G13*IF(Skills!H13&gt;0,Skills!I13/Skills!H13,1)</f>
        <v/>
      </c>
      <c r="H1121">
        <f>1-(1-Skills!J13/100)^Skills!K13</f>
        <v/>
      </c>
      <c r="I1121" t="inlineStr">
        <is>
          <t>1</t>
        </is>
      </c>
      <c r="J1121">
        <f>((Inputs!$B$6*(1+Inputs!$B$7/100))+(((Inputs!$B$12*(1+Inputs!$B$13/100))-(Inputs!$B$12*(1+Inputs!$B$13/100)))+0.25*(Inputs!$B$14-Inputs!$B$14))*(1+Inputs!$B$7/100))*(F1121/100)</f>
        <v/>
      </c>
      <c r="K1121">
        <f>J1121*(1+((Inputs!$B$12*(1+Inputs!$B$13/100))*0.01+Inputs!$B$14*0.0025)/100)*(1+Inputs!$B$15/100)*(1+Inputs!$B$16/100)*(5000/(6000+Inputs!$B$42*(1-(Inputs!$B$19+0)/100)))*(1+(Inputs!$B$24+((C1134=TRUE)*(F1134-Calc!F26))+B1144)/100)*(1+(IF(Skills!A13="EIGHT_LEGS_EASTON",Inputs!$B$17+((C1131=TRUE)*(F1131-Calc!F23))+((C1135=TRUE)*(F1135-Calc!F27)),Inputs!$B$18+0))/100)*((1+(((C1125=TRUE)*F1125)+((C1132=TRUE)*(F1132-Calc!F24)))/100)*I1121)</f>
        <v/>
      </c>
      <c r="L1121">
        <f>K1121*(MIN(Inputs!$B$22+((C1130=TRUE)*(F1130-Calc!F22)),Inputs!$B$23+0)/100+(Inputs!$B$23+0)/100)/2</f>
        <v/>
      </c>
      <c r="M1121">
        <f>L1121*(1+(Inputs!$B$10+((C1133=TRUE)*(F1133-Calc!F25))+B1143)/100)</f>
        <v/>
      </c>
      <c r="N1121">
        <f>L1121*(1-MIN((Inputs!$B$9+((C1127=TRUE)*(F1127-Calc!F19))+B1138),100)/100)+M1121*(MIN((Inputs!$B$9+((C1127=TRUE)*(F1127-Calc!F19))+B1138),100)/100)</f>
        <v/>
      </c>
      <c r="O1121">
        <f>(1-Summary!$B$55)*T1121+Summary!$B$55*V1121</f>
        <v/>
      </c>
      <c r="P1121">
        <f>IF(B1148=0,0,O1121/B1148)</f>
        <v/>
      </c>
      <c r="Q1121">
        <f>IFERROR(1/IF(Inputs!$B$38="pvp",15,MAX(0.1,Skills!D13-IF(Skills!E13=TRUE,Inputs!$B$32,0))),0)</f>
        <v/>
      </c>
      <c r="R1121">
        <f>IF(AND(Inputs!$B$38&lt;&gt;"pvp",Inputs!$B$43&gt;0),IF(MAX(0,Inputs!$B$43-B1145)&lt;=0,0,(INT(MAX(0,Inputs!$B$43-B1145)/IF(Inputs!$B$38="pvp",15,MAX(0.1,Skills!D13-IF(Skills!E13=TRUE,Inputs!$B$32,0))))+1)),0)</f>
        <v/>
      </c>
      <c r="S1121">
        <f>IFERROR(O1121/N1121,0)</f>
        <v/>
      </c>
      <c r="T1121">
        <f>IF(C1121,(H1121*N1121*IF(AND(Inputs!$B$38&lt;&gt;"pvp",Inputs!$B$43&gt;0),((Skills!G13*((R1121-1)*IF(Skills!H13&gt;0,Skills!I13/Skills!H13,1)+IF(Skills!H13&gt;0,MIN(Skills!I13,MAX(0,MAX(0,Inputs!$B$43-B1145)-((R1121-1)*IF(Inputs!$B$38="pvp",15,MAX(0.1,Skills!D13-IF(Skills!E13=TRUE,Inputs!$B$32,0))))))/Skills!H13,1)))/Inputs!$B$43),G1121*Q1121))*IF(Inputs!$B$38="pvp",1,1+(Inputs!$B$20+0+Skills!P13)/100),0)</f>
        <v/>
      </c>
      <c r="V1121">
        <f>IF(C1121,(H1121*N1121*IF(AND(Inputs!$B$38&lt;&gt;"pvp",Inputs!$B$43&gt;0),((Skills!G13*((R1121-1)*IF(Skills!H13&gt;0,Skills!I13/Skills!H13,1)+IF(Skills!H13&gt;0,MIN(Skills!I13,MAX(0,MAX(0,Inputs!$B$43-B1145)-((R1121-1)*IF(Inputs!$B$38="pvp",15,MAX(0.1,Skills!D13-IF(Skills!E13=TRUE,Inputs!$B$32,0))))))/Skills!H13,1)))/Inputs!$B$43),G1121*Q1121))*IF(Inputs!$B$38="pvp",1,(1+(Inputs!$B$21+Skills!Q13)/100)*(MIN(Skills!R13,Inputs!$B$37))),0)</f>
        <v/>
      </c>
    </row>
    <row r="1122">
      <c r="A1122">
        <f>Skills!A14</f>
        <v/>
      </c>
      <c r="B1122">
        <f>Skills!B14</f>
        <v/>
      </c>
      <c r="C1122">
        <f>Inputs!$B$3&gt;=125</f>
        <v/>
      </c>
      <c r="D1122">
        <f>IF(Skills!C14=1,60+Inputs!$B$25+Inputs!$B$29,IF(Skills!C14=2,90+Inputs!$B$26+Inputs!$B$29,IF(Skills!C14=3,120+Inputs!$B$27+Inputs!$B$29,MAX(0,(Inputs!$B$3-100)*3)+Inputs!$B$28+Inputs!$B$29)))</f>
        <v/>
      </c>
      <c r="E1122">
        <f>INDEX(FactorTable!$B$2:$Y$301, MATCH(ROUND(MIN(300,MAX(1,D1122)),0), FactorTable!$A$2:$A$301,0), Skills!M14+1)</f>
        <v/>
      </c>
      <c r="F1122">
        <f>IF(Skills!N14=TRUE,(Skills!L14/10)*(E1122/1000),Skills!L14/10)+Skills!O14</f>
        <v/>
      </c>
      <c r="G1122">
        <f>Skills!G14*IF(Skills!H14&gt;0,Skills!I14/Skills!H14,1)</f>
        <v/>
      </c>
      <c r="H1122">
        <f>1-(1-Skills!J14/100)^Skills!K14</f>
        <v/>
      </c>
      <c r="I1122" t="inlineStr">
        <is>
          <t>1</t>
        </is>
      </c>
      <c r="J1122">
        <f>((Inputs!$B$6*(1+Inputs!$B$7/100))+(((Inputs!$B$12*(1+Inputs!$B$13/100))-(Inputs!$B$12*(1+Inputs!$B$13/100)))+0.25*(Inputs!$B$14-Inputs!$B$14))*(1+Inputs!$B$7/100))*(F1122/100)</f>
        <v/>
      </c>
      <c r="K1122">
        <f>J1122*(1+((Inputs!$B$12*(1+Inputs!$B$13/100))*0.01+Inputs!$B$14*0.0025)/100)*(1+Inputs!$B$15/100)*(1+Inputs!$B$16/100)*(5000/(6000+Inputs!$B$42*(1-(Inputs!$B$19+0)/100)))*(1+(Inputs!$B$24+((C1134=TRUE)*(F1134-Calc!F26))+B1144)/100)*(1+(IF(Skills!A14="EIGHT_LEGS_EASTON",Inputs!$B$17+((C1131=TRUE)*(F1131-Calc!F23))+((C1135=TRUE)*(F1135-Calc!F27)),Inputs!$B$18+0))/100)*((1+(((C1125=TRUE)*F1125)+((C1132=TRUE)*(F1132-Calc!F24)))/100)*I1122)</f>
        <v/>
      </c>
      <c r="L1122">
        <f>K1122*(MIN(Inputs!$B$22+((C1130=TRUE)*(F1130-Calc!F22)),Inputs!$B$23+0)/100+(Inputs!$B$23+0)/100)/2</f>
        <v/>
      </c>
      <c r="M1122">
        <f>L1122*(1+(Inputs!$B$10+((C1133=TRUE)*(F1133-Calc!F25))+B1143)/100)</f>
        <v/>
      </c>
      <c r="N1122">
        <f>L1122*(1-MIN((Inputs!$B$9+((C1127=TRUE)*(F1127-Calc!F19))+B1138),100)/100)+M1122*(MIN((Inputs!$B$9+((C1127=TRUE)*(F1127-Calc!F19))+B1138),100)/100)</f>
        <v/>
      </c>
      <c r="O1122">
        <f>(1-Summary!$B$55)*T1122+Summary!$B$55*V1122</f>
        <v/>
      </c>
      <c r="P1122">
        <f>IF(B1148=0,0,O1122/B1148)</f>
        <v/>
      </c>
      <c r="Q1122" t="n">
        <v>0</v>
      </c>
      <c r="R1122" t="n">
        <v>0</v>
      </c>
      <c r="S1122">
        <f>IFERROR(O1122/N1122,0)</f>
        <v/>
      </c>
      <c r="T1122">
        <f>IF(C1122,(H1122*N1122*(B1142+IF(AND(Inputs!$B$38&lt;&gt;"pvp",Inputs!$B$43&gt;0),((Skills!G8*((R1116-1)*IF(Skills!H8&gt;0,Skills!I8/Skills!H8,1)+IF(Skills!H8&gt;0,MIN(Skills!I8,MAX(0,MAX(0,Inputs!$B$43-B1145)-((R1116-1)*IF(Inputs!$B$38="pvp",15,MAX(0.1,Skills!D8-IF(Skills!E8=TRUE,Inputs!$B$32,0))))))/Skills!H8,1)))/Inputs!$B$43),G1116*Q1116)+IF(AND(Inputs!$B$38&lt;&gt;"pvp",Inputs!$B$43&gt;0),((Skills!G11*((R1119-1)*IF(Skills!H11&gt;0,Skills!I11/Skills!H11,1)+IF(Skills!H11&gt;0,MIN(Skills!I11,MAX(0,MAX(0,Inputs!$B$43-B1145)-((R1119-1)*IF(Inputs!$B$38="pvp",15,MAX(0.1,Skills!D11-IF(Skills!E11=TRUE,Inputs!$B$32,0))))))/Skills!H11,1)))/Inputs!$B$43),G1119*Q1119)))*IF(Inputs!$B$38="pvp",1,1+(Inputs!$B$20+0+Skills!P14)/100),0)</f>
        <v/>
      </c>
      <c r="V1122">
        <f>IF(C1122,(H1122*N1122*(B1142+IF(AND(Inputs!$B$38&lt;&gt;"pvp",Inputs!$B$43&gt;0),((Skills!G8*((R1116-1)*IF(Skills!H8&gt;0,Skills!I8/Skills!H8,1)+IF(Skills!H8&gt;0,MIN(Skills!I8,MAX(0,MAX(0,Inputs!$B$43-B1145)-((R1116-1)*IF(Inputs!$B$38="pvp",15,MAX(0.1,Skills!D8-IF(Skills!E8=TRUE,Inputs!$B$32,0))))))/Skills!H8,1)))/Inputs!$B$43),G1116*Q1116)+IF(AND(Inputs!$B$38&lt;&gt;"pvp",Inputs!$B$43&gt;0),((Skills!G11*((R1119-1)*IF(Skills!H11&gt;0,Skills!I11/Skills!H11,1)+IF(Skills!H11&gt;0,MIN(Skills!I11,MAX(0,MAX(0,Inputs!$B$43-B1145)-((R1119-1)*IF(Inputs!$B$38="pvp",15,MAX(0.1,Skills!D11-IF(Skills!E11=TRUE,Inputs!$B$32,0))))))/Skills!H11,1)))/Inputs!$B$43),G1119*Q1119)))*IF(Inputs!$B$38="pvp",1,(1+(Inputs!$B$21+Skills!Q14)/100)*(MIN(Skills!R14,Inputs!$B$37))),0)</f>
        <v/>
      </c>
    </row>
    <row r="1123">
      <c r="A1123">
        <f>Skills!A15</f>
        <v/>
      </c>
      <c r="B1123">
        <f>Skills!B15</f>
        <v/>
      </c>
      <c r="C1123">
        <f>Inputs!$B$3&gt;=100</f>
        <v/>
      </c>
      <c r="D1123">
        <f>IF(Skills!C15=1,60+Inputs!$B$25+Inputs!$B$29,IF(Skills!C15=2,90+Inputs!$B$26+Inputs!$B$29,IF(Skills!C15=3,120+Inputs!$B$27+Inputs!$B$29,MAX(0,(Inputs!$B$3-100)*3)+Inputs!$B$28+Inputs!$B$29)))</f>
        <v/>
      </c>
      <c r="E1123">
        <f>INDEX(FactorTable!$B$2:$Y$301, MATCH(ROUND(MIN(300,MAX(1,D1123)),0), FactorTable!$A$2:$A$301,0), Skills!M15+1)</f>
        <v/>
      </c>
      <c r="F1123">
        <f>IF(Skills!N15=TRUE,(Skills!L15/10)*(E1123/1000),Skills!L15/10)+Skills!O15</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Skills!A16</f>
        <v/>
      </c>
      <c r="B1124">
        <f>Skills!B16</f>
        <v/>
      </c>
      <c r="C1124">
        <f>Inputs!$B$3&gt;=120</f>
        <v/>
      </c>
      <c r="D1124">
        <f>IF(Skills!C16=1,60+Inputs!$B$25+Inputs!$B$29,IF(Skills!C16=2,90+Inputs!$B$26+Inputs!$B$29,IF(Skills!C16=3,120+Inputs!$B$27+Inputs!$B$29,MAX(0,(Inputs!$B$3-100)*3)+Inputs!$B$28+Inputs!$B$29)))</f>
        <v/>
      </c>
      <c r="E1124">
        <f>INDEX(FactorTable!$B$2:$Y$301, MATCH(ROUND(MIN(300,MAX(1,D1124)),0), FactorTable!$A$2:$A$301,0), Skills!M16+1)</f>
        <v/>
      </c>
      <c r="F1124">
        <f>IF(Skills!N16=TRUE,(Skills!L16/10)*(E1124/1000),Skills!L16/10)+Skills!O16</f>
        <v/>
      </c>
      <c r="G1124" t="inlineStr"/>
      <c r="H1124" t="inlineStr"/>
      <c r="I1124" t="inlineStr">
        <is>
          <t>1</t>
        </is>
      </c>
      <c r="J1124" t="inlineStr"/>
      <c r="K1124" t="inlineStr"/>
      <c r="L1124" t="inlineStr"/>
      <c r="M1124" t="inlineStr"/>
      <c r="N1124" t="inlineStr"/>
      <c r="O1124" t="inlineStr"/>
      <c r="P1124" t="inlineStr"/>
      <c r="Q1124" t="inlineStr"/>
      <c r="R1124" t="inlineStr"/>
      <c r="S1124" t="inlineStr"/>
    </row>
    <row r="1125">
      <c r="A1125">
        <f>Skills!A17</f>
        <v/>
      </c>
      <c r="B1125">
        <f>Skills!B17</f>
        <v/>
      </c>
      <c r="C1125">
        <f>Inputs!$B$3&gt;=66</f>
        <v/>
      </c>
      <c r="D1125">
        <f>IF(Skills!C17=1,60+Inputs!$B$25+Inputs!$B$29,IF(Skills!C17=2,90+Inputs!$B$26+Inputs!$B$29,IF(Skills!C17=3,120+Inputs!$B$27+Inputs!$B$29,MAX(0,(Inputs!$B$3-100)*3)+Inputs!$B$28+Inputs!$B$29)))</f>
        <v/>
      </c>
      <c r="E1125">
        <f>INDEX(FactorTable!$B$2:$Y$301, MATCH(ROUND(MIN(300,MAX(1,D1125)),0), FactorTable!$A$2:$A$301,0), Skills!M17+1)</f>
        <v/>
      </c>
      <c r="F1125">
        <f>IF(Skills!N17=TRUE,(Skills!L17/10)*(E1125/1000),Skills!L17/10)+Skills!O17</f>
        <v/>
      </c>
      <c r="G1125">
        <f>Skills!G17*IF(Skills!H17&gt;0,Skills!I17/Skills!H17,1)</f>
        <v/>
      </c>
      <c r="H1125">
        <f>1-(1-Skills!J17/100)^Skills!K17</f>
        <v/>
      </c>
      <c r="I1125" t="inlineStr">
        <is>
          <t>1</t>
        </is>
      </c>
      <c r="J1125" t="inlineStr"/>
      <c r="K1125" t="inlineStr"/>
      <c r="L1125" t="inlineStr"/>
      <c r="M1125" t="inlineStr"/>
      <c r="N1125" t="inlineStr"/>
      <c r="O1125">
        <f>(1-Summary!$B$55)*T1125+Summary!$B$55*V1125</f>
        <v/>
      </c>
      <c r="P1125">
        <f>IF(B1148=0,0,O1125/B1148)</f>
        <v/>
      </c>
      <c r="Q1125" t="n">
        <v>0</v>
      </c>
      <c r="R1125" t="n">
        <v>0</v>
      </c>
      <c r="S1125">
        <f>IFERROR(O1125/N1125,0)</f>
        <v/>
      </c>
      <c r="T1125" t="n">
        <v>0</v>
      </c>
      <c r="V1125" t="n">
        <v>0</v>
      </c>
    </row>
    <row r="1126">
      <c r="A1126">
        <f>Skills!A18</f>
        <v/>
      </c>
      <c r="B1126">
        <f>Skills!B18</f>
        <v/>
      </c>
      <c r="C1126">
        <f>Inputs!$B$3&gt;=115</f>
        <v/>
      </c>
      <c r="D1126">
        <f>IF(Skills!C18=1,60+Inputs!$B$25+Inputs!$B$29,IF(Skills!C18=2,90+Inputs!$B$26+Inputs!$B$29,IF(Skills!C18=3,120+Inputs!$B$27+Inputs!$B$29,MAX(0,(Inputs!$B$3-100)*3)+Inputs!$B$28+Inputs!$B$29)))</f>
        <v/>
      </c>
      <c r="E1126">
        <f>INDEX(FactorTable!$B$2:$Y$301, MATCH(ROUND(MIN(300,MAX(1,D1126)),0), FactorTable!$A$2:$A$301,0), Skills!M18+1)</f>
        <v/>
      </c>
      <c r="F1126">
        <f>IF(Skills!N18=TRUE,(Skills!L18/10)*(E1126/1000),Skills!L18/10)+Skills!O18</f>
        <v/>
      </c>
      <c r="G1126">
        <f>Skills!G18*IF(Skills!H18&gt;0,Skills!I18/Skills!H18,1)</f>
        <v/>
      </c>
      <c r="H1126">
        <f>1-(1-Skills!J18/100)^Skills!K18</f>
        <v/>
      </c>
      <c r="I1126" t="inlineStr">
        <is>
          <t>1</t>
        </is>
      </c>
      <c r="J1126" t="inlineStr"/>
      <c r="K1126" t="inlineStr"/>
      <c r="L1126" t="inlineStr"/>
      <c r="M1126" t="inlineStr"/>
      <c r="N1126" t="inlineStr"/>
      <c r="O1126">
        <f>(1-Summary!$B$55)*T1126+Summary!$B$55*V1126</f>
        <v/>
      </c>
      <c r="P1126">
        <f>IF(B1148=0,0,O1126/B1148)</f>
        <v/>
      </c>
      <c r="Q1126" t="n">
        <v>0</v>
      </c>
      <c r="R1126" t="n">
        <v>0</v>
      </c>
      <c r="S1126">
        <f>IFERROR(O1126/N1126,0)</f>
        <v/>
      </c>
      <c r="T1126" t="n">
        <v>0</v>
      </c>
      <c r="V1126" t="n">
        <v>0</v>
      </c>
    </row>
    <row r="1127">
      <c r="A1127">
        <f>Skills!A19</f>
        <v/>
      </c>
      <c r="B1127">
        <f>Skills!B19</f>
        <v/>
      </c>
      <c r="C1127">
        <f>Inputs!$B$3&gt;=15</f>
        <v/>
      </c>
      <c r="D1127">
        <f>IF(Skills!C19=1,60+Inputs!$B$25+Inputs!$B$29,IF(Skills!C19=2,90+Inputs!$B$26+Inputs!$B$29,IF(Skills!C19=3,120+Inputs!$B$27+Inputs!$B$29,MAX(0,(Inputs!$B$3-100)*3)+Inputs!$B$28+Inputs!$B$29)))</f>
        <v/>
      </c>
      <c r="E1127">
        <f>INDEX(FactorTable!$B$2:$Y$301, MATCH(ROUND(MIN(300,MAX(1,D1127)),0), FactorTable!$A$2:$A$301,0), Skills!M19+1)</f>
        <v/>
      </c>
      <c r="F1127">
        <f>IF(Skills!N19=TRUE,(Skills!L19/10)*(E1127/1000),Skills!L19/10)+Skills!O19</f>
        <v/>
      </c>
      <c r="G1127">
        <f>Skills!G19*IF(Skills!H19&gt;0,Skills!I19/Skills!H19,1)</f>
        <v/>
      </c>
      <c r="H1127">
        <f>1-(1-Skills!J19/100)^Skills!K19</f>
        <v/>
      </c>
      <c r="I1127" t="inlineStr">
        <is>
          <t>1</t>
        </is>
      </c>
      <c r="J1127" t="inlineStr"/>
      <c r="K1127" t="inlineStr"/>
      <c r="L1127" t="inlineStr"/>
      <c r="M1127" t="inlineStr"/>
      <c r="N1127" t="inlineStr"/>
      <c r="O1127">
        <f>(1-Summary!$B$55)*T1127+Summary!$B$55*V1127</f>
        <v/>
      </c>
      <c r="P1127">
        <f>IF(B1148=0,0,O1127/B1148)</f>
        <v/>
      </c>
      <c r="Q1127" t="n">
        <v>0</v>
      </c>
      <c r="R1127" t="n">
        <v>0</v>
      </c>
      <c r="S1127">
        <f>IFERROR(O1127/N1127,0)</f>
        <v/>
      </c>
      <c r="T1127" t="n">
        <v>0</v>
      </c>
      <c r="V1127" t="n">
        <v>0</v>
      </c>
    </row>
    <row r="1128">
      <c r="A1128">
        <f>Skills!A20</f>
        <v/>
      </c>
      <c r="B1128">
        <f>Skills!B20</f>
        <v/>
      </c>
      <c r="C1128">
        <f>Inputs!$B$3&gt;=10</f>
        <v/>
      </c>
      <c r="D1128">
        <f>IF(Skills!C20=1,60+Inputs!$B$25+Inputs!$B$29,IF(Skills!C20=2,90+Inputs!$B$26+Inputs!$B$29,IF(Skills!C20=3,120+Inputs!$B$27+Inputs!$B$29,MAX(0,(Inputs!$B$3-100)*3)+Inputs!$B$28+Inputs!$B$29)))</f>
        <v/>
      </c>
      <c r="E1128">
        <f>INDEX(FactorTable!$B$2:$Y$301, MATCH(ROUND(MIN(300,MAX(1,D1128)),0), FactorTable!$A$2:$A$301,0), Skills!M20+1)</f>
        <v/>
      </c>
      <c r="F1128">
        <f>IF(Skills!N20=TRUE,(Skills!L20/10)*(E1128/1000),Skills!L20/10)+Skills!O20</f>
        <v/>
      </c>
      <c r="G1128">
        <f>Skills!G20*IF(Skills!H20&gt;0,Skills!I20/Skills!H20,1)</f>
        <v/>
      </c>
      <c r="H1128">
        <f>1-(1-Skills!J20/100)^Skills!K20</f>
        <v/>
      </c>
      <c r="I1128" t="inlineStr">
        <is>
          <t>1</t>
        </is>
      </c>
      <c r="J1128" t="inlineStr"/>
      <c r="K1128" t="inlineStr"/>
      <c r="L1128" t="inlineStr"/>
      <c r="M1128" t="inlineStr"/>
      <c r="N1128" t="inlineStr"/>
      <c r="O1128">
        <f>(1-Summary!$B$55)*T1128+Summary!$B$55*V1128</f>
        <v/>
      </c>
      <c r="P1128">
        <f>IF(B1148=0,0,O1128/B1148)</f>
        <v/>
      </c>
      <c r="Q1128" t="n">
        <v>0</v>
      </c>
      <c r="R1128" t="n">
        <v>0</v>
      </c>
      <c r="S1128">
        <f>IFERROR(O1128/N1128,0)</f>
        <v/>
      </c>
      <c r="T1128" t="n">
        <v>0</v>
      </c>
      <c r="V1128" t="n">
        <v>0</v>
      </c>
    </row>
    <row r="1129">
      <c r="A1129">
        <f>Skills!A21</f>
        <v/>
      </c>
      <c r="B1129">
        <f>Skills!B21</f>
        <v/>
      </c>
      <c r="C1129">
        <f>Inputs!$B$3&gt;=33</f>
        <v/>
      </c>
      <c r="D1129">
        <f>IF(Skills!C21=1,60+Inputs!$B$25+Inputs!$B$29,IF(Skills!C21=2,90+Inputs!$B$26+Inputs!$B$29,IF(Skills!C21=3,120+Inputs!$B$27+Inputs!$B$29,MAX(0,(Inputs!$B$3-100)*3)+Inputs!$B$28+Inputs!$B$29)))</f>
        <v/>
      </c>
      <c r="E1129">
        <f>INDEX(FactorTable!$B$2:$Y$301, MATCH(ROUND(MIN(300,MAX(1,D1129)),0), FactorTable!$A$2:$A$301,0), Skills!M21+1)</f>
        <v/>
      </c>
      <c r="F1129">
        <f>IF(Skills!N21=TRUE,(Skills!L21/10)*(E1129/1000),Skills!L21/10)+Skills!O21</f>
        <v/>
      </c>
      <c r="G1129">
        <f>Skills!G21*IF(Skills!H21&gt;0,Skills!I21/Skills!H21,1)</f>
        <v/>
      </c>
      <c r="H1129">
        <f>1-(1-Skills!J21/100)^Skills!K21</f>
        <v/>
      </c>
      <c r="I1129" t="inlineStr">
        <is>
          <t>1</t>
        </is>
      </c>
      <c r="J1129" t="inlineStr"/>
      <c r="K1129" t="inlineStr"/>
      <c r="L1129" t="inlineStr"/>
      <c r="M1129" t="inlineStr"/>
      <c r="N1129" t="inlineStr"/>
      <c r="O1129">
        <f>(1-Summary!$B$55)*T1129+Summary!$B$55*V1129</f>
        <v/>
      </c>
      <c r="P1129">
        <f>IF(B1148=0,0,O1129/B1148)</f>
        <v/>
      </c>
      <c r="Q1129" t="n">
        <v>0</v>
      </c>
      <c r="R1129" t="n">
        <v>0</v>
      </c>
      <c r="S1129">
        <f>IFERROR(O1129/N1129,0)</f>
        <v/>
      </c>
      <c r="T1129" t="n">
        <v>0</v>
      </c>
      <c r="V1129" t="n">
        <v>0</v>
      </c>
    </row>
    <row r="1130">
      <c r="A1130">
        <f>Skills!A22</f>
        <v/>
      </c>
      <c r="B1130">
        <f>Skills!B22</f>
        <v/>
      </c>
      <c r="C1130">
        <f>Inputs!$B$3&gt;=43</f>
        <v/>
      </c>
      <c r="D1130">
        <f>IF(Skills!C22=1,60+Inputs!$B$25+Inputs!$B$29,IF(Skills!C22=2,90+Inputs!$B$26+Inputs!$B$29,IF(Skills!C22=3,120+Inputs!$B$27+Inputs!$B$29,MAX(0,(Inputs!$B$3-100)*3)+Inputs!$B$28+Inputs!$B$29)))</f>
        <v/>
      </c>
      <c r="E1130">
        <f>INDEX(FactorTable!$B$2:$Y$301, MATCH(ROUND(MIN(300,MAX(1,D1130)),0), FactorTable!$A$2:$A$301,0), Skills!M22+1)</f>
        <v/>
      </c>
      <c r="F1130">
        <f>IF(Skills!N22=TRUE,(Skills!L22/10)*(E1130/1000),Skills!L22/10)+Skills!O22</f>
        <v/>
      </c>
      <c r="G1130">
        <f>Skills!G22*IF(Skills!H22&gt;0,Skills!I22/Skills!H22,1)</f>
        <v/>
      </c>
      <c r="H1130">
        <f>1-(1-Skills!J22/100)^Skills!K22</f>
        <v/>
      </c>
      <c r="I1130" t="inlineStr">
        <is>
          <t>1</t>
        </is>
      </c>
      <c r="J1130" t="inlineStr"/>
      <c r="K1130" t="inlineStr"/>
      <c r="L1130" t="inlineStr"/>
      <c r="M1130" t="inlineStr"/>
      <c r="N1130" t="inlineStr"/>
      <c r="O1130">
        <f>(1-Summary!$B$55)*T1130+Summary!$B$55*V1130</f>
        <v/>
      </c>
      <c r="P1130">
        <f>IF(B1148=0,0,O1130/B1148)</f>
        <v/>
      </c>
      <c r="Q1130" t="n">
        <v>0</v>
      </c>
      <c r="R1130" t="n">
        <v>0</v>
      </c>
      <c r="S1130">
        <f>IFERROR(O1130/N1130,0)</f>
        <v/>
      </c>
      <c r="T1130" t="n">
        <v>0</v>
      </c>
      <c r="V1130" t="n">
        <v>0</v>
      </c>
    </row>
    <row r="1131">
      <c r="A1131">
        <f>Skills!A23</f>
        <v/>
      </c>
      <c r="B1131">
        <f>Skills!B23</f>
        <v/>
      </c>
      <c r="C1131">
        <f>Inputs!$B$3&gt;=38</f>
        <v/>
      </c>
      <c r="D1131">
        <f>IF(Skills!C23=1,60+Inputs!$B$25+Inputs!$B$29,IF(Skills!C23=2,90+Inputs!$B$26+Inputs!$B$29,IF(Skills!C23=3,120+Inputs!$B$27+Inputs!$B$29,MAX(0,(Inputs!$B$3-100)*3)+Inputs!$B$28+Inputs!$B$29)))</f>
        <v/>
      </c>
      <c r="E1131">
        <f>INDEX(FactorTable!$B$2:$Y$301, MATCH(ROUND(MIN(300,MAX(1,D1131)),0), FactorTable!$A$2:$A$301,0), Skills!M23+1)</f>
        <v/>
      </c>
      <c r="F1131">
        <f>IF(Skills!N23=TRUE,(Skills!L23/10)*(E1131/1000),Skills!L23/10)+Skills!O23</f>
        <v/>
      </c>
      <c r="G1131">
        <f>Skills!G23*IF(Skills!H23&gt;0,Skills!I23/Skills!H23,1)</f>
        <v/>
      </c>
      <c r="H1131">
        <f>1-(1-Skills!J23/100)^Skills!K23</f>
        <v/>
      </c>
      <c r="I1131" t="inlineStr">
        <is>
          <t>1</t>
        </is>
      </c>
      <c r="J1131" t="inlineStr"/>
      <c r="K1131" t="inlineStr"/>
      <c r="L1131" t="inlineStr"/>
      <c r="M1131" t="inlineStr"/>
      <c r="N1131" t="inlineStr"/>
      <c r="O1131">
        <f>(1-Summary!$B$55)*T1131+Summary!$B$55*V1131</f>
        <v/>
      </c>
      <c r="P1131">
        <f>IF(B1148=0,0,O1131/B1148)</f>
        <v/>
      </c>
      <c r="Q1131" t="n">
        <v>0</v>
      </c>
      <c r="R1131" t="n">
        <v>0</v>
      </c>
      <c r="S1131">
        <f>IFERROR(O1131/N1131,0)</f>
        <v/>
      </c>
      <c r="T1131" t="n">
        <v>0</v>
      </c>
      <c r="V1131" t="n">
        <v>0</v>
      </c>
    </row>
    <row r="1132">
      <c r="A1132">
        <f>Skills!A24</f>
        <v/>
      </c>
      <c r="B1132">
        <f>Skills!B24</f>
        <v/>
      </c>
      <c r="C1132">
        <f>Inputs!$B$3&gt;=40</f>
        <v/>
      </c>
      <c r="D1132">
        <f>IF(Skills!C24=1,60+Inputs!$B$25+Inputs!$B$29,IF(Skills!C24=2,90+Inputs!$B$26+Inputs!$B$29,IF(Skills!C24=3,120+Inputs!$B$27+Inputs!$B$29,MAX(0,(Inputs!$B$3-100)*3)+Inputs!$B$28+Inputs!$B$29)))</f>
        <v/>
      </c>
      <c r="E1132">
        <f>INDEX(FactorTable!$B$2:$Y$301, MATCH(ROUND(MIN(300,MAX(1,D1132)),0), FactorTable!$A$2:$A$301,0), Skills!M24+1)</f>
        <v/>
      </c>
      <c r="F1132">
        <f>IF(Skills!N24=TRUE,(Skills!L24/10)*(E1132/1000),Skills!L24/10)+Skills!O24</f>
        <v/>
      </c>
      <c r="G1132">
        <f>Skills!G24*IF(Skills!H24&gt;0,Skills!I24/Skills!H24,1)</f>
        <v/>
      </c>
      <c r="H1132">
        <f>1-(1-Skills!J24/100)^Skills!K24</f>
        <v/>
      </c>
      <c r="I1132" t="inlineStr">
        <is>
          <t>1</t>
        </is>
      </c>
      <c r="J1132" t="inlineStr"/>
      <c r="K1132" t="inlineStr"/>
      <c r="L1132" t="inlineStr"/>
      <c r="M1132" t="inlineStr"/>
      <c r="N1132" t="inlineStr"/>
      <c r="O1132">
        <f>(1-Summary!$B$55)*T1132+Summary!$B$55*V1132</f>
        <v/>
      </c>
      <c r="P1132">
        <f>IF(B1148=0,0,O1132/B1148)</f>
        <v/>
      </c>
      <c r="Q1132" t="n">
        <v>0</v>
      </c>
      <c r="R1132" t="n">
        <v>0</v>
      </c>
      <c r="S1132">
        <f>IFERROR(O1132/N1132,0)</f>
        <v/>
      </c>
      <c r="T1132" t="n">
        <v>0</v>
      </c>
      <c r="V1132" t="n">
        <v>0</v>
      </c>
    </row>
    <row r="1133">
      <c r="A1133">
        <f>Skills!A25</f>
        <v/>
      </c>
      <c r="B1133">
        <f>Skills!B25</f>
        <v/>
      </c>
      <c r="C1133">
        <f>Inputs!$B$3&gt;=72</f>
        <v/>
      </c>
      <c r="D1133">
        <f>IF(Skills!C25=1,60+Inputs!$B$25+Inputs!$B$29,IF(Skills!C25=2,90+Inputs!$B$26+Inputs!$B$29,IF(Skills!C25=3,120+Inputs!$B$27+Inputs!$B$29,MAX(0,(Inputs!$B$3-100)*3)+Inputs!$B$28+Inputs!$B$29)))</f>
        <v/>
      </c>
      <c r="E1133">
        <f>INDEX(FactorTable!$B$2:$Y$301, MATCH(ROUND(MIN(300,MAX(1,D1133)),0), FactorTable!$A$2:$A$301,0), Skills!M25+1)</f>
        <v/>
      </c>
      <c r="F1133">
        <f>IF(Skills!N25=TRUE,(Skills!L25/10)*(E1133/1000),Skills!L25/10)+Skills!O25</f>
        <v/>
      </c>
      <c r="G1133">
        <f>Skills!G25*IF(Skills!H25&gt;0,Skills!I25/Skills!H25,1)</f>
        <v/>
      </c>
      <c r="H1133">
        <f>1-(1-Skills!J25/100)^Skills!K25</f>
        <v/>
      </c>
      <c r="I1133" t="inlineStr">
        <is>
          <t>1</t>
        </is>
      </c>
      <c r="J1133" t="inlineStr"/>
      <c r="K1133" t="inlineStr"/>
      <c r="L1133" t="inlineStr"/>
      <c r="M1133" t="inlineStr"/>
      <c r="N1133" t="inlineStr"/>
      <c r="O1133">
        <f>(1-Summary!$B$55)*T1133+Summary!$B$55*V1133</f>
        <v/>
      </c>
      <c r="P1133">
        <f>IF(B1148=0,0,O1133/B1148)</f>
        <v/>
      </c>
      <c r="Q1133" t="n">
        <v>0</v>
      </c>
      <c r="R1133" t="n">
        <v>0</v>
      </c>
      <c r="S1133">
        <f>IFERROR(O1133/N1133,0)</f>
        <v/>
      </c>
      <c r="T1133" t="n">
        <v>0</v>
      </c>
      <c r="V1133" t="n">
        <v>0</v>
      </c>
    </row>
    <row r="1134">
      <c r="A1134">
        <f>Skills!A26</f>
        <v/>
      </c>
      <c r="B1134">
        <f>Skills!B26</f>
        <v/>
      </c>
      <c r="C1134">
        <f>Inputs!$B$3&gt;=75</f>
        <v/>
      </c>
      <c r="D1134">
        <f>IF(Skills!C26=1,60+Inputs!$B$25+Inputs!$B$29,IF(Skills!C26=2,90+Inputs!$B$26+Inputs!$B$29,IF(Skills!C26=3,120+Inputs!$B$27+Inputs!$B$29,MAX(0,(Inputs!$B$3-100)*3)+Inputs!$B$28+Inputs!$B$29)))</f>
        <v/>
      </c>
      <c r="E1134">
        <f>INDEX(FactorTable!$B$2:$Y$301, MATCH(ROUND(MIN(300,MAX(1,D1134)),0), FactorTable!$A$2:$A$301,0), Skills!M26+1)</f>
        <v/>
      </c>
      <c r="F1134">
        <f>IF(Skills!N26=TRUE,(Skills!L26/10)*(E1134/1000),Skills!L26/10)+Skills!O26</f>
        <v/>
      </c>
      <c r="G1134">
        <f>Skills!G26*IF(Skills!H26&gt;0,Skills!I26/Skills!H26,1)</f>
        <v/>
      </c>
      <c r="H1134">
        <f>1-(1-Skills!J26/100)^Skills!K26</f>
        <v/>
      </c>
      <c r="I1134" t="inlineStr">
        <is>
          <t>1</t>
        </is>
      </c>
      <c r="J1134" t="inlineStr"/>
      <c r="K1134" t="inlineStr"/>
      <c r="L1134" t="inlineStr"/>
      <c r="M1134" t="inlineStr"/>
      <c r="N1134" t="inlineStr"/>
      <c r="O1134">
        <f>(1-Summary!$B$55)*T1134+Summary!$B$55*V1134</f>
        <v/>
      </c>
      <c r="P1134">
        <f>IF(B1148=0,0,O1134/B1148)</f>
        <v/>
      </c>
      <c r="Q1134" t="n">
        <v>0</v>
      </c>
      <c r="R1134" t="n">
        <v>0</v>
      </c>
      <c r="S1134">
        <f>IFERROR(O1134/N1134,0)</f>
        <v/>
      </c>
      <c r="T1134" t="n">
        <v>0</v>
      </c>
      <c r="V1134" t="n">
        <v>0</v>
      </c>
    </row>
    <row r="1135">
      <c r="A1135">
        <f>Skills!A27</f>
        <v/>
      </c>
      <c r="B1135">
        <f>Skills!B27</f>
        <v/>
      </c>
      <c r="C1135">
        <f>Inputs!$B$3&gt;=117</f>
        <v/>
      </c>
      <c r="D1135">
        <f>IF(Skills!C27=1,60+Inputs!$B$25+Inputs!$B$29,IF(Skills!C27=2,90+Inputs!$B$26+Inputs!$B$29,IF(Skills!C27=3,120+Inputs!$B$27+Inputs!$B$29,MAX(0,(Inputs!$B$3-100)*3)+Inputs!$B$28+Inputs!$B$29)))</f>
        <v/>
      </c>
      <c r="E1135">
        <f>INDEX(FactorTable!$B$2:$Y$301, MATCH(ROUND(MIN(300,MAX(1,D1135)),0), FactorTable!$A$2:$A$301,0), Skills!M27+1)</f>
        <v/>
      </c>
      <c r="F1135">
        <f>IF(Skills!N27=TRUE,(Skills!L27/10)*(E1135/1000),Skills!L27/10)+Skills!O27</f>
        <v/>
      </c>
      <c r="G1135">
        <f>Skills!G27*IF(Skills!H27&gt;0,Skills!I27/Skills!H27,1)</f>
        <v/>
      </c>
      <c r="H1135">
        <f>1-(1-Skills!J27/100)^Skills!K27</f>
        <v/>
      </c>
      <c r="I1135" t="inlineStr">
        <is>
          <t>1</t>
        </is>
      </c>
      <c r="J1135" t="inlineStr"/>
      <c r="K1135" t="inlineStr"/>
      <c r="L1135" t="inlineStr"/>
      <c r="M1135" t="inlineStr"/>
      <c r="N1135" t="inlineStr"/>
      <c r="O1135">
        <f>(1-Summary!$B$55)*T1135+Summary!$B$55*V1135</f>
        <v/>
      </c>
      <c r="P1135">
        <f>IF(B1148=0,0,O1135/B1148)</f>
        <v/>
      </c>
      <c r="Q1135" t="n">
        <v>0</v>
      </c>
      <c r="R1135" t="n">
        <v>0</v>
      </c>
      <c r="S1135">
        <f>IFERROR(O1135/N1135,0)</f>
        <v/>
      </c>
      <c r="T1135" t="n">
        <v>0</v>
      </c>
      <c r="V1135" t="n">
        <v>0</v>
      </c>
    </row>
    <row r="1137">
      <c r="A1137" t="inlineStr">
        <is>
          <t>Attack% Bucket Multiplier</t>
        </is>
      </c>
      <c r="B1137">
        <f>(1+(((C1125=TRUE)*F1125)+((C1132=TRUE)*(F1132-Calc!F24)))/100)</f>
        <v/>
      </c>
    </row>
    <row r="1138">
      <c r="A1138" t="inlineStr">
        <is>
          <t>Global Crit Rate Bonus %</t>
        </is>
      </c>
      <c r="B1138" t="n">
        <v>0</v>
      </c>
    </row>
    <row r="1139">
      <c r="A1139" t="inlineStr">
        <is>
          <t>Attack Speed Buff Bonus % (unused)</t>
        </is>
      </c>
      <c r="B1139" t="n">
        <v>0</v>
      </c>
    </row>
    <row r="1140">
      <c r="A1140" t="inlineStr">
        <is>
          <t>Actions Per Second</t>
        </is>
      </c>
      <c r="B1140">
        <f>1+MIN(150,150*(1-(1-(Inputs!$B$11+((C1128=TRUE)*(F1128-Calc!F20))+((C1129=TRUE)*(F1129-Calc!F21)))/150)*(1-B1139/150)))/100</f>
        <v/>
      </c>
    </row>
    <row r="1141">
      <c r="A1141" t="inlineStr">
        <is>
          <t>Skill + Buff Cast Rate</t>
        </is>
      </c>
      <c r="B1141">
        <f>IF(AND(Inputs!$B$38&lt;&gt;"pvp",Inputs!$B$43&gt;0),SUMPRODUCT((Skills!E2:E27=TRUE)*(C1110:C1135=TRUE)*R1110:R1135*Skills!F2:F27)/Inputs!$B$43,SUMPRODUCT((Skills!E2:E27=TRUE)*(C1110:C1135=TRUE)*Q1110:Q1135*Skills!F2:F27))</f>
        <v/>
      </c>
    </row>
    <row r="1142">
      <c r="A1142" t="inlineStr">
        <is>
          <t>Eight-Legs Easton Casts Per Second</t>
        </is>
      </c>
      <c r="B1142">
        <f>MAX(0,B1140-B1141)</f>
        <v/>
      </c>
    </row>
    <row r="1143">
      <c r="A1143" t="inlineStr">
        <is>
          <t>Global Critical Damage Bonus % (unused)</t>
        </is>
      </c>
      <c r="B1143" t="n">
        <v>0</v>
      </c>
    </row>
    <row r="1144">
      <c r="A1144" t="inlineStr">
        <is>
          <t>Global Final Damage Bonus % (Jolly Roger only)</t>
        </is>
      </c>
      <c r="B1144">
        <f>((C1126=TRUE)*F1126)</f>
        <v/>
      </c>
    </row>
    <row r="1145">
      <c r="A1145" t="inlineStr">
        <is>
          <t>Buff-Casting Startup Delay (s, fixed-duration only)</t>
        </is>
      </c>
      <c r="B1145">
        <f>IF(AND(Inputs!$B$38&lt;&gt;"pvp",Inputs!$B$43&gt;0),SUMPRODUCT((Skills!T2:T27&gt;0)*(Skills!E2:E27=TRUE)*(C1110:C1135=TRUE))/B1140,0)</f>
        <v/>
      </c>
    </row>
    <row r="1146">
      <c r="A1146" t="inlineStr">
        <is>
          <t>Boss-Only Total DPS (this block's swept value)</t>
        </is>
      </c>
      <c r="B1146">
        <f>SUM(T1110:T1135)</f>
        <v/>
      </c>
    </row>
    <row r="1147">
      <c r="A1147" t="inlineStr">
        <is>
          <t>Normal-Only Total DPS (this block's swept value)</t>
        </is>
      </c>
      <c r="B1147">
        <f>SUM(V1110:V1135)</f>
        <v/>
      </c>
    </row>
    <row r="1148">
      <c r="A1148" s="5" t="inlineStr">
        <is>
          <t>TOTAL DPS</t>
        </is>
      </c>
      <c r="B1148" s="5">
        <f>SUM(O1110:O1135)</f>
        <v/>
      </c>
    </row>
    <row r="1151">
      <c r="A1151" s="7" t="inlineStr">
        <is>
          <t>Cooldown Reduction Milestone Sweep (absolute CDR seconds, fixed-duration content only)</t>
        </is>
      </c>
    </row>
    <row r="1152">
      <c r="A1152" s="9" t="inlineStr">
        <is>
          <t>CDR (s)</t>
        </is>
      </c>
      <c r="B1152" s="9" t="inlineStr">
        <is>
          <t>Total DPS</t>
        </is>
      </c>
      <c r="C1152" s="9" t="inlineStr">
        <is>
          <t>DPS Gain (vs prior step)</t>
        </is>
      </c>
      <c r="D1152" s="9" t="inlineStr">
        <is>
          <t>% Gain (vs current CDR)</t>
        </is>
      </c>
    </row>
    <row r="1153">
      <c r="A1153" t="n">
        <v>0.5</v>
      </c>
      <c r="B1153">
        <f>B1205</f>
        <v/>
      </c>
      <c r="C1153" t="n">
        <v>0</v>
      </c>
      <c r="D1153">
        <f>IF(Summary!$B$3=0,0,(B1153-Summary!$B$3)/Summary!$B$3*100)</f>
        <v/>
      </c>
    </row>
    <row r="1154">
      <c r="A1154" t="n">
        <v>1</v>
      </c>
      <c r="B1154">
        <f>B1248</f>
        <v/>
      </c>
      <c r="C1154">
        <f>B1154-B1153</f>
        <v/>
      </c>
      <c r="D1154">
        <f>IF(Summary!$B$3=0,0,(B1154-Summary!$B$3)/Summary!$B$3*100)</f>
        <v/>
      </c>
    </row>
    <row r="1155">
      <c r="A1155" t="n">
        <v>1.5</v>
      </c>
      <c r="B1155">
        <f>B1291</f>
        <v/>
      </c>
      <c r="C1155">
        <f>B1155-B1154</f>
        <v/>
      </c>
      <c r="D1155">
        <f>IF(Summary!$B$3=0,0,(B1155-Summary!$B$3)/Summary!$B$3*100)</f>
        <v/>
      </c>
    </row>
    <row r="1156">
      <c r="A1156" t="n">
        <v>2</v>
      </c>
      <c r="B1156">
        <f>B1334</f>
        <v/>
      </c>
      <c r="C1156">
        <f>B1156-B1155</f>
        <v/>
      </c>
      <c r="D1156">
        <f>IF(Summary!$B$3=0,0,(B1156-Summary!$B$3)/Summary!$B$3*100)</f>
        <v/>
      </c>
    </row>
    <row r="1157">
      <c r="A1157" t="n">
        <v>2.5</v>
      </c>
      <c r="B1157">
        <f>B1377</f>
        <v/>
      </c>
      <c r="C1157">
        <f>B1157-B1156</f>
        <v/>
      </c>
      <c r="D1157">
        <f>IF(Summary!$B$3=0,0,(B1157-Summary!$B$3)/Summary!$B$3*100)</f>
        <v/>
      </c>
    </row>
    <row r="1158">
      <c r="A1158" t="n">
        <v>3</v>
      </c>
      <c r="B1158">
        <f>B1420</f>
        <v/>
      </c>
      <c r="C1158">
        <f>B1158-B1157</f>
        <v/>
      </c>
      <c r="D1158">
        <f>IF(Summary!$B$3=0,0,(B1158-Summary!$B$3)/Summary!$B$3*100)</f>
        <v/>
      </c>
    </row>
    <row r="1159">
      <c r="A1159" t="n">
        <v>3.5</v>
      </c>
      <c r="B1159">
        <f>B1463</f>
        <v/>
      </c>
      <c r="C1159">
        <f>B1159-B1158</f>
        <v/>
      </c>
      <c r="D1159">
        <f>IF(Summary!$B$3=0,0,(B1159-Summary!$B$3)/Summary!$B$3*100)</f>
        <v/>
      </c>
    </row>
    <row r="1160">
      <c r="A1160" t="n">
        <v>4</v>
      </c>
      <c r="B1160">
        <f>B1506</f>
        <v/>
      </c>
      <c r="C1160">
        <f>B1160-B1159</f>
        <v/>
      </c>
      <c r="D1160">
        <f>IF(Summary!$B$3=0,0,(B1160-Summary!$B$3)/Summary!$B$3*100)</f>
        <v/>
      </c>
    </row>
    <row r="1161">
      <c r="A1161" t="n">
        <v>4.5</v>
      </c>
      <c r="B1161">
        <f>B1549</f>
        <v/>
      </c>
      <c r="C1161">
        <f>B1161-B1160</f>
        <v/>
      </c>
      <c r="D1161">
        <f>IF(Summary!$B$3=0,0,(B1161-Summary!$B$3)/Summary!$B$3*100)</f>
        <v/>
      </c>
    </row>
    <row r="1162">
      <c r="A1162" t="n">
        <v>5</v>
      </c>
      <c r="B1162">
        <f>B1592</f>
        <v/>
      </c>
      <c r="C1162">
        <f>B1162-B1161</f>
        <v/>
      </c>
      <c r="D1162">
        <f>IF(Summary!$B$3=0,0,(B1162-Summary!$B$3)/Summary!$B$3*100)</f>
        <v/>
      </c>
    </row>
    <row r="1165">
      <c r="A1165" s="5" t="inlineStr">
        <is>
          <t>Stat: CDR = 0.5s</t>
        </is>
      </c>
    </row>
    <row r="1166">
      <c r="A1166" s="9" t="inlineStr">
        <is>
          <t>Key</t>
        </is>
      </c>
      <c r="B1166" s="9" t="inlineStr">
        <is>
          <t>Name</t>
        </is>
      </c>
      <c r="C1166" s="9" t="inlineStr">
        <is>
          <t>Unlocked</t>
        </is>
      </c>
      <c r="D1166" s="9" t="inlineStr">
        <is>
          <t>InputLevel</t>
        </is>
      </c>
      <c r="E1166" s="9" t="inlineStr">
        <is>
          <t>Factor</t>
        </is>
      </c>
      <c r="F1166" s="9" t="inlineStr">
        <is>
          <t>CoefficientPercent</t>
        </is>
      </c>
      <c r="G1166" s="9" t="inlineStr">
        <is>
          <t>EffectiveHits</t>
        </is>
      </c>
      <c r="H1166" s="9" t="inlineStr">
        <is>
          <t>ProcProbability</t>
        </is>
      </c>
      <c r="I1166" s="9" t="inlineStr">
        <is>
          <t>MapleHeroMultiplier</t>
        </is>
      </c>
      <c r="J1166" s="9" t="inlineStr">
        <is>
          <t>BaseDamage</t>
        </is>
      </c>
      <c r="K1166" s="9" t="inlineStr">
        <is>
          <t>BaseHitDamage</t>
        </is>
      </c>
      <c r="L1166" s="9" t="inlineStr">
        <is>
          <t>NonCritAvg</t>
        </is>
      </c>
      <c r="M1166" s="9" t="inlineStr">
        <is>
          <t>CritAvg</t>
        </is>
      </c>
      <c r="N1166" s="9" t="inlineStr">
        <is>
          <t>ExpectedDamage(perHit)</t>
        </is>
      </c>
      <c r="O1166" s="9" t="inlineStr">
        <is>
          <t>DPS</t>
        </is>
      </c>
      <c r="P1166" s="9" t="inlineStr">
        <is>
          <t>% of Total</t>
        </is>
      </c>
      <c r="Q1166" s="9" t="inlineStr">
        <is>
          <t>InvCooldown</t>
        </is>
      </c>
      <c r="R1166" s="9" t="inlineStr">
        <is>
          <t>CastsInFight</t>
        </is>
      </c>
      <c r="S1166" s="9" t="inlineStr">
        <is>
          <t>HitRate(perSec)</t>
        </is>
      </c>
      <c r="U1166" t="inlineStr">
        <is>
          <t>helpers</t>
        </is>
      </c>
    </row>
    <row r="1167">
      <c r="A1167">
        <f>Skills!A2</f>
        <v/>
      </c>
      <c r="B1167">
        <f>Skills!B2</f>
        <v/>
      </c>
      <c r="C1167">
        <f>Inputs!$B$3&gt;=100</f>
        <v/>
      </c>
      <c r="D1167" t="inlineStr"/>
      <c r="E1167" t="inlineStr"/>
      <c r="F1167">
        <f>U1169+Skills!O2</f>
        <v/>
      </c>
      <c r="G1167">
        <f>Skills!G2*IF(Skills!H2&gt;0,Skills!I2/Skills!H2,1)</f>
        <v/>
      </c>
      <c r="H1167">
        <f>1-(1-Skills!J2/100)^Skills!K2</f>
        <v/>
      </c>
      <c r="I1167" t="inlineStr">
        <is>
          <t>1</t>
        </is>
      </c>
      <c r="J1167">
        <f>((Inputs!$B$6*(1+Inputs!$B$7/100))+(((Inputs!$B$12*(1+Inputs!$B$13/100))-(Inputs!$B$12*(1+Inputs!$B$13/100)))+0.25*(Inputs!$B$14-Inputs!$B$14))*(1+Inputs!$B$7/100))*(F1167/100)</f>
        <v/>
      </c>
      <c r="K1167">
        <f>J1167*(1+((Inputs!$B$12*(1+Inputs!$B$13/100))*0.01+Inputs!$B$14*0.0025)/100)*(1+Inputs!$B$15/100)*(1+Inputs!$B$16/100)*(5000/(6000+Inputs!$B$42*(1-(Inputs!$B$19+0)/100)))*(1+(Inputs!$B$24+((C1191=TRUE)*(F1191-Calc!F26))+B1201)/100)*(1+(IF(Skills!A2="EIGHT_LEGS_EASTON",Inputs!$B$17+((C1188=TRUE)*(F1188-Calc!F23))+((C1192=TRUE)*(F1192-Calc!F27)),Inputs!$B$18+0))/100)*((1+(((C1182=TRUE)*F1182)+((C1189=TRUE)*(F1189-Calc!F24)))/100)*I1167)</f>
        <v/>
      </c>
      <c r="L1167">
        <f>K1167*(MIN(Inputs!$B$22+((C1187=TRUE)*(F1187-Calc!F22)),Inputs!$B$23+0)/100+(Inputs!$B$23+0)/100)/2</f>
        <v/>
      </c>
      <c r="M1167">
        <f>L1167*(1+(Inputs!$B$10+((C1190=TRUE)*(F1190-Calc!F25))+B1200)/100)</f>
        <v/>
      </c>
      <c r="N1167">
        <f>L1167*(1-MIN((Inputs!$B$9+((C1184=TRUE)*(F1184-Calc!F19))+B1195),100)/100)+M1167*(MIN((Inputs!$B$9+((C1184=TRUE)*(F1184-Calc!F19))+B1195),100)/100)</f>
        <v/>
      </c>
      <c r="O1167">
        <f>(1-Summary!$B$55)*T1167+Summary!$B$55*V1167</f>
        <v/>
      </c>
      <c r="P1167">
        <f>IF(B1205=0,0,O1167/B1205)</f>
        <v/>
      </c>
      <c r="Q1167" t="n">
        <v>0</v>
      </c>
      <c r="R1167" t="n">
        <v>0</v>
      </c>
      <c r="S1167">
        <f>IFERROR(O1167/N1167,0)</f>
        <v/>
      </c>
      <c r="T1167">
        <f>IF(C1167,(Skills!G2*N1167*B1199)*IF(Inputs!$B$38="pvp",1,1+(Inputs!$B$20+0+Skills!P2)/100),0)</f>
        <v/>
      </c>
      <c r="U1167">
        <f>MAX(0,(Inputs!$B$3-100)*3)+Inputs!$B$28+Inputs!$B$29</f>
        <v/>
      </c>
      <c r="V1167">
        <f>IF(C1167,(Skills!G2*N1167*B1199)*IF(Inputs!$B$38="pvp",1,(1+(Inputs!$B$21+Skills!Q2)/100)*(MIN((6+Inputs!$B$33),Inputs!$B$37))),0)</f>
        <v/>
      </c>
    </row>
    <row r="1168">
      <c r="A1168">
        <f>Skills!A3</f>
        <v/>
      </c>
      <c r="B1168">
        <f>Skills!B3</f>
        <v/>
      </c>
      <c r="C1168">
        <f>Inputs!$B$3&gt;=35</f>
        <v/>
      </c>
      <c r="D1168">
        <f>IF(Skills!C3=1,60+Inputs!$B$25+Inputs!$B$29,IF(Skills!C3=2,90+Inputs!$B$26+Inputs!$B$29,IF(Skills!C3=3,120+Inputs!$B$27+Inputs!$B$29,MAX(0,(Inputs!$B$3-100)*3)+Inputs!$B$28+Inputs!$B$29)))</f>
        <v/>
      </c>
      <c r="E1168">
        <f>INDEX(FactorTable!$B$2:$Y$301, MATCH(ROUND(MIN(300,MAX(1,D1168)),0), FactorTable!$A$2:$A$301,0), Skills!M3+1)</f>
        <v/>
      </c>
      <c r="F1168">
        <f>IF(Skills!N3=TRUE,(Skills!L3/10)*(E1168/1000),Skills!L3/10)+Skills!O3</f>
        <v/>
      </c>
      <c r="G1168">
        <f>Skills!G3*IF(Skills!H3&gt;0,Skills!I3/Skills!H3,1)</f>
        <v/>
      </c>
      <c r="H1168">
        <f>1-(1-Skills!J3/100)^Skills!K3</f>
        <v/>
      </c>
      <c r="I1168" t="inlineStr">
        <is>
          <t>1</t>
        </is>
      </c>
      <c r="J1168">
        <f>((Inputs!$B$6*(1+Inputs!$B$7/100))+(((Inputs!$B$12*(1+Inputs!$B$13/100))-(Inputs!$B$12*(1+Inputs!$B$13/100)))+0.25*(Inputs!$B$14-Inputs!$B$14))*(1+Inputs!$B$7/100))*(F1168/100)</f>
        <v/>
      </c>
      <c r="K1168">
        <f>J1168*(1+((Inputs!$B$12*(1+Inputs!$B$13/100))*0.01+Inputs!$B$14*0.0025)/100)*(1+Inputs!$B$15/100)*(1+Inputs!$B$16/100)*(5000/(6000+Inputs!$B$42*(1-(Inputs!$B$19+0)/100)))*(1+(Inputs!$B$24+((C1191=TRUE)*(F1191-Calc!F26))+B1201)/100)*(1+4.0*IF(C1180=TRUE,F1180,0)/100)*(1+(IF(Skills!A3="EIGHT_LEGS_EASTON",Inputs!$B$17+((C1188=TRUE)*(F1188-Calc!F23))+((C1192=TRUE)*(F1192-Calc!F27)),Inputs!$B$18+0))/100)*((1+(((C1182=TRUE)*F1182)+((C1189=TRUE)*(F1189-Calc!F24)))/100)*I1168)</f>
        <v/>
      </c>
      <c r="L1168">
        <f>K1168*(MIN(Inputs!$B$22+((C1187=TRUE)*(F1187-Calc!F22)),Inputs!$B$23+0)/100+(Inputs!$B$23+0)/100)/2</f>
        <v/>
      </c>
      <c r="M1168">
        <f>L1168*(1+(Inputs!$B$10+((C1190=TRUE)*(F1190-Calc!F25))+B1200)/100)</f>
        <v/>
      </c>
      <c r="N1168">
        <f>L1168*(1-MIN((Inputs!$B$9+((C1184=TRUE)*(F1184-Calc!F19))+B1195),100)/100)+M1168*(MIN((Inputs!$B$9+((C1184=TRUE)*(F1184-Calc!F19))+B1195),100)/100)</f>
        <v/>
      </c>
      <c r="O1168">
        <f>(1-Summary!$B$55)*T1168+Summary!$B$55*V1168</f>
        <v/>
      </c>
      <c r="P1168">
        <f>IF(B1205=0,0,O1168/B1205)</f>
        <v/>
      </c>
      <c r="Q1168">
        <f>IFERROR(1/IF(Inputs!$B$38="pvp",15,MAX(0.1,Skills!D3-IF(Skills!E3=TRUE,0.5,0))),0)</f>
        <v/>
      </c>
      <c r="R1168">
        <f>IF(AND(Inputs!$B$38&lt;&gt;"pvp",Inputs!$B$43&gt;0),IF(MAX(0,Inputs!$B$43-B1202)&lt;=0,0,(INT(MAX(0,Inputs!$B$43-B1202)/IF(Inputs!$B$38="pvp",15,MAX(0.1,Skills!D3-IF(Skills!E3=TRUE,0.5,0))))+1)),0)</f>
        <v/>
      </c>
      <c r="S1168">
        <f>IFERROR(O1168/N1168,0)</f>
        <v/>
      </c>
      <c r="T1168">
        <f>IF(C1168,(H1168*N1168*IF(AND(Inputs!$B$38&lt;&gt;"pvp",Inputs!$B$43&gt;0),((Skills!G3*((R1168-1)*IF(Skills!H3&gt;0,Skills!I3/Skills!H3,1)+IF(Skills!H3&gt;0,MIN(Skills!I3,MAX(0,MAX(0,Inputs!$B$43-B1202)-((R1168-1)*IF(Inputs!$B$38="pvp",15,MAX(0.1,Skills!D3-IF(Skills!E3=TRUE,0.5,0))))))/Skills!H3,1)))/Inputs!$B$43),G1168*Q1168))*IF(Inputs!$B$38="pvp",1,1+(Inputs!$B$20+0+Skills!P3)/100),0)</f>
        <v/>
      </c>
      <c r="U1168">
        <f>INDEX(FactorTable!$B$2:$Y$301, MATCH(ROUND(MIN(300,MAX(1,U1167)),0), FactorTable!$A$2:$A$301,0), 22)</f>
        <v/>
      </c>
      <c r="V1168">
        <f>IF(C1168,(H1168*N1168*IF(AND(Inputs!$B$38&lt;&gt;"pvp",Inputs!$B$43&gt;0),((Skills!G3*((R1168-1)*IF(Skills!H3&gt;0,Skills!I3/Skills!H3,1)+IF(Skills!H3&gt;0,MIN(Skills!I3,MAX(0,MAX(0,Inputs!$B$43-B1202)-((R1168-1)*IF(Inputs!$B$38="pvp",15,MAX(0.1,Skills!D3-IF(Skills!E3=TRUE,0.5,0))))))/Skills!H3,1)))/Inputs!$B$43),G1168*Q1168))*IF(Inputs!$B$38="pvp",1,(1+(Inputs!$B$21+Skills!Q3)/100)*(MIN(Skills!R3,Inputs!$B$37))),0)</f>
        <v/>
      </c>
    </row>
    <row r="1169">
      <c r="A1169">
        <f>Skills!A4</f>
        <v/>
      </c>
      <c r="B1169">
        <f>Skills!B4</f>
        <v/>
      </c>
      <c r="C1169">
        <f>Inputs!$B$3&gt;=40</f>
        <v/>
      </c>
      <c r="D1169">
        <f>IF(Skills!C4=1,60+Inputs!$B$25+Inputs!$B$29,IF(Skills!C4=2,90+Inputs!$B$26+Inputs!$B$29,IF(Skills!C4=3,120+Inputs!$B$27+Inputs!$B$29,MAX(0,(Inputs!$B$3-100)*3)+Inputs!$B$28+Inputs!$B$29)))</f>
        <v/>
      </c>
      <c r="E1169">
        <f>INDEX(FactorTable!$B$2:$Y$301, MATCH(ROUND(MIN(300,MAX(1,D1169)),0), FactorTable!$A$2:$A$301,0), Skills!M4+1)</f>
        <v/>
      </c>
      <c r="F1169">
        <f>IF(Skills!N4=TRUE,(Skills!L4/10)*(E1169/1000),Skills!L4/10)+Skills!O4</f>
        <v/>
      </c>
      <c r="G1169">
        <f>Skills!G4*IF(Skills!H4&gt;0,Skills!I4/Skills!H4,1)</f>
        <v/>
      </c>
      <c r="H1169">
        <f>1-(1-Skills!J4/100)^Skills!K4</f>
        <v/>
      </c>
      <c r="I1169" t="inlineStr">
        <is>
          <t>1</t>
        </is>
      </c>
      <c r="J1169">
        <f>((Inputs!$B$6*(1+Inputs!$B$7/100))+(((Inputs!$B$12*(1+Inputs!$B$13/100))-(Inputs!$B$12*(1+Inputs!$B$13/100)))+0.25*(Inputs!$B$14-Inputs!$B$14))*(1+Inputs!$B$7/100))*(F1169/100)</f>
        <v/>
      </c>
      <c r="K1169">
        <f>J1169*(1+((Inputs!$B$12*(1+Inputs!$B$13/100))*0.01+Inputs!$B$14*0.0025)/100)*(1+Inputs!$B$15/100)*(1+Inputs!$B$16/100)*(5000/(6000+Inputs!$B$42*(1-(Inputs!$B$19+0)/100)))*(1+(Inputs!$B$24+((C1191=TRUE)*(F1191-Calc!F26))+B1201)/100)*(1+1.0*IF(C1181=TRUE,F1181,0)/100)*(1+(IF(Skills!A4="EIGHT_LEGS_EASTON",Inputs!$B$17+((C1188=TRUE)*(F1188-Calc!F23))+((C1192=TRUE)*(F1192-Calc!F27)),Inputs!$B$18+0))/100)*((1+(((C1182=TRUE)*F1182)+((C1189=TRUE)*(F1189-Calc!F24)))/100)*I1169)</f>
        <v/>
      </c>
      <c r="L1169">
        <f>K1169*(MIN(Inputs!$B$22+((C1187=TRUE)*(F1187-Calc!F22)),Inputs!$B$23+0)/100+(Inputs!$B$23+0)/100)/2</f>
        <v/>
      </c>
      <c r="M1169">
        <f>L1169*(1+(Inputs!$B$10+((C1190=TRUE)*(F1190-Calc!F25))+B1200)/100)</f>
        <v/>
      </c>
      <c r="N1169">
        <f>L1169*(1-MIN((Inputs!$B$9+((C1184=TRUE)*(F1184-Calc!F19))+B1195),100)/100)+M1169*(MIN((Inputs!$B$9+((C1184=TRUE)*(F1184-Calc!F19))+B1195),100)/100)</f>
        <v/>
      </c>
      <c r="O1169">
        <f>(1-Summary!$B$55)*T1169+Summary!$B$55*V1169</f>
        <v/>
      </c>
      <c r="P1169">
        <f>IF(B1205=0,0,O1169/B1205)</f>
        <v/>
      </c>
      <c r="Q1169">
        <f>IFERROR(1/IF(Inputs!$B$38="pvp",15,MAX(0.1,Skills!D4-IF(Skills!E4=TRUE,0.5,0))),0)</f>
        <v/>
      </c>
      <c r="R1169">
        <f>IF(AND(Inputs!$B$38&lt;&gt;"pvp",Inputs!$B$43&gt;0),IF(MAX(0,Inputs!$B$43-B1202)&lt;=0,0,(INT(MAX(0,Inputs!$B$43-B1202)/IF(Inputs!$B$38="pvp",15,MAX(0.1,Skills!D4-IF(Skills!E4=TRUE,0.5,0))))+1)),0)</f>
        <v/>
      </c>
      <c r="S1169">
        <f>IFERROR(O1169/N1169,0)</f>
        <v/>
      </c>
      <c r="T1169">
        <f>IF(C1169,(H1169*N1169*IF(AND(Inputs!$B$38&lt;&gt;"pvp",Inputs!$B$43&gt;0),((Skills!G4*((R1169-1)*IF(Skills!H4&gt;0,Skills!I4/Skills!H4,1)+IF(Skills!H4&gt;0,MIN(Skills!I4,MAX(0,MAX(0,Inputs!$B$43-B1202)-((R1169-1)*IF(Inputs!$B$38="pvp",15,MAX(0.1,Skills!D4-IF(Skills!E4=TRUE,0.5,0))))))/Skills!H4,1)))/Inputs!$B$43),G1169*Q1169))*IF(Inputs!$B$38="pvp",1,1+(Inputs!$B$20+0+Skills!P4)/100),0)</f>
        <v/>
      </c>
      <c r="U1169">
        <f>290*U1168/1000</f>
        <v/>
      </c>
      <c r="V1169">
        <f>IF(C1169,(H1169*N1169*IF(AND(Inputs!$B$38&lt;&gt;"pvp",Inputs!$B$43&gt;0),((Skills!G4*((R1169-1)*IF(Skills!H4&gt;0,Skills!I4/Skills!H4,1)+IF(Skills!H4&gt;0,MIN(Skills!I4,MAX(0,MAX(0,Inputs!$B$43-B1202)-((R1169-1)*IF(Inputs!$B$38="pvp",15,MAX(0.1,Skills!D4-IF(Skills!E4=TRUE,0.5,0))))))/Skills!H4,1)))/Inputs!$B$43),G1169*Q1169))*IF(Inputs!$B$38="pvp",1,(1+(Inputs!$B$21+Skills!Q4)/100)*(MIN(Skills!R4,Inputs!$B$37))),0)</f>
        <v/>
      </c>
    </row>
    <row r="1170">
      <c r="A1170">
        <f>Skills!A5</f>
        <v/>
      </c>
      <c r="B1170">
        <f>Skills!B5</f>
        <v/>
      </c>
      <c r="C1170">
        <f>Inputs!$B$3&gt;=45</f>
        <v/>
      </c>
      <c r="D1170">
        <f>IF(Skills!C5=1,60+Inputs!$B$25+Inputs!$B$29,IF(Skills!C5=2,90+Inputs!$B$26+Inputs!$B$29,IF(Skills!C5=3,120+Inputs!$B$27+Inputs!$B$29,MAX(0,(Inputs!$B$3-100)*3)+Inputs!$B$28+Inputs!$B$29)))</f>
        <v/>
      </c>
      <c r="E1170">
        <f>INDEX(FactorTable!$B$2:$Y$301, MATCH(ROUND(MIN(300,MAX(1,D1170)),0), FactorTable!$A$2:$A$301,0), Skills!M5+1)</f>
        <v/>
      </c>
      <c r="F1170">
        <f>IF(Skills!N5=TRUE,(Skills!L5/10)*(E1170/1000),Skills!L5/10)+Skills!O5</f>
        <v/>
      </c>
      <c r="G1170">
        <f>Skills!G5*IF(Skills!H5&gt;0,Skills!I5/Skills!H5,1)</f>
        <v/>
      </c>
      <c r="H1170">
        <f>1-(1-Skills!J5/100)^Skills!K5</f>
        <v/>
      </c>
      <c r="I1170" t="inlineStr">
        <is>
          <t>1</t>
        </is>
      </c>
      <c r="J1170">
        <f>((Inputs!$B$6*(1+Inputs!$B$7/100))+(((Inputs!$B$12*(1+Inputs!$B$13/100))-(Inputs!$B$12*(1+Inputs!$B$13/100)))+0.25*(Inputs!$B$14-Inputs!$B$14))*(1+Inputs!$B$7/100))*(F1170/100)</f>
        <v/>
      </c>
      <c r="K1170">
        <f>J1170*(1+((Inputs!$B$12*(1+Inputs!$B$13/100))*0.01+Inputs!$B$14*0.0025)/100)*(1+Inputs!$B$15/100)*(1+Inputs!$B$16/100)*(5000/(6000+Inputs!$B$42*(1-(Inputs!$B$19+0)/100)))*(1+(Inputs!$B$24+((C1191=TRUE)*(F1191-Calc!F26))+B1201)/100)*(1+0.4*IF(C1181=TRUE,F1181,0)/100)*(1+(IF(Skills!A5="EIGHT_LEGS_EASTON",Inputs!$B$17+((C1188=TRUE)*(F1188-Calc!F23))+((C1192=TRUE)*(F1192-Calc!F27)),Inputs!$B$18+0))/100)*((1+(((C1182=TRUE)*F1182)+((C1189=TRUE)*(F1189-Calc!F24)))/100)*I1170)</f>
        <v/>
      </c>
      <c r="L1170">
        <f>K1170*(MIN(Inputs!$B$22+((C1187=TRUE)*(F1187-Calc!F22)),Inputs!$B$23+0)/100+(Inputs!$B$23+0)/100)/2</f>
        <v/>
      </c>
      <c r="M1170">
        <f>L1170*(1+(Inputs!$B$10+((C1190=TRUE)*(F1190-Calc!F25))+B1200)/100)</f>
        <v/>
      </c>
      <c r="N1170">
        <f>L1170*(1-MIN((Inputs!$B$9+((C1184=TRUE)*(F1184-Calc!F19))+B1195),100)/100)+M1170*(MIN((Inputs!$B$9+((C1184=TRUE)*(F1184-Calc!F19))+B1195),100)/100)</f>
        <v/>
      </c>
      <c r="O1170">
        <f>(1-Summary!$B$55)*T1170+Summary!$B$55*V1170</f>
        <v/>
      </c>
      <c r="P1170">
        <f>IF(B1205=0,0,O1170/B1205)</f>
        <v/>
      </c>
      <c r="Q1170">
        <f>IFERROR(1/IF(Inputs!$B$38="pvp",15,MAX(0.1,Skills!D5-IF(Skills!E5=TRUE,0.5,0))),0)</f>
        <v/>
      </c>
      <c r="R1170">
        <f>IF(AND(Inputs!$B$38&lt;&gt;"pvp",Inputs!$B$43&gt;0),IF(MAX(0,Inputs!$B$43-B1202)&lt;=0,0,(INT(MAX(0,Inputs!$B$43-B1202)/IF(Inputs!$B$38="pvp",15,MAX(0.1,Skills!D5-IF(Skills!E5=TRUE,0.5,0))))+1)),0)</f>
        <v/>
      </c>
      <c r="S1170">
        <f>IFERROR(O1170/N1170,0)</f>
        <v/>
      </c>
      <c r="T1170">
        <f>IF(C1170,(H1170*N1170*IF(AND(Inputs!$B$38&lt;&gt;"pvp",Inputs!$B$43&gt;0),((Skills!G5*((R1170-1)*IF(Skills!H5&gt;0,Skills!I5/Skills!H5,1)+IF(Skills!H5&gt;0,MIN(Skills!I5,MAX(0,MAX(0,Inputs!$B$43-B1202)-((R1170-1)*IF(Inputs!$B$38="pvp",15,MAX(0.1,Skills!D5-IF(Skills!E5=TRUE,0.5,0))))))/Skills!H5,1)))/Inputs!$B$43),G1170*Q1170))*IF(Inputs!$B$38="pvp",1,1+(Inputs!$B$20+0+Skills!P5)/100),0)</f>
        <v/>
      </c>
      <c r="V1170">
        <f>IF(C1170,(H1170*N1170*IF(AND(Inputs!$B$38&lt;&gt;"pvp",Inputs!$B$43&gt;0),((Skills!G5*((R1170-1)*IF(Skills!H5&gt;0,Skills!I5/Skills!H5,1)+IF(Skills!H5&gt;0,MIN(Skills!I5,MAX(0,MAX(0,Inputs!$B$43-B1202)-((R1170-1)*IF(Inputs!$B$38="pvp",15,MAX(0.1,Skills!D5-IF(Skills!E5=TRUE,0.5,0))))))/Skills!H5,1)))/Inputs!$B$43),G1170*Q1170))*IF(Inputs!$B$38="pvp",1,(1+(Inputs!$B$21+Skills!Q5)/100)*(MIN(Skills!R5,Inputs!$B$37))),0)</f>
        <v/>
      </c>
    </row>
    <row r="1171">
      <c r="A1171">
        <f>Skills!A6</f>
        <v/>
      </c>
      <c r="B1171">
        <f>Skills!B6</f>
        <v/>
      </c>
      <c r="C1171">
        <f>Inputs!$B$3&gt;=63</f>
        <v/>
      </c>
      <c r="D1171">
        <f>IF(Skills!C6=1,60+Inputs!$B$25+Inputs!$B$29,IF(Skills!C6=2,90+Inputs!$B$26+Inputs!$B$29,IF(Skills!C6=3,120+Inputs!$B$27+Inputs!$B$29,MAX(0,(Inputs!$B$3-100)*3)+Inputs!$B$28+Inputs!$B$29)))</f>
        <v/>
      </c>
      <c r="E1171">
        <f>INDEX(FactorTable!$B$2:$Y$301, MATCH(ROUND(MIN(300,MAX(1,D1171)),0), FactorTable!$A$2:$A$301,0), Skills!M6+1)</f>
        <v/>
      </c>
      <c r="F1171">
        <f>IF(Skills!N6=TRUE,(Skills!L6/10)*(E1171/1000),Skills!L6/10)+Skills!O6</f>
        <v/>
      </c>
      <c r="G1171">
        <f>Skills!G6*IF(Skills!H6&gt;0,Skills!I6/Skills!H6,1)</f>
        <v/>
      </c>
      <c r="H1171">
        <f>1-(1-Skills!J6/100)^Skills!K6</f>
        <v/>
      </c>
      <c r="I1171" t="inlineStr">
        <is>
          <t>1</t>
        </is>
      </c>
      <c r="J1171">
        <f>((Inputs!$B$6*(1+Inputs!$B$7/100))+(((Inputs!$B$12*(1+Inputs!$B$13/100))-(Inputs!$B$12*(1+Inputs!$B$13/100)))+0.25*(Inputs!$B$14-Inputs!$B$14))*(1+Inputs!$B$7/100))*(F1171/100)</f>
        <v/>
      </c>
      <c r="K1171">
        <f>J1171*(1+((Inputs!$B$12*(1+Inputs!$B$13/100))*0.01+Inputs!$B$14*0.0025)/100)*(1+Inputs!$B$15/100)*(1+Inputs!$B$16/100)*(5000/(6000+Inputs!$B$42*(1-(Inputs!$B$19+0)/100)))*(1+(Inputs!$B$24+((C1191=TRUE)*(F1191-Calc!F26))+B1201)/100)*(1+2.0*IF(C1180=TRUE,F1180,0)/100)*(1+(IF(Skills!A6="EIGHT_LEGS_EASTON",Inputs!$B$17+((C1188=TRUE)*(F1188-Calc!F23))+((C1192=TRUE)*(F1192-Calc!F27)),Inputs!$B$18+0))/100)*((1+(((C1182=TRUE)*F1182)+((C1189=TRUE)*(F1189-Calc!F24)))/100)*I1171)</f>
        <v/>
      </c>
      <c r="L1171">
        <f>K1171*(MIN(Inputs!$B$22+((C1187=TRUE)*(F1187-Calc!F22)),Inputs!$B$23+0)/100+(Inputs!$B$23+0)/100)/2</f>
        <v/>
      </c>
      <c r="M1171">
        <f>L1171*(1+(Inputs!$B$10+((C1190=TRUE)*(F1190-Calc!F25))+B1200)/100)</f>
        <v/>
      </c>
      <c r="N1171">
        <f>L1171*(1-MIN((Inputs!$B$9+((C1184=TRUE)*(F1184-Calc!F19))+B1195),100)/100)+M1171*(MIN((Inputs!$B$9+((C1184=TRUE)*(F1184-Calc!F19))+B1195),100)/100)</f>
        <v/>
      </c>
      <c r="O1171">
        <f>(1-Summary!$B$55)*T1171+Summary!$B$55*V1171</f>
        <v/>
      </c>
      <c r="P1171">
        <f>IF(B1205=0,0,O1171/B1205)</f>
        <v/>
      </c>
      <c r="Q1171">
        <f>IFERROR(1/IF(Inputs!$B$38="pvp",15,MAX(0.1,Skills!D6-IF(Skills!E6=TRUE,0.5,0))),0)</f>
        <v/>
      </c>
      <c r="R1171">
        <f>IF(AND(Inputs!$B$38&lt;&gt;"pvp",Inputs!$B$43&gt;0),IF(MAX(0,Inputs!$B$43-B1202)&lt;=0,0,(INT(MAX(0,Inputs!$B$43-B1202)/IF(Inputs!$B$38="pvp",15,MAX(0.1,Skills!D6-IF(Skills!E6=TRUE,0.5,0))))+1)),0)</f>
        <v/>
      </c>
      <c r="S1171">
        <f>IFERROR(O1171/N1171,0)</f>
        <v/>
      </c>
      <c r="T1171">
        <f>IF(C1171,(H1171*N1171*IF(AND(Inputs!$B$38&lt;&gt;"pvp",Inputs!$B$43&gt;0),((Skills!G6*((R1171-1)*IF(Skills!H6&gt;0,Skills!I6/Skills!H6,1)+IF(Skills!H6&gt;0,MIN(Skills!I6,MAX(0,MAX(0,Inputs!$B$43-B1202)-((R1171-1)*IF(Inputs!$B$38="pvp",15,MAX(0.1,Skills!D6-IF(Skills!E6=TRUE,0.5,0))))))/Skills!H6,1)))/Inputs!$B$43),G1171*Q1171))*IF(Inputs!$B$38="pvp",1,1+(Inputs!$B$20+0+Skills!P6)/100),0)</f>
        <v/>
      </c>
      <c r="V1171">
        <f>IF(C1171,(H1171*N1171*IF(AND(Inputs!$B$38&lt;&gt;"pvp",Inputs!$B$43&gt;0),((Skills!G6*((R1171-1)*IF(Skills!H6&gt;0,Skills!I6/Skills!H6,1)+IF(Skills!H6&gt;0,MIN(Skills!I6,MAX(0,MAX(0,Inputs!$B$43-B1202)-((R1171-1)*IF(Inputs!$B$38="pvp",15,MAX(0.1,Skills!D6-IF(Skills!E6=TRUE,0.5,0))))))/Skills!H6,1)))/Inputs!$B$43),G1171*Q1171))*IF(Inputs!$B$38="pvp",1,(1+(Inputs!$B$21+Skills!Q6)/100)*(MIN(Skills!R6,Inputs!$B$37))),0)</f>
        <v/>
      </c>
    </row>
    <row r="1172">
      <c r="A1172">
        <f>Skills!A7</f>
        <v/>
      </c>
      <c r="B1172">
        <f>Skills!B7</f>
        <v/>
      </c>
      <c r="C1172">
        <f>Inputs!$B$3&gt;=66</f>
        <v/>
      </c>
      <c r="D1172">
        <f>IF(Skills!C7=1,60+Inputs!$B$25+Inputs!$B$29,IF(Skills!C7=2,90+Inputs!$B$26+Inputs!$B$29,IF(Skills!C7=3,120+Inputs!$B$27+Inputs!$B$29,MAX(0,(Inputs!$B$3-100)*3)+Inputs!$B$28+Inputs!$B$29)))</f>
        <v/>
      </c>
      <c r="E1172">
        <f>INDEX(FactorTable!$B$2:$Y$301, MATCH(ROUND(MIN(300,MAX(1,D1172)),0), FactorTable!$A$2:$A$301,0), Skills!M7+1)</f>
        <v/>
      </c>
      <c r="F1172">
        <f>IF(Skills!N7=TRUE,(Skills!L7/10)*(E1172/1000),Skills!L7/10)+Skills!O7</f>
        <v/>
      </c>
      <c r="G1172">
        <f>Skills!G7*IF(Skills!H7&gt;0,Skills!I7/Skills!H7,1)</f>
        <v/>
      </c>
      <c r="H1172">
        <f>1-(1-Skills!J7/100)^Skills!K7</f>
        <v/>
      </c>
      <c r="I1172" t="inlineStr">
        <is>
          <t>1</t>
        </is>
      </c>
      <c r="J1172">
        <f>((Inputs!$B$6*(1+Inputs!$B$7/100))+(((Inputs!$B$12*(1+Inputs!$B$13/100))-(Inputs!$B$12*(1+Inputs!$B$13/100)))+0.25*(Inputs!$B$14-Inputs!$B$14))*(1+Inputs!$B$7/100))*(F1172/100)</f>
        <v/>
      </c>
      <c r="K1172">
        <f>J1172*(1+((Inputs!$B$12*(1+Inputs!$B$13/100))*0.01+Inputs!$B$14*0.0025)/100)*(1+Inputs!$B$15/100)*(1+Inputs!$B$16/100)*(5000/(6000+Inputs!$B$42*(1-(Inputs!$B$19+0)/100)))*(1+(Inputs!$B$24+((C1191=TRUE)*(F1191-Calc!F26))+B1201)/100)*(1+1.0*IF(C1180=TRUE,F1180,0)/100)*(1+(IF(Skills!A7="EIGHT_LEGS_EASTON",Inputs!$B$17+((C1188=TRUE)*(F1188-Calc!F23))+((C1192=TRUE)*(F1192-Calc!F27)),Inputs!$B$18+0))/100)*((1+(((C1182=TRUE)*F1182)+((C1189=TRUE)*(F1189-Calc!F24)))/100)*I1172)</f>
        <v/>
      </c>
      <c r="L1172">
        <f>K1172*(MIN(Inputs!$B$22+((C1187=TRUE)*(F1187-Calc!F22)),Inputs!$B$23+0)/100+(Inputs!$B$23+0)/100)/2</f>
        <v/>
      </c>
      <c r="M1172">
        <f>L1172*(1+(Inputs!$B$10+((C1190=TRUE)*(F1190-Calc!F25))+B1200)/100)</f>
        <v/>
      </c>
      <c r="N1172">
        <f>L1172*(1-MIN((Inputs!$B$9+((C1184=TRUE)*(F1184-Calc!F19))+B1195),100)/100)+M1172*(MIN((Inputs!$B$9+((C1184=TRUE)*(F1184-Calc!F19))+B1195),100)/100)</f>
        <v/>
      </c>
      <c r="O1172">
        <f>(1-Summary!$B$55)*T1172+Summary!$B$55*V1172</f>
        <v/>
      </c>
      <c r="P1172">
        <f>IF(B1205=0,0,O1172/B1205)</f>
        <v/>
      </c>
      <c r="Q1172">
        <f>IFERROR(1/IF(Inputs!$B$38="pvp",15,MAX(0.1,Skills!D7-IF(Skills!E7=TRUE,0.5,0))),0)</f>
        <v/>
      </c>
      <c r="R1172">
        <f>IF(AND(Inputs!$B$38&lt;&gt;"pvp",Inputs!$B$43&gt;0),IF(MAX(0,Inputs!$B$43-B1202)&lt;=0,0,(INT(MAX(0,Inputs!$B$43-B1202)/IF(Inputs!$B$38="pvp",15,MAX(0.1,Skills!D7-IF(Skills!E7=TRUE,0.5,0))))+1)),0)</f>
        <v/>
      </c>
      <c r="S1172">
        <f>IFERROR(O1172/N1172,0)</f>
        <v/>
      </c>
      <c r="T1172">
        <f>IF(C1172,(H1172*N1172*IF(AND(Inputs!$B$38&lt;&gt;"pvp",Inputs!$B$43&gt;0),((Skills!G7*((R1172-1)*IF(Skills!H7&gt;0,Skills!I7/Skills!H7,1)+IF(Skills!H7&gt;0,MIN(Skills!I7,MAX(0,MAX(0,Inputs!$B$43-B1202)-((R1172-1)*IF(Inputs!$B$38="pvp",15,MAX(0.1,Skills!D7-IF(Skills!E7=TRUE,0.5,0))))))/Skills!H7,1)))/Inputs!$B$43),G1172*Q1172))*IF(Inputs!$B$38="pvp",1,1+(Inputs!$B$20+0+Skills!P7)/100),0)</f>
        <v/>
      </c>
      <c r="V1172">
        <f>IF(C1172,(H1172*N1172*IF(AND(Inputs!$B$38&lt;&gt;"pvp",Inputs!$B$43&gt;0),((Skills!G7*((R1172-1)*IF(Skills!H7&gt;0,Skills!I7/Skills!H7,1)+IF(Skills!H7&gt;0,MIN(Skills!I7,MAX(0,MAX(0,Inputs!$B$43-B1202)-((R1172-1)*IF(Inputs!$B$38="pvp",15,MAX(0.1,Skills!D7-IF(Skills!E7=TRUE,0.5,0))))))/Skills!H7,1)))/Inputs!$B$43),G1172*Q1172))*IF(Inputs!$B$38="pvp",1,(1+(Inputs!$B$21+Skills!Q7)/100)*(MIN(Skills!R7,Inputs!$B$37))),0)</f>
        <v/>
      </c>
    </row>
    <row r="1173">
      <c r="A1173">
        <f>Skills!A8</f>
        <v/>
      </c>
      <c r="B1173">
        <f>Skills!B8</f>
        <v/>
      </c>
      <c r="C1173">
        <f>Inputs!$B$3&gt;=100</f>
        <v/>
      </c>
      <c r="D1173">
        <f>IF(Skills!C8=1,60+Inputs!$B$25+Inputs!$B$29,IF(Skills!C8=2,90+Inputs!$B$26+Inputs!$B$29,IF(Skills!C8=3,120+Inputs!$B$27+Inputs!$B$29,MAX(0,(Inputs!$B$3-100)*3)+Inputs!$B$28+Inputs!$B$29)))</f>
        <v/>
      </c>
      <c r="E1173">
        <f>INDEX(FactorTable!$B$2:$Y$301, MATCH(ROUND(MIN(300,MAX(1,D1173)),0), FactorTable!$A$2:$A$301,0), Skills!M8+1)</f>
        <v/>
      </c>
      <c r="F1173">
        <f>IF(Skills!N8=TRUE,(Skills!L8/10)*(E1173/1000),Skills!L8/10)+Skills!O8</f>
        <v/>
      </c>
      <c r="G1173">
        <f>Skills!G8*IF(Skills!H8&gt;0,Skills!I8/Skills!H8,1)</f>
        <v/>
      </c>
      <c r="H1173">
        <f>1-(1-Skills!J8/100)^Skills!K8</f>
        <v/>
      </c>
      <c r="I1173" t="inlineStr">
        <is>
          <t>1</t>
        </is>
      </c>
      <c r="J1173">
        <f>((Inputs!$B$6*(1+Inputs!$B$7/100))+(((Inputs!$B$12*(1+Inputs!$B$13/100))-(Inputs!$B$12*(1+Inputs!$B$13/100)))+0.25*(Inputs!$B$14-Inputs!$B$14))*(1+Inputs!$B$7/100))*(F1173/100)</f>
        <v/>
      </c>
      <c r="K1173">
        <f>J1173*(1+((Inputs!$B$12*(1+Inputs!$B$13/100))*0.01+Inputs!$B$14*0.0025)/100)*(1+Inputs!$B$15/100)*(1+Inputs!$B$16/100)*(5000/(6000+Inputs!$B$42*(1-(Inputs!$B$19+0)/100)))*(1+(Inputs!$B$24+((C1191=TRUE)*(F1191-Calc!F26))+B1201)/100)*(1+(IF(Skills!A8="EIGHT_LEGS_EASTON",Inputs!$B$17+((C1188=TRUE)*(F1188-Calc!F23))+((C1192=TRUE)*(F1192-Calc!F27)),Inputs!$B$18+0))/100)*((1+(((C1182=TRUE)*F1182)+((C1189=TRUE)*(F1189-Calc!F24)))/100)*I1173)</f>
        <v/>
      </c>
      <c r="L1173">
        <f>K1173*(MIN(Inputs!$B$22+((C1187=TRUE)*(F1187-Calc!F22)),Inputs!$B$23+0)/100+(Inputs!$B$23+0)/100)/2</f>
        <v/>
      </c>
      <c r="M1173">
        <f>L1173*(1+(Inputs!$B$10+((C1190=TRUE)*(F1190-Calc!F25))+B1200)/100)</f>
        <v/>
      </c>
      <c r="N1173">
        <f>L1173*(1-MIN((Inputs!$B$9+((C1184=TRUE)*(F1184-Calc!F19))+B1195),100)/100)+M1173*(MIN((Inputs!$B$9+((C1184=TRUE)*(F1184-Calc!F19))+B1195),100)/100)</f>
        <v/>
      </c>
      <c r="O1173">
        <f>(1-Summary!$B$55)*T1173+Summary!$B$55*V1173</f>
        <v/>
      </c>
      <c r="P1173">
        <f>IF(B1205=0,0,O1173/B1205)</f>
        <v/>
      </c>
      <c r="Q1173">
        <f>IFERROR(1/IF(Inputs!$B$38="pvp",15,MAX(0.1,Skills!D8-IF(Skills!E8=TRUE,0.5,0))),0)</f>
        <v/>
      </c>
      <c r="R1173">
        <f>IF(AND(Inputs!$B$38&lt;&gt;"pvp",Inputs!$B$43&gt;0),IF(MAX(0,Inputs!$B$43-B1202)&lt;=0,0,(INT(MAX(0,Inputs!$B$43-B1202)/IF(Inputs!$B$38="pvp",15,MAX(0.1,Skills!D8-IF(Skills!E8=TRUE,0.5,0))))+1)),0)</f>
        <v/>
      </c>
      <c r="S1173">
        <f>IFERROR(O1173/N1173,0)</f>
        <v/>
      </c>
      <c r="T1173">
        <f>IF(C1173,(H1173*N1173*IF(AND(Inputs!$B$38&lt;&gt;"pvp",Inputs!$B$43&gt;0),((Skills!G8*((R1173-1)*IF(Skills!H8&gt;0,Skills!I8/Skills!H8,1)+IF(Skills!H8&gt;0,MIN(Skills!I8,MAX(0,MAX(0,Inputs!$B$43-B1202)-((R1173-1)*IF(Inputs!$B$38="pvp",15,MAX(0.1,Skills!D8-IF(Skills!E8=TRUE,0.5,0))))))/Skills!H8,1)))/Inputs!$B$43),G1173*Q1173))*IF(Inputs!$B$38="pvp",1,1+(Inputs!$B$20+0+Skills!P8)/100),0)</f>
        <v/>
      </c>
      <c r="V1173">
        <f>IF(C1173,(H1173*N1173*IF(AND(Inputs!$B$38&lt;&gt;"pvp",Inputs!$B$43&gt;0),((Skills!G8*((R1173-1)*IF(Skills!H8&gt;0,Skills!I8/Skills!H8,1)+IF(Skills!H8&gt;0,MIN(Skills!I8,MAX(0,MAX(0,Inputs!$B$43-B1202)-((R1173-1)*IF(Inputs!$B$38="pvp",15,MAX(0.1,Skills!D8-IF(Skills!E8=TRUE,0.5,0))))))/Skills!H8,1)))/Inputs!$B$43),G1173*Q1173))*IF(Inputs!$B$38="pvp",1,(1+(Inputs!$B$21+Skills!Q8)/100)*(MIN(Skills!R8,Inputs!$B$37))),0)</f>
        <v/>
      </c>
    </row>
    <row r="1174">
      <c r="A1174">
        <f>Skills!A9</f>
        <v/>
      </c>
      <c r="B1174">
        <f>Skills!B9</f>
        <v/>
      </c>
      <c r="C1174">
        <f>Inputs!$B$3&gt;=103</f>
        <v/>
      </c>
      <c r="D1174">
        <f>IF(Skills!C9=1,60+Inputs!$B$25+Inputs!$B$29,IF(Skills!C9=2,90+Inputs!$B$26+Inputs!$B$29,IF(Skills!C9=3,120+Inputs!$B$27+Inputs!$B$29,MAX(0,(Inputs!$B$3-100)*3)+Inputs!$B$28+Inputs!$B$29)))</f>
        <v/>
      </c>
      <c r="E1174">
        <f>INDEX(FactorTable!$B$2:$Y$301, MATCH(ROUND(MIN(300,MAX(1,D1174)),0), FactorTable!$A$2:$A$301,0), Skills!M9+1)</f>
        <v/>
      </c>
      <c r="F1174">
        <f>IF(Skills!N9=TRUE,(Skills!L9/10)*(E1174/1000),Skills!L9/10)+Skills!O9</f>
        <v/>
      </c>
      <c r="G1174">
        <f>Skills!G9*IF(Skills!H9&gt;0,Skills!I9/Skills!H9,1)</f>
        <v/>
      </c>
      <c r="H1174">
        <f>1-(1-Skills!J9/100)^Skills!K9</f>
        <v/>
      </c>
      <c r="I1174" t="inlineStr">
        <is>
          <t>1</t>
        </is>
      </c>
      <c r="J1174">
        <f>((Inputs!$B$6*(1+Inputs!$B$7/100))+(((Inputs!$B$12*(1+Inputs!$B$13/100))-(Inputs!$B$12*(1+Inputs!$B$13/100)))+0.25*(Inputs!$B$14-Inputs!$B$14))*(1+Inputs!$B$7/100))*(F1174/100)</f>
        <v/>
      </c>
      <c r="K1174">
        <f>J1174*(1+((Inputs!$B$12*(1+Inputs!$B$13/100))*0.01+Inputs!$B$14*0.0025)/100)*(1+Inputs!$B$15/100)*(1+Inputs!$B$16/100)*(5000/(6000+Inputs!$B$42*(1-(Inputs!$B$19+0)/100)))*(1+(Inputs!$B$24+((C1191=TRUE)*(F1191-Calc!F26))+B1201)/100)*(1+(IF(Skills!A9="EIGHT_LEGS_EASTON",Inputs!$B$17+((C1188=TRUE)*(F1188-Calc!F23))+((C1192=TRUE)*(F1192-Calc!F27)),Inputs!$B$18+0))/100)*((1+(((C1182=TRUE)*F1182)+((C1189=TRUE)*(F1189-Calc!F24)))/100)*I1174)</f>
        <v/>
      </c>
      <c r="L1174">
        <f>K1174*(MIN(Inputs!$B$22+((C1187=TRUE)*(F1187-Calc!F22)),Inputs!$B$23+0)/100+(Inputs!$B$23+0)/100)/2</f>
        <v/>
      </c>
      <c r="M1174">
        <f>L1174*(1+(Inputs!$B$10+((C1190=TRUE)*(F1190-Calc!F25))+B1200)/100)</f>
        <v/>
      </c>
      <c r="N1174">
        <f>L1174*(1-MIN((Inputs!$B$9+((C1184=TRUE)*(F1184-Calc!F19))+B1195),100)/100)+M1174*(MIN((Inputs!$B$9+((C1184=TRUE)*(F1184-Calc!F19))+B1195),100)/100)</f>
        <v/>
      </c>
      <c r="O1174">
        <f>(1-Summary!$B$55)*T1174+Summary!$B$55*V1174</f>
        <v/>
      </c>
      <c r="P1174">
        <f>IF(B1205=0,0,O1174/B1205)</f>
        <v/>
      </c>
      <c r="Q1174">
        <f>IFERROR(1/IF(Inputs!$B$38="pvp",15,MAX(0.1,Skills!D9-IF(Skills!E9=TRUE,0.5,0))),0)</f>
        <v/>
      </c>
      <c r="R1174">
        <f>IF(AND(Inputs!$B$38&lt;&gt;"pvp",Inputs!$B$43&gt;0),IF(MAX(0,Inputs!$B$43-B1202)&lt;=0,0,(INT(MAX(0,Inputs!$B$43-B1202)/IF(Inputs!$B$38="pvp",15,MAX(0.1,Skills!D9-IF(Skills!E9=TRUE,0.5,0))))+1)),0)</f>
        <v/>
      </c>
      <c r="S1174">
        <f>IFERROR(O1174/N1174,0)</f>
        <v/>
      </c>
      <c r="T1174">
        <f>IF(C1174,(H1174*N1174*IF(AND(Inputs!$B$38&lt;&gt;"pvp",Inputs!$B$43&gt;0),((Skills!G9*((R1174-1)*IF(Skills!H9&gt;0,Skills!I9/Skills!H9,1)+IF(Skills!H9&gt;0,MIN(Skills!I9,MAX(0,MAX(0,Inputs!$B$43-B1202)-((R1174-1)*IF(Inputs!$B$38="pvp",15,MAX(0.1,Skills!D9-IF(Skills!E9=TRUE,0.5,0))))))/Skills!H9,1)))/Inputs!$B$43),G1174*Q1174))*IF(Inputs!$B$38="pvp",1,1+(Inputs!$B$20+0+Skills!P9)/100),0)</f>
        <v/>
      </c>
      <c r="V1174">
        <f>IF(C1174,(H1174*N1174*IF(AND(Inputs!$B$38&lt;&gt;"pvp",Inputs!$B$43&gt;0),((Skills!G9*((R1174-1)*IF(Skills!H9&gt;0,Skills!I9/Skills!H9,1)+IF(Skills!H9&gt;0,MIN(Skills!I9,MAX(0,MAX(0,Inputs!$B$43-B1202)-((R1174-1)*IF(Inputs!$B$38="pvp",15,MAX(0.1,Skills!D9-IF(Skills!E9=TRUE,0.5,0))))))/Skills!H9,1)))/Inputs!$B$43),G1174*Q1174))*IF(Inputs!$B$38="pvp",1,(1+(Inputs!$B$21+Skills!Q9)/100)*(MIN(Skills!R9,Inputs!$B$37))),0)</f>
        <v/>
      </c>
    </row>
    <row r="1175">
      <c r="A1175">
        <f>Skills!A10</f>
        <v/>
      </c>
      <c r="B1175">
        <f>Skills!B10</f>
        <v/>
      </c>
      <c r="C1175">
        <f>Inputs!$B$3&gt;=113</f>
        <v/>
      </c>
      <c r="D1175">
        <f>IF(Skills!C10=1,60+Inputs!$B$25+Inputs!$B$29,IF(Skills!C10=2,90+Inputs!$B$26+Inputs!$B$29,IF(Skills!C10=3,120+Inputs!$B$27+Inputs!$B$29,MAX(0,(Inputs!$B$3-100)*3)+Inputs!$B$28+Inputs!$B$29)))</f>
        <v/>
      </c>
      <c r="E1175">
        <f>INDEX(FactorTable!$B$2:$Y$301, MATCH(ROUND(MIN(300,MAX(1,D1175)),0), FactorTable!$A$2:$A$301,0), Skills!M10+1)</f>
        <v/>
      </c>
      <c r="F1175">
        <f>IF(Skills!N10=TRUE,(Skills!L10/10)*(E1175/1000),Skills!L10/10)+Skills!O10</f>
        <v/>
      </c>
      <c r="G1175">
        <f>Skills!G10*IF(Skills!H10&gt;0,Skills!I10/Skills!H10,1)</f>
        <v/>
      </c>
      <c r="H1175">
        <f>1-(1-Skills!J10/100)^Skills!K10</f>
        <v/>
      </c>
      <c r="I1175" t="inlineStr">
        <is>
          <t>1</t>
        </is>
      </c>
      <c r="J1175">
        <f>((Inputs!$B$6*(1+Inputs!$B$7/100))+(((Inputs!$B$12*(1+Inputs!$B$13/100))-(Inputs!$B$12*(1+Inputs!$B$13/100)))+0.25*(Inputs!$B$14-Inputs!$B$14))*(1+Inputs!$B$7/100))*(F1175/100)</f>
        <v/>
      </c>
      <c r="K1175">
        <f>J1175*(1+((Inputs!$B$12*(1+Inputs!$B$13/100))*0.01+Inputs!$B$14*0.0025)/100)*(1+Inputs!$B$15/100)*(1+Inputs!$B$16/100)*(5000/(6000+Inputs!$B$42*(1-(Inputs!$B$19+0)/100)))*(1+(Inputs!$B$24+((C1191=TRUE)*(F1191-Calc!F26))+B1201)/100)*(1+(IF(Skills!A10="EIGHT_LEGS_EASTON",Inputs!$B$17+((C1188=TRUE)*(F1188-Calc!F23))+((C1192=TRUE)*(F1192-Calc!F27)),Inputs!$B$18+0))/100)*((1+(((C1182=TRUE)*F1182)+((C1189=TRUE)*(F1189-Calc!F24)))/100)*I1175)</f>
        <v/>
      </c>
      <c r="L1175">
        <f>K1175*(MIN(Inputs!$B$22+((C1187=TRUE)*(F1187-Calc!F22)),Inputs!$B$23+0)/100+(Inputs!$B$23+0)/100)/2</f>
        <v/>
      </c>
      <c r="M1175">
        <f>L1175*(1+(Inputs!$B$10+((C1190=TRUE)*(F1190-Calc!F25))+B1200)/100)</f>
        <v/>
      </c>
      <c r="N1175">
        <f>L1175*(1-MIN((Inputs!$B$9+((C1184=TRUE)*(F1184-Calc!F19))+B1195),100)/100)+M1175*(MIN((Inputs!$B$9+((C1184=TRUE)*(F1184-Calc!F19))+B1195),100)/100)</f>
        <v/>
      </c>
      <c r="O1175">
        <f>(1-Summary!$B$55)*T1175+Summary!$B$55*V1175</f>
        <v/>
      </c>
      <c r="P1175">
        <f>IF(B1205=0,0,O1175/B1205)</f>
        <v/>
      </c>
      <c r="Q1175">
        <f>IFERROR(1/IF(Inputs!$B$38="pvp",15,MAX(0.1,Skills!D10-IF(Skills!E10=TRUE,0.5,0))),0)</f>
        <v/>
      </c>
      <c r="R1175">
        <f>IF(AND(Inputs!$B$38&lt;&gt;"pvp",Inputs!$B$43&gt;0),IF(MAX(0,Inputs!$B$43-B1202)&lt;=0,0,(INT(MAX(0,Inputs!$B$43-B1202)/IF(Inputs!$B$38="pvp",15,MAX(0.1,Skills!D10-IF(Skills!E10=TRUE,0.5,0))))+1)),0)</f>
        <v/>
      </c>
      <c r="S1175">
        <f>IFERROR(O1175/N1175,0)</f>
        <v/>
      </c>
      <c r="T1175">
        <f>IF(C1175,(H1175*N1175*IF(AND(Inputs!$B$38&lt;&gt;"pvp",Inputs!$B$43&gt;0),((Skills!G10*((R1175-1)*IF(Skills!H10&gt;0,Skills!I10/Skills!H10,1)+IF(Skills!H10&gt;0,MIN(Skills!I10,MAX(0,MAX(0,Inputs!$B$43-B1202)-((R1175-1)*IF(Inputs!$B$38="pvp",15,MAX(0.1,Skills!D10-IF(Skills!E10=TRUE,0.5,0))))))/Skills!H10,1)))/Inputs!$B$43),G1175*Q1175))*IF(Inputs!$B$38="pvp",1,1+(Inputs!$B$20+0+Skills!P10)/100),0)</f>
        <v/>
      </c>
      <c r="V1175">
        <f>IF(C1175,(H1175*N1175*IF(AND(Inputs!$B$38&lt;&gt;"pvp",Inputs!$B$43&gt;0),((Skills!G10*((R1175-1)*IF(Skills!H10&gt;0,Skills!I10/Skills!H10,1)+IF(Skills!H10&gt;0,MIN(Skills!I10,MAX(0,MAX(0,Inputs!$B$43-B1202)-((R1175-1)*IF(Inputs!$B$38="pvp",15,MAX(0.1,Skills!D10-IF(Skills!E10=TRUE,0.5,0))))))/Skills!H10,1)))/Inputs!$B$43),G1175*Q1175))*IF(Inputs!$B$38="pvp",1,(1+(Inputs!$B$21+Skills!Q10)/100)*(MIN(Skills!R10,Inputs!$B$37))),0)</f>
        <v/>
      </c>
    </row>
    <row r="1176">
      <c r="A1176">
        <f>Skills!A11</f>
        <v/>
      </c>
      <c r="B1176">
        <f>Skills!B11</f>
        <v/>
      </c>
      <c r="C1176">
        <f>Inputs!$B$3&gt;=107</f>
        <v/>
      </c>
      <c r="D1176">
        <f>IF(Skills!C11=1,60+Inputs!$B$25+Inputs!$B$29,IF(Skills!C11=2,90+Inputs!$B$26+Inputs!$B$29,IF(Skills!C11=3,120+Inputs!$B$27+Inputs!$B$29,MAX(0,(Inputs!$B$3-100)*3)+Inputs!$B$28+Inputs!$B$29)))</f>
        <v/>
      </c>
      <c r="E1176">
        <f>INDEX(FactorTable!$B$2:$Y$301, MATCH(ROUND(MIN(300,MAX(1,D1176)),0), FactorTable!$A$2:$A$301,0), Skills!M11+1)</f>
        <v/>
      </c>
      <c r="F1176">
        <f>IF(Skills!N11=TRUE,(Skills!L11/10)*(E1176/1000),Skills!L11/10)+Skills!O11</f>
        <v/>
      </c>
      <c r="G1176">
        <f>Skills!G11*IF(Skills!H11&gt;0,Skills!I11/Skills!H11,1)</f>
        <v/>
      </c>
      <c r="H1176">
        <f>1-(1-Skills!J11/100)^Skills!K11</f>
        <v/>
      </c>
      <c r="I1176" t="inlineStr">
        <is>
          <t>1</t>
        </is>
      </c>
      <c r="J1176">
        <f>((Inputs!$B$6*(1+Inputs!$B$7/100))+(((Inputs!$B$12*(1+Inputs!$B$13/100))-(Inputs!$B$12*(1+Inputs!$B$13/100)))+0.25*(Inputs!$B$14-Inputs!$B$14))*(1+Inputs!$B$7/100))*(F1176/100)</f>
        <v/>
      </c>
      <c r="K1176">
        <f>J1176*(1+((Inputs!$B$12*(1+Inputs!$B$13/100))*0.01+Inputs!$B$14*0.0025)/100)*(1+Inputs!$B$15/100)*(1+Inputs!$B$16/100)*(5000/(6000+Inputs!$B$42*(1-(Inputs!$B$19+0)/100)))*(1+(Inputs!$B$24+((C1191=TRUE)*(F1191-Calc!F26))+B1201)/100)*(1+(IF(Skills!A11="EIGHT_LEGS_EASTON",Inputs!$B$17+((C1188=TRUE)*(F1188-Calc!F23))+((C1192=TRUE)*(F1192-Calc!F27)),Inputs!$B$18+0))/100)*((1+(((C1182=TRUE)*F1182)+((C1189=TRUE)*(F1189-Calc!F24)))/100)*I1176)</f>
        <v/>
      </c>
      <c r="L1176">
        <f>K1176*(MIN(Inputs!$B$22+((C1187=TRUE)*(F1187-Calc!F22)),Inputs!$B$23+0)/100+(Inputs!$B$23+0)/100)/2</f>
        <v/>
      </c>
      <c r="M1176">
        <f>L1176*(1+(Inputs!$B$10+((C1190=TRUE)*(F1190-Calc!F25))+B1200)/100)</f>
        <v/>
      </c>
      <c r="N1176">
        <f>L1176*(1-MIN((Inputs!$B$9+((C1184=TRUE)*(F1184-Calc!F19))+B1195),100)/100)+M1176*(MIN((Inputs!$B$9+((C1184=TRUE)*(F1184-Calc!F19))+B1195),100)/100)</f>
        <v/>
      </c>
      <c r="O1176">
        <f>(1-Summary!$B$55)*T1176+Summary!$B$55*V1176</f>
        <v/>
      </c>
      <c r="P1176">
        <f>IF(B1205=0,0,O1176/B1205)</f>
        <v/>
      </c>
      <c r="Q1176">
        <f>IFERROR(1/IF(Inputs!$B$38="pvp",15,MAX(0.1,Skills!D11-IF(Skills!E11=TRUE,0.5,0))),0)</f>
        <v/>
      </c>
      <c r="R1176">
        <f>IF(AND(Inputs!$B$38&lt;&gt;"pvp",Inputs!$B$43&gt;0),IF(MAX(0,Inputs!$B$43-B1202)&lt;=0,0,(INT(MAX(0,Inputs!$B$43-B1202)/IF(Inputs!$B$38="pvp",15,MAX(0.1,Skills!D11-IF(Skills!E11=TRUE,0.5,0))))+1)),0)</f>
        <v/>
      </c>
      <c r="S1176">
        <f>IFERROR(O1176/N1176,0)</f>
        <v/>
      </c>
      <c r="T1176">
        <f>IF(C1176,(H1176*N1176*IF(AND(Inputs!$B$38&lt;&gt;"pvp",Inputs!$B$43&gt;0),((Skills!G11*((R1176-1)*IF(Skills!H11&gt;0,Skills!I11/Skills!H11,1)+IF(Skills!H11&gt;0,MIN(Skills!I11,MAX(0,MAX(0,Inputs!$B$43-B1202)-((R1176-1)*IF(Inputs!$B$38="pvp",15,MAX(0.1,Skills!D11-IF(Skills!E11=TRUE,0.5,0))))))/Skills!H11,1)))/Inputs!$B$43),G1176*Q1176))*IF(Inputs!$B$38="pvp",1,1+(Inputs!$B$20+0+Skills!P11)/100),0)</f>
        <v/>
      </c>
      <c r="V1176">
        <f>IF(C1176,(H1176*N1176*IF(AND(Inputs!$B$38&lt;&gt;"pvp",Inputs!$B$43&gt;0),((Skills!G11*((R1176-1)*IF(Skills!H11&gt;0,Skills!I11/Skills!H11,1)+IF(Skills!H11&gt;0,MIN(Skills!I11,MAX(0,MAX(0,Inputs!$B$43-B1202)-((R1176-1)*IF(Inputs!$B$38="pvp",15,MAX(0.1,Skills!D11-IF(Skills!E11=TRUE,0.5,0))))))/Skills!H11,1)))/Inputs!$B$43),G1176*Q1176))*IF(Inputs!$B$38="pvp",1,(1+(Inputs!$B$21+Skills!Q11)/100)*(MIN(Skills!R11,Inputs!$B$37))),0)</f>
        <v/>
      </c>
    </row>
    <row r="1177">
      <c r="A1177">
        <f>Skills!A12</f>
        <v/>
      </c>
      <c r="B1177">
        <f>Skills!B12</f>
        <v/>
      </c>
      <c r="C1177">
        <f>Inputs!$B$3&gt;=110</f>
        <v/>
      </c>
      <c r="D1177">
        <f>IF(Skills!C12=1,60+Inputs!$B$25+Inputs!$B$29,IF(Skills!C12=2,90+Inputs!$B$26+Inputs!$B$29,IF(Skills!C12=3,120+Inputs!$B$27+Inputs!$B$29,MAX(0,(Inputs!$B$3-100)*3)+Inputs!$B$28+Inputs!$B$29)))</f>
        <v/>
      </c>
      <c r="E1177">
        <f>INDEX(FactorTable!$B$2:$Y$301, MATCH(ROUND(MIN(300,MAX(1,D1177)),0), FactorTable!$A$2:$A$301,0), Skills!M12+1)</f>
        <v/>
      </c>
      <c r="F1177">
        <f>IF(Skills!N12=TRUE,(Skills!L12/10)*(E1177/1000),Skills!L12/10)+Skills!O12</f>
        <v/>
      </c>
      <c r="G1177">
        <f>Skills!G12*IF(Skills!H12&gt;0,Skills!I12/Skills!H12,1)</f>
        <v/>
      </c>
      <c r="H1177">
        <f>1-(1-Skills!J12/100)^Skills!K12</f>
        <v/>
      </c>
      <c r="I1177" t="inlineStr">
        <is>
          <t>1</t>
        </is>
      </c>
      <c r="J1177">
        <f>((Inputs!$B$6*(1+Inputs!$B$7/100))+(((Inputs!$B$12*(1+Inputs!$B$13/100))-(Inputs!$B$12*(1+Inputs!$B$13/100)))+0.25*(Inputs!$B$14-Inputs!$B$14))*(1+Inputs!$B$7/100))*(F1177/100)</f>
        <v/>
      </c>
      <c r="K1177">
        <f>J1177*(1+((Inputs!$B$12*(1+Inputs!$B$13/100))*0.01+Inputs!$B$14*0.0025)/100)*(1+Inputs!$B$15/100)*(1+Inputs!$B$16/100)*(5000/(6000+Inputs!$B$42*(1-(Inputs!$B$19+0)/100)))*(1+(Inputs!$B$24+((C1191=TRUE)*(F1191-Calc!F26))+B1201)/100)*(1+(IF(Skills!A12="EIGHT_LEGS_EASTON",Inputs!$B$17+((C1188=TRUE)*(F1188-Calc!F23))+((C1192=TRUE)*(F1192-Calc!F27)),Inputs!$B$18+0))/100)*((1+(((C1182=TRUE)*F1182)+((C1189=TRUE)*(F1189-Calc!F24)))/100)*I1177)</f>
        <v/>
      </c>
      <c r="L1177">
        <f>K1177*(MIN(Inputs!$B$22+((C1187=TRUE)*(F1187-Calc!F22)),Inputs!$B$23+0)/100+(Inputs!$B$23+0)/100)/2</f>
        <v/>
      </c>
      <c r="M1177">
        <f>L1177*(1+(Inputs!$B$10+((C1190=TRUE)*(F1190-Calc!F25))+B1200)/100)</f>
        <v/>
      </c>
      <c r="N1177">
        <f>L1177*(1-MIN((Inputs!$B$9+((C1184=TRUE)*(F1184-Calc!F19))+B1195),100)/100)+M1177*(MIN((Inputs!$B$9+((C1184=TRUE)*(F1184-Calc!F19))+B1195),100)/100)</f>
        <v/>
      </c>
      <c r="O1177">
        <f>(1-Summary!$B$55)*T1177+Summary!$B$55*V1177</f>
        <v/>
      </c>
      <c r="P1177">
        <f>IF(B1205=0,0,O1177/B1205)</f>
        <v/>
      </c>
      <c r="Q1177">
        <f>IFERROR(1/IF(Inputs!$B$38="pvp",15,MAX(0.1,Skills!D12-IF(Skills!E12=TRUE,0.5,0))),0)</f>
        <v/>
      </c>
      <c r="R1177">
        <f>IF(AND(Inputs!$B$38&lt;&gt;"pvp",Inputs!$B$43&gt;0),IF(MAX(0,Inputs!$B$43-B1202)&lt;=0,0,(INT(MAX(0,Inputs!$B$43-B1202)/IF(Inputs!$B$38="pvp",15,MAX(0.1,Skills!D12-IF(Skills!E12=TRUE,0.5,0))))+1)),0)</f>
        <v/>
      </c>
      <c r="S1177">
        <f>IFERROR(O1177/N1177,0)</f>
        <v/>
      </c>
      <c r="T1177">
        <f>IF(C1177,(H1177*N1177*IF(AND(Inputs!$B$38&lt;&gt;"pvp",Inputs!$B$43&gt;0),((Skills!G12*((R1177-1)*IF(Skills!H12&gt;0,Skills!I12/Skills!H12,1)+IF(Skills!H12&gt;0,MIN(Skills!I12,MAX(0,MAX(0,Inputs!$B$43-B1202)-((R1177-1)*IF(Inputs!$B$38="pvp",15,MAX(0.1,Skills!D12-IF(Skills!E12=TRUE,0.5,0))))))/Skills!H12,1)))/Inputs!$B$43),G1177*Q1177))*IF(Inputs!$B$38="pvp",1,1+(Inputs!$B$20+0+Skills!P12)/100),0)</f>
        <v/>
      </c>
      <c r="V1177">
        <f>IF(C1177,(H1177*N1177*IF(AND(Inputs!$B$38&lt;&gt;"pvp",Inputs!$B$43&gt;0),((Skills!G12*((R1177-1)*IF(Skills!H12&gt;0,Skills!I12/Skills!H12,1)+IF(Skills!H12&gt;0,MIN(Skills!I12,MAX(0,MAX(0,Inputs!$B$43-B1202)-((R1177-1)*IF(Inputs!$B$38="pvp",15,MAX(0.1,Skills!D12-IF(Skills!E12=TRUE,0.5,0))))))/Skills!H12,1)))/Inputs!$B$43),G1177*Q1177))*IF(Inputs!$B$38="pvp",1,(1+(Inputs!$B$21+Skills!Q12)/100)*(MIN(Skills!R12,Inputs!$B$37))),0)</f>
        <v/>
      </c>
    </row>
    <row r="1178">
      <c r="A1178">
        <f>Skills!A13</f>
        <v/>
      </c>
      <c r="B1178">
        <f>Skills!B13</f>
        <v/>
      </c>
      <c r="C1178">
        <f>Inputs!$B$3&gt;=110</f>
        <v/>
      </c>
      <c r="D1178">
        <f>IF(Skills!C13=1,60+Inputs!$B$25+Inputs!$B$29,IF(Skills!C13=2,90+Inputs!$B$26+Inputs!$B$29,IF(Skills!C13=3,120+Inputs!$B$27+Inputs!$B$29,MAX(0,(Inputs!$B$3-100)*3)+Inputs!$B$28+Inputs!$B$29)))</f>
        <v/>
      </c>
      <c r="E1178">
        <f>INDEX(FactorTable!$B$2:$Y$301, MATCH(ROUND(MIN(300,MAX(1,D1178)),0), FactorTable!$A$2:$A$301,0), Skills!M13+1)</f>
        <v/>
      </c>
      <c r="F1178">
        <f>IF(Skills!N13=TRUE,(Skills!L13/10)*(E1178/1000),Skills!L13/10)+Skills!O13</f>
        <v/>
      </c>
      <c r="G1178">
        <f>Skills!G13*IF(Skills!H13&gt;0,Skills!I13/Skills!H13,1)</f>
        <v/>
      </c>
      <c r="H1178">
        <f>1-(1-Skills!J13/100)^Skills!K13</f>
        <v/>
      </c>
      <c r="I1178" t="inlineStr">
        <is>
          <t>1</t>
        </is>
      </c>
      <c r="J1178">
        <f>((Inputs!$B$6*(1+Inputs!$B$7/100))+(((Inputs!$B$12*(1+Inputs!$B$13/100))-(Inputs!$B$12*(1+Inputs!$B$13/100)))+0.25*(Inputs!$B$14-Inputs!$B$14))*(1+Inputs!$B$7/100))*(F1178/100)</f>
        <v/>
      </c>
      <c r="K1178">
        <f>J1178*(1+((Inputs!$B$12*(1+Inputs!$B$13/100))*0.01+Inputs!$B$14*0.0025)/100)*(1+Inputs!$B$15/100)*(1+Inputs!$B$16/100)*(5000/(6000+Inputs!$B$42*(1-(Inputs!$B$19+0)/100)))*(1+(Inputs!$B$24+((C1191=TRUE)*(F1191-Calc!F26))+B1201)/100)*(1+(IF(Skills!A13="EIGHT_LEGS_EASTON",Inputs!$B$17+((C1188=TRUE)*(F1188-Calc!F23))+((C1192=TRUE)*(F1192-Calc!F27)),Inputs!$B$18+0))/100)*((1+(((C1182=TRUE)*F1182)+((C1189=TRUE)*(F1189-Calc!F24)))/100)*I1178)</f>
        <v/>
      </c>
      <c r="L1178">
        <f>K1178*(MIN(Inputs!$B$22+((C1187=TRUE)*(F1187-Calc!F22)),Inputs!$B$23+0)/100+(Inputs!$B$23+0)/100)/2</f>
        <v/>
      </c>
      <c r="M1178">
        <f>L1178*(1+(Inputs!$B$10+((C1190=TRUE)*(F1190-Calc!F25))+B1200)/100)</f>
        <v/>
      </c>
      <c r="N1178">
        <f>L1178*(1-MIN((Inputs!$B$9+((C1184=TRUE)*(F1184-Calc!F19))+B1195),100)/100)+M1178*(MIN((Inputs!$B$9+((C1184=TRUE)*(F1184-Calc!F19))+B1195),100)/100)</f>
        <v/>
      </c>
      <c r="O1178">
        <f>(1-Summary!$B$55)*T1178+Summary!$B$55*V1178</f>
        <v/>
      </c>
      <c r="P1178">
        <f>IF(B1205=0,0,O1178/B1205)</f>
        <v/>
      </c>
      <c r="Q1178">
        <f>IFERROR(1/IF(Inputs!$B$38="pvp",15,MAX(0.1,Skills!D13-IF(Skills!E13=TRUE,0.5,0))),0)</f>
        <v/>
      </c>
      <c r="R1178">
        <f>IF(AND(Inputs!$B$38&lt;&gt;"pvp",Inputs!$B$43&gt;0),IF(MAX(0,Inputs!$B$43-B1202)&lt;=0,0,(INT(MAX(0,Inputs!$B$43-B1202)/IF(Inputs!$B$38="pvp",15,MAX(0.1,Skills!D13-IF(Skills!E13=TRUE,0.5,0))))+1)),0)</f>
        <v/>
      </c>
      <c r="S1178">
        <f>IFERROR(O1178/N1178,0)</f>
        <v/>
      </c>
      <c r="T1178">
        <f>IF(C1178,(H1178*N1178*IF(AND(Inputs!$B$38&lt;&gt;"pvp",Inputs!$B$43&gt;0),((Skills!G13*((R1178-1)*IF(Skills!H13&gt;0,Skills!I13/Skills!H13,1)+IF(Skills!H13&gt;0,MIN(Skills!I13,MAX(0,MAX(0,Inputs!$B$43-B1202)-((R1178-1)*IF(Inputs!$B$38="pvp",15,MAX(0.1,Skills!D13-IF(Skills!E13=TRUE,0.5,0))))))/Skills!H13,1)))/Inputs!$B$43),G1178*Q1178))*IF(Inputs!$B$38="pvp",1,1+(Inputs!$B$20+0+Skills!P13)/100),0)</f>
        <v/>
      </c>
      <c r="V1178">
        <f>IF(C1178,(H1178*N1178*IF(AND(Inputs!$B$38&lt;&gt;"pvp",Inputs!$B$43&gt;0),((Skills!G13*((R1178-1)*IF(Skills!H13&gt;0,Skills!I13/Skills!H13,1)+IF(Skills!H13&gt;0,MIN(Skills!I13,MAX(0,MAX(0,Inputs!$B$43-B1202)-((R1178-1)*IF(Inputs!$B$38="pvp",15,MAX(0.1,Skills!D13-IF(Skills!E13=TRUE,0.5,0))))))/Skills!H13,1)))/Inputs!$B$43),G1178*Q1178))*IF(Inputs!$B$38="pvp",1,(1+(Inputs!$B$21+Skills!Q13)/100)*(MIN(Skills!R13,Inputs!$B$37))),0)</f>
        <v/>
      </c>
    </row>
    <row r="1179">
      <c r="A1179">
        <f>Skills!A14</f>
        <v/>
      </c>
      <c r="B1179">
        <f>Skills!B14</f>
        <v/>
      </c>
      <c r="C1179">
        <f>Inputs!$B$3&gt;=125</f>
        <v/>
      </c>
      <c r="D1179">
        <f>IF(Skills!C14=1,60+Inputs!$B$25+Inputs!$B$29,IF(Skills!C14=2,90+Inputs!$B$26+Inputs!$B$29,IF(Skills!C14=3,120+Inputs!$B$27+Inputs!$B$29,MAX(0,(Inputs!$B$3-100)*3)+Inputs!$B$28+Inputs!$B$29)))</f>
        <v/>
      </c>
      <c r="E1179">
        <f>INDEX(FactorTable!$B$2:$Y$301, MATCH(ROUND(MIN(300,MAX(1,D1179)),0), FactorTable!$A$2:$A$301,0), Skills!M14+1)</f>
        <v/>
      </c>
      <c r="F1179">
        <f>IF(Skills!N14=TRUE,(Skills!L14/10)*(E1179/1000),Skills!L14/10)+Skills!O14</f>
        <v/>
      </c>
      <c r="G1179">
        <f>Skills!G14*IF(Skills!H14&gt;0,Skills!I14/Skills!H14,1)</f>
        <v/>
      </c>
      <c r="H1179">
        <f>1-(1-Skills!J14/100)^Skills!K14</f>
        <v/>
      </c>
      <c r="I1179" t="inlineStr">
        <is>
          <t>1</t>
        </is>
      </c>
      <c r="J1179">
        <f>((Inputs!$B$6*(1+Inputs!$B$7/100))+(((Inputs!$B$12*(1+Inputs!$B$13/100))-(Inputs!$B$12*(1+Inputs!$B$13/100)))+0.25*(Inputs!$B$14-Inputs!$B$14))*(1+Inputs!$B$7/100))*(F1179/100)</f>
        <v/>
      </c>
      <c r="K1179">
        <f>J1179*(1+((Inputs!$B$12*(1+Inputs!$B$13/100))*0.01+Inputs!$B$14*0.0025)/100)*(1+Inputs!$B$15/100)*(1+Inputs!$B$16/100)*(5000/(6000+Inputs!$B$42*(1-(Inputs!$B$19+0)/100)))*(1+(Inputs!$B$24+((C1191=TRUE)*(F1191-Calc!F26))+B1201)/100)*(1+(IF(Skills!A14="EIGHT_LEGS_EASTON",Inputs!$B$17+((C1188=TRUE)*(F1188-Calc!F23))+((C1192=TRUE)*(F1192-Calc!F27)),Inputs!$B$18+0))/100)*((1+(((C1182=TRUE)*F1182)+((C1189=TRUE)*(F1189-Calc!F24)))/100)*I1179)</f>
        <v/>
      </c>
      <c r="L1179">
        <f>K1179*(MIN(Inputs!$B$22+((C1187=TRUE)*(F1187-Calc!F22)),Inputs!$B$23+0)/100+(Inputs!$B$23+0)/100)/2</f>
        <v/>
      </c>
      <c r="M1179">
        <f>L1179*(1+(Inputs!$B$10+((C1190=TRUE)*(F1190-Calc!F25))+B1200)/100)</f>
        <v/>
      </c>
      <c r="N1179">
        <f>L1179*(1-MIN((Inputs!$B$9+((C1184=TRUE)*(F1184-Calc!F19))+B1195),100)/100)+M1179*(MIN((Inputs!$B$9+((C1184=TRUE)*(F1184-Calc!F19))+B1195),100)/100)</f>
        <v/>
      </c>
      <c r="O1179">
        <f>(1-Summary!$B$55)*T1179+Summary!$B$55*V1179</f>
        <v/>
      </c>
      <c r="P1179">
        <f>IF(B1205=0,0,O1179/B1205)</f>
        <v/>
      </c>
      <c r="Q1179" t="n">
        <v>0</v>
      </c>
      <c r="R1179" t="n">
        <v>0</v>
      </c>
      <c r="S1179">
        <f>IFERROR(O1179/N1179,0)</f>
        <v/>
      </c>
      <c r="T1179">
        <f>IF(C1179,(H1179*N1179*(B1199+IF(AND(Inputs!$B$38&lt;&gt;"pvp",Inputs!$B$43&gt;0),((Skills!G8*((R1173-1)*IF(Skills!H8&gt;0,Skills!I8/Skills!H8,1)+IF(Skills!H8&gt;0,MIN(Skills!I8,MAX(0,MAX(0,Inputs!$B$43-B1202)-((R1173-1)*IF(Inputs!$B$38="pvp",15,MAX(0.1,Skills!D8-IF(Skills!E8=TRUE,0.5,0))))))/Skills!H8,1)))/Inputs!$B$43),G1173*Q1173)+IF(AND(Inputs!$B$38&lt;&gt;"pvp",Inputs!$B$43&gt;0),((Skills!G11*((R1176-1)*IF(Skills!H11&gt;0,Skills!I11/Skills!H11,1)+IF(Skills!H11&gt;0,MIN(Skills!I11,MAX(0,MAX(0,Inputs!$B$43-B1202)-((R1176-1)*IF(Inputs!$B$38="pvp",15,MAX(0.1,Skills!D11-IF(Skills!E11=TRUE,0.5,0))))))/Skills!H11,1)))/Inputs!$B$43),G1176*Q1176)))*IF(Inputs!$B$38="pvp",1,1+(Inputs!$B$20+0+Skills!P14)/100),0)</f>
        <v/>
      </c>
      <c r="V1179">
        <f>IF(C1179,(H1179*N1179*(B1199+IF(AND(Inputs!$B$38&lt;&gt;"pvp",Inputs!$B$43&gt;0),((Skills!G8*((R1173-1)*IF(Skills!H8&gt;0,Skills!I8/Skills!H8,1)+IF(Skills!H8&gt;0,MIN(Skills!I8,MAX(0,MAX(0,Inputs!$B$43-B1202)-((R1173-1)*IF(Inputs!$B$38="pvp",15,MAX(0.1,Skills!D8-IF(Skills!E8=TRUE,0.5,0))))))/Skills!H8,1)))/Inputs!$B$43),G1173*Q1173)+IF(AND(Inputs!$B$38&lt;&gt;"pvp",Inputs!$B$43&gt;0),((Skills!G11*((R1176-1)*IF(Skills!H11&gt;0,Skills!I11/Skills!H11,1)+IF(Skills!H11&gt;0,MIN(Skills!I11,MAX(0,MAX(0,Inputs!$B$43-B1202)-((R1176-1)*IF(Inputs!$B$38="pvp",15,MAX(0.1,Skills!D11-IF(Skills!E11=TRUE,0.5,0))))))/Skills!H11,1)))/Inputs!$B$43),G1176*Q1176)))*IF(Inputs!$B$38="pvp",1,(1+(Inputs!$B$21+Skills!Q14)/100)*(MIN(Skills!R14,Inputs!$B$37))),0)</f>
        <v/>
      </c>
    </row>
    <row r="1180">
      <c r="A1180">
        <f>Skills!A15</f>
        <v/>
      </c>
      <c r="B1180">
        <f>Skills!B15</f>
        <v/>
      </c>
      <c r="C1180">
        <f>Inputs!$B$3&gt;=100</f>
        <v/>
      </c>
      <c r="D1180">
        <f>IF(Skills!C15=1,60+Inputs!$B$25+Inputs!$B$29,IF(Skills!C15=2,90+Inputs!$B$26+Inputs!$B$29,IF(Skills!C15=3,120+Inputs!$B$27+Inputs!$B$29,MAX(0,(Inputs!$B$3-100)*3)+Inputs!$B$28+Inputs!$B$29)))</f>
        <v/>
      </c>
      <c r="E1180">
        <f>INDEX(FactorTable!$B$2:$Y$301, MATCH(ROUND(MIN(300,MAX(1,D1180)),0), FactorTable!$A$2:$A$301,0), Skills!M15+1)</f>
        <v/>
      </c>
      <c r="F1180">
        <f>IF(Skills!N15=TRUE,(Skills!L15/10)*(E1180/1000),Skills!L15/10)+Skills!O15</f>
        <v/>
      </c>
      <c r="G1180" t="inlineStr"/>
      <c r="H1180" t="inlineStr"/>
      <c r="I1180" t="inlineStr">
        <is>
          <t>1</t>
        </is>
      </c>
      <c r="J1180" t="inlineStr"/>
      <c r="K1180" t="inlineStr"/>
      <c r="L1180" t="inlineStr"/>
      <c r="M1180" t="inlineStr"/>
      <c r="N1180" t="inlineStr"/>
      <c r="O1180" t="inlineStr"/>
      <c r="P1180" t="inlineStr"/>
      <c r="Q1180" t="inlineStr"/>
      <c r="R1180" t="inlineStr"/>
      <c r="S1180" t="inlineStr"/>
    </row>
    <row r="1181">
      <c r="A1181">
        <f>Skills!A16</f>
        <v/>
      </c>
      <c r="B1181">
        <f>Skills!B16</f>
        <v/>
      </c>
      <c r="C1181">
        <f>Inputs!$B$3&gt;=120</f>
        <v/>
      </c>
      <c r="D1181">
        <f>IF(Skills!C16=1,60+Inputs!$B$25+Inputs!$B$29,IF(Skills!C16=2,90+Inputs!$B$26+Inputs!$B$29,IF(Skills!C16=3,120+Inputs!$B$27+Inputs!$B$29,MAX(0,(Inputs!$B$3-100)*3)+Inputs!$B$28+Inputs!$B$29)))</f>
        <v/>
      </c>
      <c r="E1181">
        <f>INDEX(FactorTable!$B$2:$Y$301, MATCH(ROUND(MIN(300,MAX(1,D1181)),0), FactorTable!$A$2:$A$301,0), Skills!M16+1)</f>
        <v/>
      </c>
      <c r="F1181">
        <f>IF(Skills!N16=TRUE,(Skills!L16/10)*(E1181/1000),Skills!L16/10)+Skills!O16</f>
        <v/>
      </c>
      <c r="G1181" t="inlineStr"/>
      <c r="H1181" t="inlineStr"/>
      <c r="I1181" t="inlineStr">
        <is>
          <t>1</t>
        </is>
      </c>
      <c r="J1181" t="inlineStr"/>
      <c r="K1181" t="inlineStr"/>
      <c r="L1181" t="inlineStr"/>
      <c r="M1181" t="inlineStr"/>
      <c r="N1181" t="inlineStr"/>
      <c r="O1181" t="inlineStr"/>
      <c r="P1181" t="inlineStr"/>
      <c r="Q1181" t="inlineStr"/>
      <c r="R1181" t="inlineStr"/>
      <c r="S1181" t="inlineStr"/>
    </row>
    <row r="1182">
      <c r="A1182">
        <f>Skills!A17</f>
        <v/>
      </c>
      <c r="B1182">
        <f>Skills!B17</f>
        <v/>
      </c>
      <c r="C1182">
        <f>Inputs!$B$3&gt;=66</f>
        <v/>
      </c>
      <c r="D1182">
        <f>IF(Skills!C17=1,60+Inputs!$B$25+Inputs!$B$29,IF(Skills!C17=2,90+Inputs!$B$26+Inputs!$B$29,IF(Skills!C17=3,120+Inputs!$B$27+Inputs!$B$29,MAX(0,(Inputs!$B$3-100)*3)+Inputs!$B$28+Inputs!$B$29)))</f>
        <v/>
      </c>
      <c r="E1182">
        <f>INDEX(FactorTable!$B$2:$Y$301, MATCH(ROUND(MIN(300,MAX(1,D1182)),0), FactorTable!$A$2:$A$301,0), Skills!M17+1)</f>
        <v/>
      </c>
      <c r="F1182">
        <f>IF(Skills!N17=TRUE,(Skills!L17/10)*(E1182/1000),Skills!L17/10)+Skills!O17</f>
        <v/>
      </c>
      <c r="G1182">
        <f>Skills!G17*IF(Skills!H17&gt;0,Skills!I17/Skills!H17,1)</f>
        <v/>
      </c>
      <c r="H1182">
        <f>1-(1-Skills!J17/100)^Skills!K17</f>
        <v/>
      </c>
      <c r="I1182" t="inlineStr">
        <is>
          <t>1</t>
        </is>
      </c>
      <c r="J1182" t="inlineStr"/>
      <c r="K1182" t="inlineStr"/>
      <c r="L1182" t="inlineStr"/>
      <c r="M1182" t="inlineStr"/>
      <c r="N1182" t="inlineStr"/>
      <c r="O1182">
        <f>(1-Summary!$B$55)*T1182+Summary!$B$55*V1182</f>
        <v/>
      </c>
      <c r="P1182">
        <f>IF(B1205=0,0,O1182/B1205)</f>
        <v/>
      </c>
      <c r="Q1182" t="n">
        <v>0</v>
      </c>
      <c r="R1182" t="n">
        <v>0</v>
      </c>
      <c r="S1182">
        <f>IFERROR(O1182/N1182,0)</f>
        <v/>
      </c>
      <c r="T1182" t="n">
        <v>0</v>
      </c>
      <c r="V1182" t="n">
        <v>0</v>
      </c>
    </row>
    <row r="1183">
      <c r="A1183">
        <f>Skills!A18</f>
        <v/>
      </c>
      <c r="B1183">
        <f>Skills!B18</f>
        <v/>
      </c>
      <c r="C1183">
        <f>Inputs!$B$3&gt;=115</f>
        <v/>
      </c>
      <c r="D1183">
        <f>IF(Skills!C18=1,60+Inputs!$B$25+Inputs!$B$29,IF(Skills!C18=2,90+Inputs!$B$26+Inputs!$B$29,IF(Skills!C18=3,120+Inputs!$B$27+Inputs!$B$29,MAX(0,(Inputs!$B$3-100)*3)+Inputs!$B$28+Inputs!$B$29)))</f>
        <v/>
      </c>
      <c r="E1183">
        <f>INDEX(FactorTable!$B$2:$Y$301, MATCH(ROUND(MIN(300,MAX(1,D1183)),0), FactorTable!$A$2:$A$301,0), Skills!M18+1)</f>
        <v/>
      </c>
      <c r="F1183">
        <f>IF(Skills!N18=TRUE,(Skills!L18/10)*(E1183/1000),Skills!L18/10)+Skills!O18</f>
        <v/>
      </c>
      <c r="G1183">
        <f>Skills!G18*IF(Skills!H18&gt;0,Skills!I18/Skills!H18,1)</f>
        <v/>
      </c>
      <c r="H1183">
        <f>1-(1-Skills!J18/100)^Skills!K18</f>
        <v/>
      </c>
      <c r="I1183" t="inlineStr">
        <is>
          <t>1</t>
        </is>
      </c>
      <c r="J1183" t="inlineStr"/>
      <c r="K1183" t="inlineStr"/>
      <c r="L1183" t="inlineStr"/>
      <c r="M1183" t="inlineStr"/>
      <c r="N1183" t="inlineStr"/>
      <c r="O1183">
        <f>(1-Summary!$B$55)*T1183+Summary!$B$55*V1183</f>
        <v/>
      </c>
      <c r="P1183">
        <f>IF(B1205=0,0,O1183/B1205)</f>
        <v/>
      </c>
      <c r="Q1183" t="n">
        <v>0</v>
      </c>
      <c r="R1183" t="n">
        <v>0</v>
      </c>
      <c r="S1183">
        <f>IFERROR(O1183/N1183,0)</f>
        <v/>
      </c>
      <c r="T1183" t="n">
        <v>0</v>
      </c>
      <c r="V1183" t="n">
        <v>0</v>
      </c>
    </row>
    <row r="1184">
      <c r="A1184">
        <f>Skills!A19</f>
        <v/>
      </c>
      <c r="B1184">
        <f>Skills!B19</f>
        <v/>
      </c>
      <c r="C1184">
        <f>Inputs!$B$3&gt;=15</f>
        <v/>
      </c>
      <c r="D1184">
        <f>IF(Skills!C19=1,60+Inputs!$B$25+Inputs!$B$29,IF(Skills!C19=2,90+Inputs!$B$26+Inputs!$B$29,IF(Skills!C19=3,120+Inputs!$B$27+Inputs!$B$29,MAX(0,(Inputs!$B$3-100)*3)+Inputs!$B$28+Inputs!$B$29)))</f>
        <v/>
      </c>
      <c r="E1184">
        <f>INDEX(FactorTable!$B$2:$Y$301, MATCH(ROUND(MIN(300,MAX(1,D1184)),0), FactorTable!$A$2:$A$301,0), Skills!M19+1)</f>
        <v/>
      </c>
      <c r="F1184">
        <f>IF(Skills!N19=TRUE,(Skills!L19/10)*(E1184/1000),Skills!L19/10)+Skills!O19</f>
        <v/>
      </c>
      <c r="G1184">
        <f>Skills!G19*IF(Skills!H19&gt;0,Skills!I19/Skills!H19,1)</f>
        <v/>
      </c>
      <c r="H1184">
        <f>1-(1-Skills!J19/100)^Skills!K19</f>
        <v/>
      </c>
      <c r="I1184" t="inlineStr">
        <is>
          <t>1</t>
        </is>
      </c>
      <c r="J1184" t="inlineStr"/>
      <c r="K1184" t="inlineStr"/>
      <c r="L1184" t="inlineStr"/>
      <c r="M1184" t="inlineStr"/>
      <c r="N1184" t="inlineStr"/>
      <c r="O1184">
        <f>(1-Summary!$B$55)*T1184+Summary!$B$55*V1184</f>
        <v/>
      </c>
      <c r="P1184">
        <f>IF(B1205=0,0,O1184/B1205)</f>
        <v/>
      </c>
      <c r="Q1184" t="n">
        <v>0</v>
      </c>
      <c r="R1184" t="n">
        <v>0</v>
      </c>
      <c r="S1184">
        <f>IFERROR(O1184/N1184,0)</f>
        <v/>
      </c>
      <c r="T1184" t="n">
        <v>0</v>
      </c>
      <c r="V1184" t="n">
        <v>0</v>
      </c>
    </row>
    <row r="1185">
      <c r="A1185">
        <f>Skills!A20</f>
        <v/>
      </c>
      <c r="B1185">
        <f>Skills!B20</f>
        <v/>
      </c>
      <c r="C1185">
        <f>Inputs!$B$3&gt;=10</f>
        <v/>
      </c>
      <c r="D1185">
        <f>IF(Skills!C20=1,60+Inputs!$B$25+Inputs!$B$29,IF(Skills!C20=2,90+Inputs!$B$26+Inputs!$B$29,IF(Skills!C20=3,120+Inputs!$B$27+Inputs!$B$29,MAX(0,(Inputs!$B$3-100)*3)+Inputs!$B$28+Inputs!$B$29)))</f>
        <v/>
      </c>
      <c r="E1185">
        <f>INDEX(FactorTable!$B$2:$Y$301, MATCH(ROUND(MIN(300,MAX(1,D1185)),0), FactorTable!$A$2:$A$301,0), Skills!M20+1)</f>
        <v/>
      </c>
      <c r="F1185">
        <f>IF(Skills!N20=TRUE,(Skills!L20/10)*(E1185/1000),Skills!L20/10)+Skills!O20</f>
        <v/>
      </c>
      <c r="G1185">
        <f>Skills!G20*IF(Skills!H20&gt;0,Skills!I20/Skills!H20,1)</f>
        <v/>
      </c>
      <c r="H1185">
        <f>1-(1-Skills!J20/100)^Skills!K20</f>
        <v/>
      </c>
      <c r="I1185" t="inlineStr">
        <is>
          <t>1</t>
        </is>
      </c>
      <c r="J1185" t="inlineStr"/>
      <c r="K1185" t="inlineStr"/>
      <c r="L1185" t="inlineStr"/>
      <c r="M1185" t="inlineStr"/>
      <c r="N1185" t="inlineStr"/>
      <c r="O1185">
        <f>(1-Summary!$B$55)*T1185+Summary!$B$55*V1185</f>
        <v/>
      </c>
      <c r="P1185">
        <f>IF(B1205=0,0,O1185/B1205)</f>
        <v/>
      </c>
      <c r="Q1185" t="n">
        <v>0</v>
      </c>
      <c r="R1185" t="n">
        <v>0</v>
      </c>
      <c r="S1185">
        <f>IFERROR(O1185/N1185,0)</f>
        <v/>
      </c>
      <c r="T1185" t="n">
        <v>0</v>
      </c>
      <c r="V1185" t="n">
        <v>0</v>
      </c>
    </row>
    <row r="1186">
      <c r="A1186">
        <f>Skills!A21</f>
        <v/>
      </c>
      <c r="B1186">
        <f>Skills!B21</f>
        <v/>
      </c>
      <c r="C1186">
        <f>Inputs!$B$3&gt;=33</f>
        <v/>
      </c>
      <c r="D1186">
        <f>IF(Skills!C21=1,60+Inputs!$B$25+Inputs!$B$29,IF(Skills!C21=2,90+Inputs!$B$26+Inputs!$B$29,IF(Skills!C21=3,120+Inputs!$B$27+Inputs!$B$29,MAX(0,(Inputs!$B$3-100)*3)+Inputs!$B$28+Inputs!$B$29)))</f>
        <v/>
      </c>
      <c r="E1186">
        <f>INDEX(FactorTable!$B$2:$Y$301, MATCH(ROUND(MIN(300,MAX(1,D1186)),0), FactorTable!$A$2:$A$301,0), Skills!M21+1)</f>
        <v/>
      </c>
      <c r="F1186">
        <f>IF(Skills!N21=TRUE,(Skills!L21/10)*(E1186/1000),Skills!L21/10)+Skills!O21</f>
        <v/>
      </c>
      <c r="G1186">
        <f>Skills!G21*IF(Skills!H21&gt;0,Skills!I21/Skills!H21,1)</f>
        <v/>
      </c>
      <c r="H1186">
        <f>1-(1-Skills!J21/100)^Skills!K21</f>
        <v/>
      </c>
      <c r="I1186" t="inlineStr">
        <is>
          <t>1</t>
        </is>
      </c>
      <c r="J1186" t="inlineStr"/>
      <c r="K1186" t="inlineStr"/>
      <c r="L1186" t="inlineStr"/>
      <c r="M1186" t="inlineStr"/>
      <c r="N1186" t="inlineStr"/>
      <c r="O1186">
        <f>(1-Summary!$B$55)*T1186+Summary!$B$55*V1186</f>
        <v/>
      </c>
      <c r="P1186">
        <f>IF(B1205=0,0,O1186/B1205)</f>
        <v/>
      </c>
      <c r="Q1186" t="n">
        <v>0</v>
      </c>
      <c r="R1186" t="n">
        <v>0</v>
      </c>
      <c r="S1186">
        <f>IFERROR(O1186/N1186,0)</f>
        <v/>
      </c>
      <c r="T1186" t="n">
        <v>0</v>
      </c>
      <c r="V1186" t="n">
        <v>0</v>
      </c>
    </row>
    <row r="1187">
      <c r="A1187">
        <f>Skills!A22</f>
        <v/>
      </c>
      <c r="B1187">
        <f>Skills!B22</f>
        <v/>
      </c>
      <c r="C1187">
        <f>Inputs!$B$3&gt;=43</f>
        <v/>
      </c>
      <c r="D1187">
        <f>IF(Skills!C22=1,60+Inputs!$B$25+Inputs!$B$29,IF(Skills!C22=2,90+Inputs!$B$26+Inputs!$B$29,IF(Skills!C22=3,120+Inputs!$B$27+Inputs!$B$29,MAX(0,(Inputs!$B$3-100)*3)+Inputs!$B$28+Inputs!$B$29)))</f>
        <v/>
      </c>
      <c r="E1187">
        <f>INDEX(FactorTable!$B$2:$Y$301, MATCH(ROUND(MIN(300,MAX(1,D1187)),0), FactorTable!$A$2:$A$301,0), Skills!M22+1)</f>
        <v/>
      </c>
      <c r="F1187">
        <f>IF(Skills!N22=TRUE,(Skills!L22/10)*(E1187/1000),Skills!L22/10)+Skills!O22</f>
        <v/>
      </c>
      <c r="G1187">
        <f>Skills!G22*IF(Skills!H22&gt;0,Skills!I22/Skills!H22,1)</f>
        <v/>
      </c>
      <c r="H1187">
        <f>1-(1-Skills!J22/100)^Skills!K22</f>
        <v/>
      </c>
      <c r="I1187" t="inlineStr">
        <is>
          <t>1</t>
        </is>
      </c>
      <c r="J1187" t="inlineStr"/>
      <c r="K1187" t="inlineStr"/>
      <c r="L1187" t="inlineStr"/>
      <c r="M1187" t="inlineStr"/>
      <c r="N1187" t="inlineStr"/>
      <c r="O1187">
        <f>(1-Summary!$B$55)*T1187+Summary!$B$55*V1187</f>
        <v/>
      </c>
      <c r="P1187">
        <f>IF(B1205=0,0,O1187/B1205)</f>
        <v/>
      </c>
      <c r="Q1187" t="n">
        <v>0</v>
      </c>
      <c r="R1187" t="n">
        <v>0</v>
      </c>
      <c r="S1187">
        <f>IFERROR(O1187/N1187,0)</f>
        <v/>
      </c>
      <c r="T1187" t="n">
        <v>0</v>
      </c>
      <c r="V1187" t="n">
        <v>0</v>
      </c>
    </row>
    <row r="1188">
      <c r="A1188">
        <f>Skills!A23</f>
        <v/>
      </c>
      <c r="B1188">
        <f>Skills!B23</f>
        <v/>
      </c>
      <c r="C1188">
        <f>Inputs!$B$3&gt;=38</f>
        <v/>
      </c>
      <c r="D1188">
        <f>IF(Skills!C23=1,60+Inputs!$B$25+Inputs!$B$29,IF(Skills!C23=2,90+Inputs!$B$26+Inputs!$B$29,IF(Skills!C23=3,120+Inputs!$B$27+Inputs!$B$29,MAX(0,(Inputs!$B$3-100)*3)+Inputs!$B$28+Inputs!$B$29)))</f>
        <v/>
      </c>
      <c r="E1188">
        <f>INDEX(FactorTable!$B$2:$Y$301, MATCH(ROUND(MIN(300,MAX(1,D1188)),0), FactorTable!$A$2:$A$301,0), Skills!M23+1)</f>
        <v/>
      </c>
      <c r="F1188">
        <f>IF(Skills!N23=TRUE,(Skills!L23/10)*(E1188/1000),Skills!L23/10)+Skills!O23</f>
        <v/>
      </c>
      <c r="G1188">
        <f>Skills!G23*IF(Skills!H23&gt;0,Skills!I23/Skills!H23,1)</f>
        <v/>
      </c>
      <c r="H1188">
        <f>1-(1-Skills!J23/100)^Skills!K23</f>
        <v/>
      </c>
      <c r="I1188" t="inlineStr">
        <is>
          <t>1</t>
        </is>
      </c>
      <c r="J1188" t="inlineStr"/>
      <c r="K1188" t="inlineStr"/>
      <c r="L1188" t="inlineStr"/>
      <c r="M1188" t="inlineStr"/>
      <c r="N1188" t="inlineStr"/>
      <c r="O1188">
        <f>(1-Summary!$B$55)*T1188+Summary!$B$55*V1188</f>
        <v/>
      </c>
      <c r="P1188">
        <f>IF(B1205=0,0,O1188/B1205)</f>
        <v/>
      </c>
      <c r="Q1188" t="n">
        <v>0</v>
      </c>
      <c r="R1188" t="n">
        <v>0</v>
      </c>
      <c r="S1188">
        <f>IFERROR(O1188/N1188,0)</f>
        <v/>
      </c>
      <c r="T1188" t="n">
        <v>0</v>
      </c>
      <c r="V1188" t="n">
        <v>0</v>
      </c>
    </row>
    <row r="1189">
      <c r="A1189">
        <f>Skills!A24</f>
        <v/>
      </c>
      <c r="B1189">
        <f>Skills!B24</f>
        <v/>
      </c>
      <c r="C1189">
        <f>Inputs!$B$3&gt;=40</f>
        <v/>
      </c>
      <c r="D1189">
        <f>IF(Skills!C24=1,60+Inputs!$B$25+Inputs!$B$29,IF(Skills!C24=2,90+Inputs!$B$26+Inputs!$B$29,IF(Skills!C24=3,120+Inputs!$B$27+Inputs!$B$29,MAX(0,(Inputs!$B$3-100)*3)+Inputs!$B$28+Inputs!$B$29)))</f>
        <v/>
      </c>
      <c r="E1189">
        <f>INDEX(FactorTable!$B$2:$Y$301, MATCH(ROUND(MIN(300,MAX(1,D1189)),0), FactorTable!$A$2:$A$301,0), Skills!M24+1)</f>
        <v/>
      </c>
      <c r="F1189">
        <f>IF(Skills!N24=TRUE,(Skills!L24/10)*(E1189/1000),Skills!L24/10)+Skills!O24</f>
        <v/>
      </c>
      <c r="G1189">
        <f>Skills!G24*IF(Skills!H24&gt;0,Skills!I24/Skills!H24,1)</f>
        <v/>
      </c>
      <c r="H1189">
        <f>1-(1-Skills!J24/100)^Skills!K24</f>
        <v/>
      </c>
      <c r="I1189" t="inlineStr">
        <is>
          <t>1</t>
        </is>
      </c>
      <c r="J1189" t="inlineStr"/>
      <c r="K1189" t="inlineStr"/>
      <c r="L1189" t="inlineStr"/>
      <c r="M1189" t="inlineStr"/>
      <c r="N1189" t="inlineStr"/>
      <c r="O1189">
        <f>(1-Summary!$B$55)*T1189+Summary!$B$55*V1189</f>
        <v/>
      </c>
      <c r="P1189">
        <f>IF(B1205=0,0,O1189/B1205)</f>
        <v/>
      </c>
      <c r="Q1189" t="n">
        <v>0</v>
      </c>
      <c r="R1189" t="n">
        <v>0</v>
      </c>
      <c r="S1189">
        <f>IFERROR(O1189/N1189,0)</f>
        <v/>
      </c>
      <c r="T1189" t="n">
        <v>0</v>
      </c>
      <c r="V1189" t="n">
        <v>0</v>
      </c>
    </row>
    <row r="1190">
      <c r="A1190">
        <f>Skills!A25</f>
        <v/>
      </c>
      <c r="B1190">
        <f>Skills!B25</f>
        <v/>
      </c>
      <c r="C1190">
        <f>Inputs!$B$3&gt;=72</f>
        <v/>
      </c>
      <c r="D1190">
        <f>IF(Skills!C25=1,60+Inputs!$B$25+Inputs!$B$29,IF(Skills!C25=2,90+Inputs!$B$26+Inputs!$B$29,IF(Skills!C25=3,120+Inputs!$B$27+Inputs!$B$29,MAX(0,(Inputs!$B$3-100)*3)+Inputs!$B$28+Inputs!$B$29)))</f>
        <v/>
      </c>
      <c r="E1190">
        <f>INDEX(FactorTable!$B$2:$Y$301, MATCH(ROUND(MIN(300,MAX(1,D1190)),0), FactorTable!$A$2:$A$301,0), Skills!M25+1)</f>
        <v/>
      </c>
      <c r="F1190">
        <f>IF(Skills!N25=TRUE,(Skills!L25/10)*(E1190/1000),Skills!L25/10)+Skills!O25</f>
        <v/>
      </c>
      <c r="G1190">
        <f>Skills!G25*IF(Skills!H25&gt;0,Skills!I25/Skills!H25,1)</f>
        <v/>
      </c>
      <c r="H1190">
        <f>1-(1-Skills!J25/100)^Skills!K25</f>
        <v/>
      </c>
      <c r="I1190" t="inlineStr">
        <is>
          <t>1</t>
        </is>
      </c>
      <c r="J1190" t="inlineStr"/>
      <c r="K1190" t="inlineStr"/>
      <c r="L1190" t="inlineStr"/>
      <c r="M1190" t="inlineStr"/>
      <c r="N1190" t="inlineStr"/>
      <c r="O1190">
        <f>(1-Summary!$B$55)*T1190+Summary!$B$55*V1190</f>
        <v/>
      </c>
      <c r="P1190">
        <f>IF(B1205=0,0,O1190/B1205)</f>
        <v/>
      </c>
      <c r="Q1190" t="n">
        <v>0</v>
      </c>
      <c r="R1190" t="n">
        <v>0</v>
      </c>
      <c r="S1190">
        <f>IFERROR(O1190/N1190,0)</f>
        <v/>
      </c>
      <c r="T1190" t="n">
        <v>0</v>
      </c>
      <c r="V1190" t="n">
        <v>0</v>
      </c>
    </row>
    <row r="1191">
      <c r="A1191">
        <f>Skills!A26</f>
        <v/>
      </c>
      <c r="B1191">
        <f>Skills!B26</f>
        <v/>
      </c>
      <c r="C1191">
        <f>Inputs!$B$3&gt;=75</f>
        <v/>
      </c>
      <c r="D1191">
        <f>IF(Skills!C26=1,60+Inputs!$B$25+Inputs!$B$29,IF(Skills!C26=2,90+Inputs!$B$26+Inputs!$B$29,IF(Skills!C26=3,120+Inputs!$B$27+Inputs!$B$29,MAX(0,(Inputs!$B$3-100)*3)+Inputs!$B$28+Inputs!$B$29)))</f>
        <v/>
      </c>
      <c r="E1191">
        <f>INDEX(FactorTable!$B$2:$Y$301, MATCH(ROUND(MIN(300,MAX(1,D1191)),0), FactorTable!$A$2:$A$301,0), Skills!M26+1)</f>
        <v/>
      </c>
      <c r="F1191">
        <f>IF(Skills!N26=TRUE,(Skills!L26/10)*(E1191/1000),Skills!L26/10)+Skills!O26</f>
        <v/>
      </c>
      <c r="G1191">
        <f>Skills!G26*IF(Skills!H26&gt;0,Skills!I26/Skills!H26,1)</f>
        <v/>
      </c>
      <c r="H1191">
        <f>1-(1-Skills!J26/100)^Skills!K26</f>
        <v/>
      </c>
      <c r="I1191" t="inlineStr">
        <is>
          <t>1</t>
        </is>
      </c>
      <c r="J1191" t="inlineStr"/>
      <c r="K1191" t="inlineStr"/>
      <c r="L1191" t="inlineStr"/>
      <c r="M1191" t="inlineStr"/>
      <c r="N1191" t="inlineStr"/>
      <c r="O1191">
        <f>(1-Summary!$B$55)*T1191+Summary!$B$55*V1191</f>
        <v/>
      </c>
      <c r="P1191">
        <f>IF(B1205=0,0,O1191/B1205)</f>
        <v/>
      </c>
      <c r="Q1191" t="n">
        <v>0</v>
      </c>
      <c r="R1191" t="n">
        <v>0</v>
      </c>
      <c r="S1191">
        <f>IFERROR(O1191/N1191,0)</f>
        <v/>
      </c>
      <c r="T1191" t="n">
        <v>0</v>
      </c>
      <c r="V1191" t="n">
        <v>0</v>
      </c>
    </row>
    <row r="1192">
      <c r="A1192">
        <f>Skills!A27</f>
        <v/>
      </c>
      <c r="B1192">
        <f>Skills!B27</f>
        <v/>
      </c>
      <c r="C1192">
        <f>Inputs!$B$3&gt;=117</f>
        <v/>
      </c>
      <c r="D1192">
        <f>IF(Skills!C27=1,60+Inputs!$B$25+Inputs!$B$29,IF(Skills!C27=2,90+Inputs!$B$26+Inputs!$B$29,IF(Skills!C27=3,120+Inputs!$B$27+Inputs!$B$29,MAX(0,(Inputs!$B$3-100)*3)+Inputs!$B$28+Inputs!$B$29)))</f>
        <v/>
      </c>
      <c r="E1192">
        <f>INDEX(FactorTable!$B$2:$Y$301, MATCH(ROUND(MIN(300,MAX(1,D1192)),0), FactorTable!$A$2:$A$301,0), Skills!M27+1)</f>
        <v/>
      </c>
      <c r="F1192">
        <f>IF(Skills!N27=TRUE,(Skills!L27/10)*(E1192/1000),Skills!L27/10)+Skills!O27</f>
        <v/>
      </c>
      <c r="G1192">
        <f>Skills!G27*IF(Skills!H27&gt;0,Skills!I27/Skills!H27,1)</f>
        <v/>
      </c>
      <c r="H1192">
        <f>1-(1-Skills!J27/100)^Skills!K27</f>
        <v/>
      </c>
      <c r="I1192" t="inlineStr">
        <is>
          <t>1</t>
        </is>
      </c>
      <c r="J1192" t="inlineStr"/>
      <c r="K1192" t="inlineStr"/>
      <c r="L1192" t="inlineStr"/>
      <c r="M1192" t="inlineStr"/>
      <c r="N1192" t="inlineStr"/>
      <c r="O1192">
        <f>(1-Summary!$B$55)*T1192+Summary!$B$55*V1192</f>
        <v/>
      </c>
      <c r="P1192">
        <f>IF(B1205=0,0,O1192/B1205)</f>
        <v/>
      </c>
      <c r="Q1192" t="n">
        <v>0</v>
      </c>
      <c r="R1192" t="n">
        <v>0</v>
      </c>
      <c r="S1192">
        <f>IFERROR(O1192/N1192,0)</f>
        <v/>
      </c>
      <c r="T1192" t="n">
        <v>0</v>
      </c>
      <c r="V1192" t="n">
        <v>0</v>
      </c>
    </row>
    <row r="1194">
      <c r="A1194" t="inlineStr">
        <is>
          <t>Attack% Bucket Multiplier</t>
        </is>
      </c>
      <c r="B1194">
        <f>(1+(((C1182=TRUE)*F1182)+((C1189=TRUE)*(F1189-Calc!F24)))/100)</f>
        <v/>
      </c>
    </row>
    <row r="1195">
      <c r="A1195" t="inlineStr">
        <is>
          <t>Global Crit Rate Bonus %</t>
        </is>
      </c>
      <c r="B1195" t="n">
        <v>0</v>
      </c>
    </row>
    <row r="1196">
      <c r="A1196" t="inlineStr">
        <is>
          <t>Attack Speed Buff Bonus % (unused)</t>
        </is>
      </c>
      <c r="B1196" t="n">
        <v>0</v>
      </c>
    </row>
    <row r="1197">
      <c r="A1197" t="inlineStr">
        <is>
          <t>Actions Per Second</t>
        </is>
      </c>
      <c r="B1197">
        <f>1+MIN(150,150*(1-(1-(Inputs!$B$11+((C1185=TRUE)*(F1185-Calc!F20))+((C1186=TRUE)*(F1186-Calc!F21)))/150)*(1-B1196/150)))/100</f>
        <v/>
      </c>
    </row>
    <row r="1198">
      <c r="A1198" t="inlineStr">
        <is>
          <t>Skill + Buff Cast Rate</t>
        </is>
      </c>
      <c r="B1198">
        <f>IF(AND(Inputs!$B$38&lt;&gt;"pvp",Inputs!$B$43&gt;0),SUMPRODUCT((Skills!E2:E27=TRUE)*(C1167:C1192=TRUE)*R1167:R1192*Skills!F2:F27)/Inputs!$B$43,SUMPRODUCT((Skills!E2:E27=TRUE)*(C1167:C1192=TRUE)*Q1167:Q1192*Skills!F2:F27))</f>
        <v/>
      </c>
    </row>
    <row r="1199">
      <c r="A1199" t="inlineStr">
        <is>
          <t>Eight-Legs Easton Casts Per Second</t>
        </is>
      </c>
      <c r="B1199">
        <f>MAX(0,B1197-B1198)</f>
        <v/>
      </c>
    </row>
    <row r="1200">
      <c r="A1200" t="inlineStr">
        <is>
          <t>Global Critical Damage Bonus % (unused)</t>
        </is>
      </c>
      <c r="B1200" t="n">
        <v>0</v>
      </c>
    </row>
    <row r="1201">
      <c r="A1201" t="inlineStr">
        <is>
          <t>Global Final Damage Bonus % (Jolly Roger only)</t>
        </is>
      </c>
      <c r="B1201">
        <f>((C1183=TRUE)*F1183)</f>
        <v/>
      </c>
    </row>
    <row r="1202">
      <c r="A1202" t="inlineStr">
        <is>
          <t>Buff-Casting Startup Delay (s, fixed-duration only)</t>
        </is>
      </c>
      <c r="B1202">
        <f>IF(AND(Inputs!$B$38&lt;&gt;"pvp",Inputs!$B$43&gt;0),SUMPRODUCT((Skills!T2:T27&gt;0)*(Skills!E2:E27=TRUE)*(C1167:C1192=TRUE))/B1197,0)</f>
        <v/>
      </c>
    </row>
    <row r="1203">
      <c r="A1203" t="inlineStr">
        <is>
          <t>Boss-Only Total DPS (this block's swept value)</t>
        </is>
      </c>
      <c r="B1203">
        <f>SUM(T1167:T1192)</f>
        <v/>
      </c>
    </row>
    <row r="1204">
      <c r="A1204" t="inlineStr">
        <is>
          <t>Normal-Only Total DPS (this block's swept value)</t>
        </is>
      </c>
      <c r="B1204">
        <f>SUM(V1167:V1192)</f>
        <v/>
      </c>
    </row>
    <row r="1205">
      <c r="A1205" s="5" t="inlineStr">
        <is>
          <t>TOTAL DPS</t>
        </is>
      </c>
      <c r="B1205" s="5">
        <f>SUM(O1167:O1192)</f>
        <v/>
      </c>
    </row>
    <row r="1208">
      <c r="A1208" s="5" t="inlineStr">
        <is>
          <t>Stat: CDR = 1.0s</t>
        </is>
      </c>
    </row>
    <row r="1209">
      <c r="A1209" s="9" t="inlineStr">
        <is>
          <t>Key</t>
        </is>
      </c>
      <c r="B1209" s="9" t="inlineStr">
        <is>
          <t>Name</t>
        </is>
      </c>
      <c r="C1209" s="9" t="inlineStr">
        <is>
          <t>Unlocked</t>
        </is>
      </c>
      <c r="D1209" s="9" t="inlineStr">
        <is>
          <t>InputLevel</t>
        </is>
      </c>
      <c r="E1209" s="9" t="inlineStr">
        <is>
          <t>Factor</t>
        </is>
      </c>
      <c r="F1209" s="9" t="inlineStr">
        <is>
          <t>CoefficientPercent</t>
        </is>
      </c>
      <c r="G1209" s="9" t="inlineStr">
        <is>
          <t>EffectiveHits</t>
        </is>
      </c>
      <c r="H1209" s="9" t="inlineStr">
        <is>
          <t>ProcProbability</t>
        </is>
      </c>
      <c r="I1209" s="9" t="inlineStr">
        <is>
          <t>MapleHeroMultiplier</t>
        </is>
      </c>
      <c r="J1209" s="9" t="inlineStr">
        <is>
          <t>BaseDamage</t>
        </is>
      </c>
      <c r="K1209" s="9" t="inlineStr">
        <is>
          <t>BaseHitDamage</t>
        </is>
      </c>
      <c r="L1209" s="9" t="inlineStr">
        <is>
          <t>NonCritAvg</t>
        </is>
      </c>
      <c r="M1209" s="9" t="inlineStr">
        <is>
          <t>CritAvg</t>
        </is>
      </c>
      <c r="N1209" s="9" t="inlineStr">
        <is>
          <t>ExpectedDamage(perHit)</t>
        </is>
      </c>
      <c r="O1209" s="9" t="inlineStr">
        <is>
          <t>DPS</t>
        </is>
      </c>
      <c r="P1209" s="9" t="inlineStr">
        <is>
          <t>% of Total</t>
        </is>
      </c>
      <c r="Q1209" s="9" t="inlineStr">
        <is>
          <t>InvCooldown</t>
        </is>
      </c>
      <c r="R1209" s="9" t="inlineStr">
        <is>
          <t>CastsInFight</t>
        </is>
      </c>
      <c r="S1209" s="9" t="inlineStr">
        <is>
          <t>HitRate(perSec)</t>
        </is>
      </c>
      <c r="U1209" t="inlineStr">
        <is>
          <t>helpers</t>
        </is>
      </c>
    </row>
    <row r="1210">
      <c r="A1210">
        <f>Skills!A2</f>
        <v/>
      </c>
      <c r="B1210">
        <f>Skills!B2</f>
        <v/>
      </c>
      <c r="C1210">
        <f>Inputs!$B$3&gt;=100</f>
        <v/>
      </c>
      <c r="D1210" t="inlineStr"/>
      <c r="E1210" t="inlineStr"/>
      <c r="F1210">
        <f>U1212+Skills!O2</f>
        <v/>
      </c>
      <c r="G1210">
        <f>Skills!G2*IF(Skills!H2&gt;0,Skills!I2/Skills!H2,1)</f>
        <v/>
      </c>
      <c r="H1210">
        <f>1-(1-Skills!J2/100)^Skills!K2</f>
        <v/>
      </c>
      <c r="I1210" t="inlineStr">
        <is>
          <t>1</t>
        </is>
      </c>
      <c r="J1210">
        <f>((Inputs!$B$6*(1+Inputs!$B$7/100))+(((Inputs!$B$12*(1+Inputs!$B$13/100))-(Inputs!$B$12*(1+Inputs!$B$13/100)))+0.25*(Inputs!$B$14-Inputs!$B$14))*(1+Inputs!$B$7/100))*(F1210/100)</f>
        <v/>
      </c>
      <c r="K1210">
        <f>J1210*(1+((Inputs!$B$12*(1+Inputs!$B$13/100))*0.01+Inputs!$B$14*0.0025)/100)*(1+Inputs!$B$15/100)*(1+Inputs!$B$16/100)*(5000/(6000+Inputs!$B$42*(1-(Inputs!$B$19+0)/100)))*(1+(Inputs!$B$24+((C1234=TRUE)*(F1234-Calc!F26))+B1244)/100)*(1+(IF(Skills!A2="EIGHT_LEGS_EASTON",Inputs!$B$17+((C1231=TRUE)*(F1231-Calc!F23))+((C1235=TRUE)*(F1235-Calc!F27)),Inputs!$B$18+0))/100)*((1+(((C1225=TRUE)*F1225)+((C1232=TRUE)*(F1232-Calc!F24)))/100)*I1210)</f>
        <v/>
      </c>
      <c r="L1210">
        <f>K1210*(MIN(Inputs!$B$22+((C1230=TRUE)*(F1230-Calc!F22)),Inputs!$B$23+0)/100+(Inputs!$B$23+0)/100)/2</f>
        <v/>
      </c>
      <c r="M1210">
        <f>L1210*(1+(Inputs!$B$10+((C1233=TRUE)*(F1233-Calc!F25))+B1243)/100)</f>
        <v/>
      </c>
      <c r="N1210">
        <f>L1210*(1-MIN((Inputs!$B$9+((C1227=TRUE)*(F1227-Calc!F19))+B1238),100)/100)+M1210*(MIN((Inputs!$B$9+((C1227=TRUE)*(F1227-Calc!F19))+B1238),100)/100)</f>
        <v/>
      </c>
      <c r="O1210">
        <f>(1-Summary!$B$55)*T1210+Summary!$B$55*V1210</f>
        <v/>
      </c>
      <c r="P1210">
        <f>IF(B1248=0,0,O1210/B1248)</f>
        <v/>
      </c>
      <c r="Q1210" t="n">
        <v>0</v>
      </c>
      <c r="R1210" t="n">
        <v>0</v>
      </c>
      <c r="S1210">
        <f>IFERROR(O1210/N1210,0)</f>
        <v/>
      </c>
      <c r="T1210">
        <f>IF(C1210,(Skills!G2*N1210*B1242)*IF(Inputs!$B$38="pvp",1,1+(Inputs!$B$20+0+Skills!P2)/100),0)</f>
        <v/>
      </c>
      <c r="U1210">
        <f>MAX(0,(Inputs!$B$3-100)*3)+Inputs!$B$28+Inputs!$B$29</f>
        <v/>
      </c>
      <c r="V1210">
        <f>IF(C1210,(Skills!G2*N1210*B1242)*IF(Inputs!$B$38="pvp",1,(1+(Inputs!$B$21+Skills!Q2)/100)*(MIN((6+Inputs!$B$33),Inputs!$B$37))),0)</f>
        <v/>
      </c>
    </row>
    <row r="1211">
      <c r="A1211">
        <f>Skills!A3</f>
        <v/>
      </c>
      <c r="B1211">
        <f>Skills!B3</f>
        <v/>
      </c>
      <c r="C1211">
        <f>Inputs!$B$3&gt;=35</f>
        <v/>
      </c>
      <c r="D1211">
        <f>IF(Skills!C3=1,60+Inputs!$B$25+Inputs!$B$29,IF(Skills!C3=2,90+Inputs!$B$26+Inputs!$B$29,IF(Skills!C3=3,120+Inputs!$B$27+Inputs!$B$29,MAX(0,(Inputs!$B$3-100)*3)+Inputs!$B$28+Inputs!$B$29)))</f>
        <v/>
      </c>
      <c r="E1211">
        <f>INDEX(FactorTable!$B$2:$Y$301, MATCH(ROUND(MIN(300,MAX(1,D1211)),0), FactorTable!$A$2:$A$301,0), Skills!M3+1)</f>
        <v/>
      </c>
      <c r="F1211">
        <f>IF(Skills!N3=TRUE,(Skills!L3/10)*(E1211/1000),Skills!L3/10)+Skills!O3</f>
        <v/>
      </c>
      <c r="G1211">
        <f>Skills!G3*IF(Skills!H3&gt;0,Skills!I3/Skills!H3,1)</f>
        <v/>
      </c>
      <c r="H1211">
        <f>1-(1-Skills!J3/100)^Skills!K3</f>
        <v/>
      </c>
      <c r="I1211" t="inlineStr">
        <is>
          <t>1</t>
        </is>
      </c>
      <c r="J1211">
        <f>((Inputs!$B$6*(1+Inputs!$B$7/100))+(((Inputs!$B$12*(1+Inputs!$B$13/100))-(Inputs!$B$12*(1+Inputs!$B$13/100)))+0.25*(Inputs!$B$14-Inputs!$B$14))*(1+Inputs!$B$7/100))*(F1211/100)</f>
        <v/>
      </c>
      <c r="K1211">
        <f>J1211*(1+((Inputs!$B$12*(1+Inputs!$B$13/100))*0.01+Inputs!$B$14*0.0025)/100)*(1+Inputs!$B$15/100)*(1+Inputs!$B$16/100)*(5000/(6000+Inputs!$B$42*(1-(Inputs!$B$19+0)/100)))*(1+(Inputs!$B$24+((C1234=TRUE)*(F1234-Calc!F26))+B1244)/100)*(1+4.0*IF(C1223=TRUE,F1223,0)/100)*(1+(IF(Skills!A3="EIGHT_LEGS_EASTON",Inputs!$B$17+((C1231=TRUE)*(F1231-Calc!F23))+((C1235=TRUE)*(F1235-Calc!F27)),Inputs!$B$18+0))/100)*((1+(((C1225=TRUE)*F1225)+((C1232=TRUE)*(F1232-Calc!F24)))/100)*I1211)</f>
        <v/>
      </c>
      <c r="L1211">
        <f>K1211*(MIN(Inputs!$B$22+((C1230=TRUE)*(F1230-Calc!F22)),Inputs!$B$23+0)/100+(Inputs!$B$23+0)/100)/2</f>
        <v/>
      </c>
      <c r="M1211">
        <f>L1211*(1+(Inputs!$B$10+((C1233=TRUE)*(F1233-Calc!F25))+B1243)/100)</f>
        <v/>
      </c>
      <c r="N1211">
        <f>L1211*(1-MIN((Inputs!$B$9+((C1227=TRUE)*(F1227-Calc!F19))+B1238),100)/100)+M1211*(MIN((Inputs!$B$9+((C1227=TRUE)*(F1227-Calc!F19))+B1238),100)/100)</f>
        <v/>
      </c>
      <c r="O1211">
        <f>(1-Summary!$B$55)*T1211+Summary!$B$55*V1211</f>
        <v/>
      </c>
      <c r="P1211">
        <f>IF(B1248=0,0,O1211/B1248)</f>
        <v/>
      </c>
      <c r="Q1211">
        <f>IFERROR(1/IF(Inputs!$B$38="pvp",15,MAX(0.1,Skills!D3-IF(Skills!E3=TRUE,1.0,0))),0)</f>
        <v/>
      </c>
      <c r="R1211">
        <f>IF(AND(Inputs!$B$38&lt;&gt;"pvp",Inputs!$B$43&gt;0),IF(MAX(0,Inputs!$B$43-B1245)&lt;=0,0,(INT(MAX(0,Inputs!$B$43-B1245)/IF(Inputs!$B$38="pvp",15,MAX(0.1,Skills!D3-IF(Skills!E3=TRUE,1.0,0))))+1)),0)</f>
        <v/>
      </c>
      <c r="S1211">
        <f>IFERROR(O1211/N1211,0)</f>
        <v/>
      </c>
      <c r="T1211">
        <f>IF(C1211,(H1211*N1211*IF(AND(Inputs!$B$38&lt;&gt;"pvp",Inputs!$B$43&gt;0),((Skills!G3*((R1211-1)*IF(Skills!H3&gt;0,Skills!I3/Skills!H3,1)+IF(Skills!H3&gt;0,MIN(Skills!I3,MAX(0,MAX(0,Inputs!$B$43-B1245)-((R1211-1)*IF(Inputs!$B$38="pvp",15,MAX(0.1,Skills!D3-IF(Skills!E3=TRUE,1.0,0))))))/Skills!H3,1)))/Inputs!$B$43),G1211*Q1211))*IF(Inputs!$B$38="pvp",1,1+(Inputs!$B$20+0+Skills!P3)/100),0)</f>
        <v/>
      </c>
      <c r="U1211">
        <f>INDEX(FactorTable!$B$2:$Y$301, MATCH(ROUND(MIN(300,MAX(1,U1210)),0), FactorTable!$A$2:$A$301,0), 22)</f>
        <v/>
      </c>
      <c r="V1211">
        <f>IF(C1211,(H1211*N1211*IF(AND(Inputs!$B$38&lt;&gt;"pvp",Inputs!$B$43&gt;0),((Skills!G3*((R1211-1)*IF(Skills!H3&gt;0,Skills!I3/Skills!H3,1)+IF(Skills!H3&gt;0,MIN(Skills!I3,MAX(0,MAX(0,Inputs!$B$43-B1245)-((R1211-1)*IF(Inputs!$B$38="pvp",15,MAX(0.1,Skills!D3-IF(Skills!E3=TRUE,1.0,0))))))/Skills!H3,1)))/Inputs!$B$43),G1211*Q1211))*IF(Inputs!$B$38="pvp",1,(1+(Inputs!$B$21+Skills!Q3)/100)*(MIN(Skills!R3,Inputs!$B$37))),0)</f>
        <v/>
      </c>
    </row>
    <row r="1212">
      <c r="A1212">
        <f>Skills!A4</f>
        <v/>
      </c>
      <c r="B1212">
        <f>Skills!B4</f>
        <v/>
      </c>
      <c r="C1212">
        <f>Inputs!$B$3&gt;=40</f>
        <v/>
      </c>
      <c r="D1212">
        <f>IF(Skills!C4=1,60+Inputs!$B$25+Inputs!$B$29,IF(Skills!C4=2,90+Inputs!$B$26+Inputs!$B$29,IF(Skills!C4=3,120+Inputs!$B$27+Inputs!$B$29,MAX(0,(Inputs!$B$3-100)*3)+Inputs!$B$28+Inputs!$B$29)))</f>
        <v/>
      </c>
      <c r="E1212">
        <f>INDEX(FactorTable!$B$2:$Y$301, MATCH(ROUND(MIN(300,MAX(1,D1212)),0), FactorTable!$A$2:$A$301,0), Skills!M4+1)</f>
        <v/>
      </c>
      <c r="F1212">
        <f>IF(Skills!N4=TRUE,(Skills!L4/10)*(E1212/1000),Skills!L4/10)+Skills!O4</f>
        <v/>
      </c>
      <c r="G1212">
        <f>Skills!G4*IF(Skills!H4&gt;0,Skills!I4/Skills!H4,1)</f>
        <v/>
      </c>
      <c r="H1212">
        <f>1-(1-Skills!J4/100)^Skills!K4</f>
        <v/>
      </c>
      <c r="I1212" t="inlineStr">
        <is>
          <t>1</t>
        </is>
      </c>
      <c r="J1212">
        <f>((Inputs!$B$6*(1+Inputs!$B$7/100))+(((Inputs!$B$12*(1+Inputs!$B$13/100))-(Inputs!$B$12*(1+Inputs!$B$13/100)))+0.25*(Inputs!$B$14-Inputs!$B$14))*(1+Inputs!$B$7/100))*(F1212/100)</f>
        <v/>
      </c>
      <c r="K1212">
        <f>J1212*(1+((Inputs!$B$12*(1+Inputs!$B$13/100))*0.01+Inputs!$B$14*0.0025)/100)*(1+Inputs!$B$15/100)*(1+Inputs!$B$16/100)*(5000/(6000+Inputs!$B$42*(1-(Inputs!$B$19+0)/100)))*(1+(Inputs!$B$24+((C1234=TRUE)*(F1234-Calc!F26))+B1244)/100)*(1+1.0*IF(C1224=TRUE,F1224,0)/100)*(1+(IF(Skills!A4="EIGHT_LEGS_EASTON",Inputs!$B$17+((C1231=TRUE)*(F1231-Calc!F23))+((C1235=TRUE)*(F1235-Calc!F27)),Inputs!$B$18+0))/100)*((1+(((C1225=TRUE)*F1225)+((C1232=TRUE)*(F1232-Calc!F24)))/100)*I1212)</f>
        <v/>
      </c>
      <c r="L1212">
        <f>K1212*(MIN(Inputs!$B$22+((C1230=TRUE)*(F1230-Calc!F22)),Inputs!$B$23+0)/100+(Inputs!$B$23+0)/100)/2</f>
        <v/>
      </c>
      <c r="M1212">
        <f>L1212*(1+(Inputs!$B$10+((C1233=TRUE)*(F1233-Calc!F25))+B1243)/100)</f>
        <v/>
      </c>
      <c r="N1212">
        <f>L1212*(1-MIN((Inputs!$B$9+((C1227=TRUE)*(F1227-Calc!F19))+B1238),100)/100)+M1212*(MIN((Inputs!$B$9+((C1227=TRUE)*(F1227-Calc!F19))+B1238),100)/100)</f>
        <v/>
      </c>
      <c r="O1212">
        <f>(1-Summary!$B$55)*T1212+Summary!$B$55*V1212</f>
        <v/>
      </c>
      <c r="P1212">
        <f>IF(B1248=0,0,O1212/B1248)</f>
        <v/>
      </c>
      <c r="Q1212">
        <f>IFERROR(1/IF(Inputs!$B$38="pvp",15,MAX(0.1,Skills!D4-IF(Skills!E4=TRUE,1.0,0))),0)</f>
        <v/>
      </c>
      <c r="R1212">
        <f>IF(AND(Inputs!$B$38&lt;&gt;"pvp",Inputs!$B$43&gt;0),IF(MAX(0,Inputs!$B$43-B1245)&lt;=0,0,(INT(MAX(0,Inputs!$B$43-B1245)/IF(Inputs!$B$38="pvp",15,MAX(0.1,Skills!D4-IF(Skills!E4=TRUE,1.0,0))))+1)),0)</f>
        <v/>
      </c>
      <c r="S1212">
        <f>IFERROR(O1212/N1212,0)</f>
        <v/>
      </c>
      <c r="T1212">
        <f>IF(C1212,(H1212*N1212*IF(AND(Inputs!$B$38&lt;&gt;"pvp",Inputs!$B$43&gt;0),((Skills!G4*((R1212-1)*IF(Skills!H4&gt;0,Skills!I4/Skills!H4,1)+IF(Skills!H4&gt;0,MIN(Skills!I4,MAX(0,MAX(0,Inputs!$B$43-B1245)-((R1212-1)*IF(Inputs!$B$38="pvp",15,MAX(0.1,Skills!D4-IF(Skills!E4=TRUE,1.0,0))))))/Skills!H4,1)))/Inputs!$B$43),G1212*Q1212))*IF(Inputs!$B$38="pvp",1,1+(Inputs!$B$20+0+Skills!P4)/100),0)</f>
        <v/>
      </c>
      <c r="U1212">
        <f>290*U1211/1000</f>
        <v/>
      </c>
      <c r="V1212">
        <f>IF(C1212,(H1212*N1212*IF(AND(Inputs!$B$38&lt;&gt;"pvp",Inputs!$B$43&gt;0),((Skills!G4*((R1212-1)*IF(Skills!H4&gt;0,Skills!I4/Skills!H4,1)+IF(Skills!H4&gt;0,MIN(Skills!I4,MAX(0,MAX(0,Inputs!$B$43-B1245)-((R1212-1)*IF(Inputs!$B$38="pvp",15,MAX(0.1,Skills!D4-IF(Skills!E4=TRUE,1.0,0))))))/Skills!H4,1)))/Inputs!$B$43),G1212*Q1212))*IF(Inputs!$B$38="pvp",1,(1+(Inputs!$B$21+Skills!Q4)/100)*(MIN(Skills!R4,Inputs!$B$37))),0)</f>
        <v/>
      </c>
    </row>
    <row r="1213">
      <c r="A1213">
        <f>Skills!A5</f>
        <v/>
      </c>
      <c r="B1213">
        <f>Skills!B5</f>
        <v/>
      </c>
      <c r="C1213">
        <f>Inputs!$B$3&gt;=45</f>
        <v/>
      </c>
      <c r="D1213">
        <f>IF(Skills!C5=1,60+Inputs!$B$25+Inputs!$B$29,IF(Skills!C5=2,90+Inputs!$B$26+Inputs!$B$29,IF(Skills!C5=3,120+Inputs!$B$27+Inputs!$B$29,MAX(0,(Inputs!$B$3-100)*3)+Inputs!$B$28+Inputs!$B$29)))</f>
        <v/>
      </c>
      <c r="E1213">
        <f>INDEX(FactorTable!$B$2:$Y$301, MATCH(ROUND(MIN(300,MAX(1,D1213)),0), FactorTable!$A$2:$A$301,0), Skills!M5+1)</f>
        <v/>
      </c>
      <c r="F1213">
        <f>IF(Skills!N5=TRUE,(Skills!L5/10)*(E1213/1000),Skills!L5/10)+Skills!O5</f>
        <v/>
      </c>
      <c r="G1213">
        <f>Skills!G5*IF(Skills!H5&gt;0,Skills!I5/Skills!H5,1)</f>
        <v/>
      </c>
      <c r="H1213">
        <f>1-(1-Skills!J5/100)^Skills!K5</f>
        <v/>
      </c>
      <c r="I1213" t="inlineStr">
        <is>
          <t>1</t>
        </is>
      </c>
      <c r="J1213">
        <f>((Inputs!$B$6*(1+Inputs!$B$7/100))+(((Inputs!$B$12*(1+Inputs!$B$13/100))-(Inputs!$B$12*(1+Inputs!$B$13/100)))+0.25*(Inputs!$B$14-Inputs!$B$14))*(1+Inputs!$B$7/100))*(F1213/100)</f>
        <v/>
      </c>
      <c r="K1213">
        <f>J1213*(1+((Inputs!$B$12*(1+Inputs!$B$13/100))*0.01+Inputs!$B$14*0.0025)/100)*(1+Inputs!$B$15/100)*(1+Inputs!$B$16/100)*(5000/(6000+Inputs!$B$42*(1-(Inputs!$B$19+0)/100)))*(1+(Inputs!$B$24+((C1234=TRUE)*(F1234-Calc!F26))+B1244)/100)*(1+0.4*IF(C1224=TRUE,F1224,0)/100)*(1+(IF(Skills!A5="EIGHT_LEGS_EASTON",Inputs!$B$17+((C1231=TRUE)*(F1231-Calc!F23))+((C1235=TRUE)*(F1235-Calc!F27)),Inputs!$B$18+0))/100)*((1+(((C1225=TRUE)*F1225)+((C1232=TRUE)*(F1232-Calc!F24)))/100)*I1213)</f>
        <v/>
      </c>
      <c r="L1213">
        <f>K1213*(MIN(Inputs!$B$22+((C1230=TRUE)*(F1230-Calc!F22)),Inputs!$B$23+0)/100+(Inputs!$B$23+0)/100)/2</f>
        <v/>
      </c>
      <c r="M1213">
        <f>L1213*(1+(Inputs!$B$10+((C1233=TRUE)*(F1233-Calc!F25))+B1243)/100)</f>
        <v/>
      </c>
      <c r="N1213">
        <f>L1213*(1-MIN((Inputs!$B$9+((C1227=TRUE)*(F1227-Calc!F19))+B1238),100)/100)+M1213*(MIN((Inputs!$B$9+((C1227=TRUE)*(F1227-Calc!F19))+B1238),100)/100)</f>
        <v/>
      </c>
      <c r="O1213">
        <f>(1-Summary!$B$55)*T1213+Summary!$B$55*V1213</f>
        <v/>
      </c>
      <c r="P1213">
        <f>IF(B1248=0,0,O1213/B1248)</f>
        <v/>
      </c>
      <c r="Q1213">
        <f>IFERROR(1/IF(Inputs!$B$38="pvp",15,MAX(0.1,Skills!D5-IF(Skills!E5=TRUE,1.0,0))),0)</f>
        <v/>
      </c>
      <c r="R1213">
        <f>IF(AND(Inputs!$B$38&lt;&gt;"pvp",Inputs!$B$43&gt;0),IF(MAX(0,Inputs!$B$43-B1245)&lt;=0,0,(INT(MAX(0,Inputs!$B$43-B1245)/IF(Inputs!$B$38="pvp",15,MAX(0.1,Skills!D5-IF(Skills!E5=TRUE,1.0,0))))+1)),0)</f>
        <v/>
      </c>
      <c r="S1213">
        <f>IFERROR(O1213/N1213,0)</f>
        <v/>
      </c>
      <c r="T1213">
        <f>IF(C1213,(H1213*N1213*IF(AND(Inputs!$B$38&lt;&gt;"pvp",Inputs!$B$43&gt;0),((Skills!G5*((R1213-1)*IF(Skills!H5&gt;0,Skills!I5/Skills!H5,1)+IF(Skills!H5&gt;0,MIN(Skills!I5,MAX(0,MAX(0,Inputs!$B$43-B1245)-((R1213-1)*IF(Inputs!$B$38="pvp",15,MAX(0.1,Skills!D5-IF(Skills!E5=TRUE,1.0,0))))))/Skills!H5,1)))/Inputs!$B$43),G1213*Q1213))*IF(Inputs!$B$38="pvp",1,1+(Inputs!$B$20+0+Skills!P5)/100),0)</f>
        <v/>
      </c>
      <c r="V1213">
        <f>IF(C1213,(H1213*N1213*IF(AND(Inputs!$B$38&lt;&gt;"pvp",Inputs!$B$43&gt;0),((Skills!G5*((R1213-1)*IF(Skills!H5&gt;0,Skills!I5/Skills!H5,1)+IF(Skills!H5&gt;0,MIN(Skills!I5,MAX(0,MAX(0,Inputs!$B$43-B1245)-((R1213-1)*IF(Inputs!$B$38="pvp",15,MAX(0.1,Skills!D5-IF(Skills!E5=TRUE,1.0,0))))))/Skills!H5,1)))/Inputs!$B$43),G1213*Q1213))*IF(Inputs!$B$38="pvp",1,(1+(Inputs!$B$21+Skills!Q5)/100)*(MIN(Skills!R5,Inputs!$B$37))),0)</f>
        <v/>
      </c>
    </row>
    <row r="1214">
      <c r="A1214">
        <f>Skills!A6</f>
        <v/>
      </c>
      <c r="B1214">
        <f>Skills!B6</f>
        <v/>
      </c>
      <c r="C1214">
        <f>Inputs!$B$3&gt;=63</f>
        <v/>
      </c>
      <c r="D1214">
        <f>IF(Skills!C6=1,60+Inputs!$B$25+Inputs!$B$29,IF(Skills!C6=2,90+Inputs!$B$26+Inputs!$B$29,IF(Skills!C6=3,120+Inputs!$B$27+Inputs!$B$29,MAX(0,(Inputs!$B$3-100)*3)+Inputs!$B$28+Inputs!$B$29)))</f>
        <v/>
      </c>
      <c r="E1214">
        <f>INDEX(FactorTable!$B$2:$Y$301, MATCH(ROUND(MIN(300,MAX(1,D1214)),0), FactorTable!$A$2:$A$301,0), Skills!M6+1)</f>
        <v/>
      </c>
      <c r="F1214">
        <f>IF(Skills!N6=TRUE,(Skills!L6/10)*(E1214/1000),Skills!L6/10)+Skills!O6</f>
        <v/>
      </c>
      <c r="G1214">
        <f>Skills!G6*IF(Skills!H6&gt;0,Skills!I6/Skills!H6,1)</f>
        <v/>
      </c>
      <c r="H1214">
        <f>1-(1-Skills!J6/100)^Skills!K6</f>
        <v/>
      </c>
      <c r="I1214" t="inlineStr">
        <is>
          <t>1</t>
        </is>
      </c>
      <c r="J1214">
        <f>((Inputs!$B$6*(1+Inputs!$B$7/100))+(((Inputs!$B$12*(1+Inputs!$B$13/100))-(Inputs!$B$12*(1+Inputs!$B$13/100)))+0.25*(Inputs!$B$14-Inputs!$B$14))*(1+Inputs!$B$7/100))*(F1214/100)</f>
        <v/>
      </c>
      <c r="K1214">
        <f>J1214*(1+((Inputs!$B$12*(1+Inputs!$B$13/100))*0.01+Inputs!$B$14*0.0025)/100)*(1+Inputs!$B$15/100)*(1+Inputs!$B$16/100)*(5000/(6000+Inputs!$B$42*(1-(Inputs!$B$19+0)/100)))*(1+(Inputs!$B$24+((C1234=TRUE)*(F1234-Calc!F26))+B1244)/100)*(1+2.0*IF(C1223=TRUE,F1223,0)/100)*(1+(IF(Skills!A6="EIGHT_LEGS_EASTON",Inputs!$B$17+((C1231=TRUE)*(F1231-Calc!F23))+((C1235=TRUE)*(F1235-Calc!F27)),Inputs!$B$18+0))/100)*((1+(((C1225=TRUE)*F1225)+((C1232=TRUE)*(F1232-Calc!F24)))/100)*I1214)</f>
        <v/>
      </c>
      <c r="L1214">
        <f>K1214*(MIN(Inputs!$B$22+((C1230=TRUE)*(F1230-Calc!F22)),Inputs!$B$23+0)/100+(Inputs!$B$23+0)/100)/2</f>
        <v/>
      </c>
      <c r="M1214">
        <f>L1214*(1+(Inputs!$B$10+((C1233=TRUE)*(F1233-Calc!F25))+B1243)/100)</f>
        <v/>
      </c>
      <c r="N1214">
        <f>L1214*(1-MIN((Inputs!$B$9+((C1227=TRUE)*(F1227-Calc!F19))+B1238),100)/100)+M1214*(MIN((Inputs!$B$9+((C1227=TRUE)*(F1227-Calc!F19))+B1238),100)/100)</f>
        <v/>
      </c>
      <c r="O1214">
        <f>(1-Summary!$B$55)*T1214+Summary!$B$55*V1214</f>
        <v/>
      </c>
      <c r="P1214">
        <f>IF(B1248=0,0,O1214/B1248)</f>
        <v/>
      </c>
      <c r="Q1214">
        <f>IFERROR(1/IF(Inputs!$B$38="pvp",15,MAX(0.1,Skills!D6-IF(Skills!E6=TRUE,1.0,0))),0)</f>
        <v/>
      </c>
      <c r="R1214">
        <f>IF(AND(Inputs!$B$38&lt;&gt;"pvp",Inputs!$B$43&gt;0),IF(MAX(0,Inputs!$B$43-B1245)&lt;=0,0,(INT(MAX(0,Inputs!$B$43-B1245)/IF(Inputs!$B$38="pvp",15,MAX(0.1,Skills!D6-IF(Skills!E6=TRUE,1.0,0))))+1)),0)</f>
        <v/>
      </c>
      <c r="S1214">
        <f>IFERROR(O1214/N1214,0)</f>
        <v/>
      </c>
      <c r="T1214">
        <f>IF(C1214,(H1214*N1214*IF(AND(Inputs!$B$38&lt;&gt;"pvp",Inputs!$B$43&gt;0),((Skills!G6*((R1214-1)*IF(Skills!H6&gt;0,Skills!I6/Skills!H6,1)+IF(Skills!H6&gt;0,MIN(Skills!I6,MAX(0,MAX(0,Inputs!$B$43-B1245)-((R1214-1)*IF(Inputs!$B$38="pvp",15,MAX(0.1,Skills!D6-IF(Skills!E6=TRUE,1.0,0))))))/Skills!H6,1)))/Inputs!$B$43),G1214*Q1214))*IF(Inputs!$B$38="pvp",1,1+(Inputs!$B$20+0+Skills!P6)/100),0)</f>
        <v/>
      </c>
      <c r="V1214">
        <f>IF(C1214,(H1214*N1214*IF(AND(Inputs!$B$38&lt;&gt;"pvp",Inputs!$B$43&gt;0),((Skills!G6*((R1214-1)*IF(Skills!H6&gt;0,Skills!I6/Skills!H6,1)+IF(Skills!H6&gt;0,MIN(Skills!I6,MAX(0,MAX(0,Inputs!$B$43-B1245)-((R1214-1)*IF(Inputs!$B$38="pvp",15,MAX(0.1,Skills!D6-IF(Skills!E6=TRUE,1.0,0))))))/Skills!H6,1)))/Inputs!$B$43),G1214*Q1214))*IF(Inputs!$B$38="pvp",1,(1+(Inputs!$B$21+Skills!Q6)/100)*(MIN(Skills!R6,Inputs!$B$37))),0)</f>
        <v/>
      </c>
    </row>
    <row r="1215">
      <c r="A1215">
        <f>Skills!A7</f>
        <v/>
      </c>
      <c r="B1215">
        <f>Skills!B7</f>
        <v/>
      </c>
      <c r="C1215">
        <f>Inputs!$B$3&gt;=66</f>
        <v/>
      </c>
      <c r="D1215">
        <f>IF(Skills!C7=1,60+Inputs!$B$25+Inputs!$B$29,IF(Skills!C7=2,90+Inputs!$B$26+Inputs!$B$29,IF(Skills!C7=3,120+Inputs!$B$27+Inputs!$B$29,MAX(0,(Inputs!$B$3-100)*3)+Inputs!$B$28+Inputs!$B$29)))</f>
        <v/>
      </c>
      <c r="E1215">
        <f>INDEX(FactorTable!$B$2:$Y$301, MATCH(ROUND(MIN(300,MAX(1,D1215)),0), FactorTable!$A$2:$A$301,0), Skills!M7+1)</f>
        <v/>
      </c>
      <c r="F1215">
        <f>IF(Skills!N7=TRUE,(Skills!L7/10)*(E1215/1000),Skills!L7/10)+Skills!O7</f>
        <v/>
      </c>
      <c r="G1215">
        <f>Skills!G7*IF(Skills!H7&gt;0,Skills!I7/Skills!H7,1)</f>
        <v/>
      </c>
      <c r="H1215">
        <f>1-(1-Skills!J7/100)^Skills!K7</f>
        <v/>
      </c>
      <c r="I1215" t="inlineStr">
        <is>
          <t>1</t>
        </is>
      </c>
      <c r="J1215">
        <f>((Inputs!$B$6*(1+Inputs!$B$7/100))+(((Inputs!$B$12*(1+Inputs!$B$13/100))-(Inputs!$B$12*(1+Inputs!$B$13/100)))+0.25*(Inputs!$B$14-Inputs!$B$14))*(1+Inputs!$B$7/100))*(F1215/100)</f>
        <v/>
      </c>
      <c r="K1215">
        <f>J1215*(1+((Inputs!$B$12*(1+Inputs!$B$13/100))*0.01+Inputs!$B$14*0.0025)/100)*(1+Inputs!$B$15/100)*(1+Inputs!$B$16/100)*(5000/(6000+Inputs!$B$42*(1-(Inputs!$B$19+0)/100)))*(1+(Inputs!$B$24+((C1234=TRUE)*(F1234-Calc!F26))+B1244)/100)*(1+1.0*IF(C1223=TRUE,F1223,0)/100)*(1+(IF(Skills!A7="EIGHT_LEGS_EASTON",Inputs!$B$17+((C1231=TRUE)*(F1231-Calc!F23))+((C1235=TRUE)*(F1235-Calc!F27)),Inputs!$B$18+0))/100)*((1+(((C1225=TRUE)*F1225)+((C1232=TRUE)*(F1232-Calc!F24)))/100)*I1215)</f>
        <v/>
      </c>
      <c r="L1215">
        <f>K1215*(MIN(Inputs!$B$22+((C1230=TRUE)*(F1230-Calc!F22)),Inputs!$B$23+0)/100+(Inputs!$B$23+0)/100)/2</f>
        <v/>
      </c>
      <c r="M1215">
        <f>L1215*(1+(Inputs!$B$10+((C1233=TRUE)*(F1233-Calc!F25))+B1243)/100)</f>
        <v/>
      </c>
      <c r="N1215">
        <f>L1215*(1-MIN((Inputs!$B$9+((C1227=TRUE)*(F1227-Calc!F19))+B1238),100)/100)+M1215*(MIN((Inputs!$B$9+((C1227=TRUE)*(F1227-Calc!F19))+B1238),100)/100)</f>
        <v/>
      </c>
      <c r="O1215">
        <f>(1-Summary!$B$55)*T1215+Summary!$B$55*V1215</f>
        <v/>
      </c>
      <c r="P1215">
        <f>IF(B1248=0,0,O1215/B1248)</f>
        <v/>
      </c>
      <c r="Q1215">
        <f>IFERROR(1/IF(Inputs!$B$38="pvp",15,MAX(0.1,Skills!D7-IF(Skills!E7=TRUE,1.0,0))),0)</f>
        <v/>
      </c>
      <c r="R1215">
        <f>IF(AND(Inputs!$B$38&lt;&gt;"pvp",Inputs!$B$43&gt;0),IF(MAX(0,Inputs!$B$43-B1245)&lt;=0,0,(INT(MAX(0,Inputs!$B$43-B1245)/IF(Inputs!$B$38="pvp",15,MAX(0.1,Skills!D7-IF(Skills!E7=TRUE,1.0,0))))+1)),0)</f>
        <v/>
      </c>
      <c r="S1215">
        <f>IFERROR(O1215/N1215,0)</f>
        <v/>
      </c>
      <c r="T1215">
        <f>IF(C1215,(H1215*N1215*IF(AND(Inputs!$B$38&lt;&gt;"pvp",Inputs!$B$43&gt;0),((Skills!G7*((R1215-1)*IF(Skills!H7&gt;0,Skills!I7/Skills!H7,1)+IF(Skills!H7&gt;0,MIN(Skills!I7,MAX(0,MAX(0,Inputs!$B$43-B1245)-((R1215-1)*IF(Inputs!$B$38="pvp",15,MAX(0.1,Skills!D7-IF(Skills!E7=TRUE,1.0,0))))))/Skills!H7,1)))/Inputs!$B$43),G1215*Q1215))*IF(Inputs!$B$38="pvp",1,1+(Inputs!$B$20+0+Skills!P7)/100),0)</f>
        <v/>
      </c>
      <c r="V1215">
        <f>IF(C1215,(H1215*N1215*IF(AND(Inputs!$B$38&lt;&gt;"pvp",Inputs!$B$43&gt;0),((Skills!G7*((R1215-1)*IF(Skills!H7&gt;0,Skills!I7/Skills!H7,1)+IF(Skills!H7&gt;0,MIN(Skills!I7,MAX(0,MAX(0,Inputs!$B$43-B1245)-((R1215-1)*IF(Inputs!$B$38="pvp",15,MAX(0.1,Skills!D7-IF(Skills!E7=TRUE,1.0,0))))))/Skills!H7,1)))/Inputs!$B$43),G1215*Q1215))*IF(Inputs!$B$38="pvp",1,(1+(Inputs!$B$21+Skills!Q7)/100)*(MIN(Skills!R7,Inputs!$B$37))),0)</f>
        <v/>
      </c>
    </row>
    <row r="1216">
      <c r="A1216">
        <f>Skills!A8</f>
        <v/>
      </c>
      <c r="B1216">
        <f>Skills!B8</f>
        <v/>
      </c>
      <c r="C1216">
        <f>Inputs!$B$3&gt;=100</f>
        <v/>
      </c>
      <c r="D1216">
        <f>IF(Skills!C8=1,60+Inputs!$B$25+Inputs!$B$29,IF(Skills!C8=2,90+Inputs!$B$26+Inputs!$B$29,IF(Skills!C8=3,120+Inputs!$B$27+Inputs!$B$29,MAX(0,(Inputs!$B$3-100)*3)+Inputs!$B$28+Inputs!$B$29)))</f>
        <v/>
      </c>
      <c r="E1216">
        <f>INDEX(FactorTable!$B$2:$Y$301, MATCH(ROUND(MIN(300,MAX(1,D1216)),0), FactorTable!$A$2:$A$301,0), Skills!M8+1)</f>
        <v/>
      </c>
      <c r="F1216">
        <f>IF(Skills!N8=TRUE,(Skills!L8/10)*(E1216/1000),Skills!L8/10)+Skills!O8</f>
        <v/>
      </c>
      <c r="G1216">
        <f>Skills!G8*IF(Skills!H8&gt;0,Skills!I8/Skills!H8,1)</f>
        <v/>
      </c>
      <c r="H1216">
        <f>1-(1-Skills!J8/100)^Skills!K8</f>
        <v/>
      </c>
      <c r="I1216" t="inlineStr">
        <is>
          <t>1</t>
        </is>
      </c>
      <c r="J1216">
        <f>((Inputs!$B$6*(1+Inputs!$B$7/100))+(((Inputs!$B$12*(1+Inputs!$B$13/100))-(Inputs!$B$12*(1+Inputs!$B$13/100)))+0.25*(Inputs!$B$14-Inputs!$B$14))*(1+Inputs!$B$7/100))*(F1216/100)</f>
        <v/>
      </c>
      <c r="K1216">
        <f>J1216*(1+((Inputs!$B$12*(1+Inputs!$B$13/100))*0.01+Inputs!$B$14*0.0025)/100)*(1+Inputs!$B$15/100)*(1+Inputs!$B$16/100)*(5000/(6000+Inputs!$B$42*(1-(Inputs!$B$19+0)/100)))*(1+(Inputs!$B$24+((C1234=TRUE)*(F1234-Calc!F26))+B1244)/100)*(1+(IF(Skills!A8="EIGHT_LEGS_EASTON",Inputs!$B$17+((C1231=TRUE)*(F1231-Calc!F23))+((C1235=TRUE)*(F1235-Calc!F27)),Inputs!$B$18+0))/100)*((1+(((C1225=TRUE)*F1225)+((C1232=TRUE)*(F1232-Calc!F24)))/100)*I1216)</f>
        <v/>
      </c>
      <c r="L1216">
        <f>K1216*(MIN(Inputs!$B$22+((C1230=TRUE)*(F1230-Calc!F22)),Inputs!$B$23+0)/100+(Inputs!$B$23+0)/100)/2</f>
        <v/>
      </c>
      <c r="M1216">
        <f>L1216*(1+(Inputs!$B$10+((C1233=TRUE)*(F1233-Calc!F25))+B1243)/100)</f>
        <v/>
      </c>
      <c r="N1216">
        <f>L1216*(1-MIN((Inputs!$B$9+((C1227=TRUE)*(F1227-Calc!F19))+B1238),100)/100)+M1216*(MIN((Inputs!$B$9+((C1227=TRUE)*(F1227-Calc!F19))+B1238),100)/100)</f>
        <v/>
      </c>
      <c r="O1216">
        <f>(1-Summary!$B$55)*T1216+Summary!$B$55*V1216</f>
        <v/>
      </c>
      <c r="P1216">
        <f>IF(B1248=0,0,O1216/B1248)</f>
        <v/>
      </c>
      <c r="Q1216">
        <f>IFERROR(1/IF(Inputs!$B$38="pvp",15,MAX(0.1,Skills!D8-IF(Skills!E8=TRUE,1.0,0))),0)</f>
        <v/>
      </c>
      <c r="R1216">
        <f>IF(AND(Inputs!$B$38&lt;&gt;"pvp",Inputs!$B$43&gt;0),IF(MAX(0,Inputs!$B$43-B1245)&lt;=0,0,(INT(MAX(0,Inputs!$B$43-B1245)/IF(Inputs!$B$38="pvp",15,MAX(0.1,Skills!D8-IF(Skills!E8=TRUE,1.0,0))))+1)),0)</f>
        <v/>
      </c>
      <c r="S1216">
        <f>IFERROR(O1216/N1216,0)</f>
        <v/>
      </c>
      <c r="T1216">
        <f>IF(C1216,(H1216*N1216*IF(AND(Inputs!$B$38&lt;&gt;"pvp",Inputs!$B$43&gt;0),((Skills!G8*((R1216-1)*IF(Skills!H8&gt;0,Skills!I8/Skills!H8,1)+IF(Skills!H8&gt;0,MIN(Skills!I8,MAX(0,MAX(0,Inputs!$B$43-B1245)-((R1216-1)*IF(Inputs!$B$38="pvp",15,MAX(0.1,Skills!D8-IF(Skills!E8=TRUE,1.0,0))))))/Skills!H8,1)))/Inputs!$B$43),G1216*Q1216))*IF(Inputs!$B$38="pvp",1,1+(Inputs!$B$20+0+Skills!P8)/100),0)</f>
        <v/>
      </c>
      <c r="V1216">
        <f>IF(C1216,(H1216*N1216*IF(AND(Inputs!$B$38&lt;&gt;"pvp",Inputs!$B$43&gt;0),((Skills!G8*((R1216-1)*IF(Skills!H8&gt;0,Skills!I8/Skills!H8,1)+IF(Skills!H8&gt;0,MIN(Skills!I8,MAX(0,MAX(0,Inputs!$B$43-B1245)-((R1216-1)*IF(Inputs!$B$38="pvp",15,MAX(0.1,Skills!D8-IF(Skills!E8=TRUE,1.0,0))))))/Skills!H8,1)))/Inputs!$B$43),G1216*Q1216))*IF(Inputs!$B$38="pvp",1,(1+(Inputs!$B$21+Skills!Q8)/100)*(MIN(Skills!R8,Inputs!$B$37))),0)</f>
        <v/>
      </c>
    </row>
    <row r="1217">
      <c r="A1217">
        <f>Skills!A9</f>
        <v/>
      </c>
      <c r="B1217">
        <f>Skills!B9</f>
        <v/>
      </c>
      <c r="C1217">
        <f>Inputs!$B$3&gt;=103</f>
        <v/>
      </c>
      <c r="D1217">
        <f>IF(Skills!C9=1,60+Inputs!$B$25+Inputs!$B$29,IF(Skills!C9=2,90+Inputs!$B$26+Inputs!$B$29,IF(Skills!C9=3,120+Inputs!$B$27+Inputs!$B$29,MAX(0,(Inputs!$B$3-100)*3)+Inputs!$B$28+Inputs!$B$29)))</f>
        <v/>
      </c>
      <c r="E1217">
        <f>INDEX(FactorTable!$B$2:$Y$301, MATCH(ROUND(MIN(300,MAX(1,D1217)),0), FactorTable!$A$2:$A$301,0), Skills!M9+1)</f>
        <v/>
      </c>
      <c r="F1217">
        <f>IF(Skills!N9=TRUE,(Skills!L9/10)*(E1217/1000),Skills!L9/10)+Skills!O9</f>
        <v/>
      </c>
      <c r="G1217">
        <f>Skills!G9*IF(Skills!H9&gt;0,Skills!I9/Skills!H9,1)</f>
        <v/>
      </c>
      <c r="H1217">
        <f>1-(1-Skills!J9/100)^Skills!K9</f>
        <v/>
      </c>
      <c r="I1217" t="inlineStr">
        <is>
          <t>1</t>
        </is>
      </c>
      <c r="J1217">
        <f>((Inputs!$B$6*(1+Inputs!$B$7/100))+(((Inputs!$B$12*(1+Inputs!$B$13/100))-(Inputs!$B$12*(1+Inputs!$B$13/100)))+0.25*(Inputs!$B$14-Inputs!$B$14))*(1+Inputs!$B$7/100))*(F1217/100)</f>
        <v/>
      </c>
      <c r="K1217">
        <f>J1217*(1+((Inputs!$B$12*(1+Inputs!$B$13/100))*0.01+Inputs!$B$14*0.0025)/100)*(1+Inputs!$B$15/100)*(1+Inputs!$B$16/100)*(5000/(6000+Inputs!$B$42*(1-(Inputs!$B$19+0)/100)))*(1+(Inputs!$B$24+((C1234=TRUE)*(F1234-Calc!F26))+B1244)/100)*(1+(IF(Skills!A9="EIGHT_LEGS_EASTON",Inputs!$B$17+((C1231=TRUE)*(F1231-Calc!F23))+((C1235=TRUE)*(F1235-Calc!F27)),Inputs!$B$18+0))/100)*((1+(((C1225=TRUE)*F1225)+((C1232=TRUE)*(F1232-Calc!F24)))/100)*I1217)</f>
        <v/>
      </c>
      <c r="L1217">
        <f>K1217*(MIN(Inputs!$B$22+((C1230=TRUE)*(F1230-Calc!F22)),Inputs!$B$23+0)/100+(Inputs!$B$23+0)/100)/2</f>
        <v/>
      </c>
      <c r="M1217">
        <f>L1217*(1+(Inputs!$B$10+((C1233=TRUE)*(F1233-Calc!F25))+B1243)/100)</f>
        <v/>
      </c>
      <c r="N1217">
        <f>L1217*(1-MIN((Inputs!$B$9+((C1227=TRUE)*(F1227-Calc!F19))+B1238),100)/100)+M1217*(MIN((Inputs!$B$9+((C1227=TRUE)*(F1227-Calc!F19))+B1238),100)/100)</f>
        <v/>
      </c>
      <c r="O1217">
        <f>(1-Summary!$B$55)*T1217+Summary!$B$55*V1217</f>
        <v/>
      </c>
      <c r="P1217">
        <f>IF(B1248=0,0,O1217/B1248)</f>
        <v/>
      </c>
      <c r="Q1217">
        <f>IFERROR(1/IF(Inputs!$B$38="pvp",15,MAX(0.1,Skills!D9-IF(Skills!E9=TRUE,1.0,0))),0)</f>
        <v/>
      </c>
      <c r="R1217">
        <f>IF(AND(Inputs!$B$38&lt;&gt;"pvp",Inputs!$B$43&gt;0),IF(MAX(0,Inputs!$B$43-B1245)&lt;=0,0,(INT(MAX(0,Inputs!$B$43-B1245)/IF(Inputs!$B$38="pvp",15,MAX(0.1,Skills!D9-IF(Skills!E9=TRUE,1.0,0))))+1)),0)</f>
        <v/>
      </c>
      <c r="S1217">
        <f>IFERROR(O1217/N1217,0)</f>
        <v/>
      </c>
      <c r="T1217">
        <f>IF(C1217,(H1217*N1217*IF(AND(Inputs!$B$38&lt;&gt;"pvp",Inputs!$B$43&gt;0),((Skills!G9*((R1217-1)*IF(Skills!H9&gt;0,Skills!I9/Skills!H9,1)+IF(Skills!H9&gt;0,MIN(Skills!I9,MAX(0,MAX(0,Inputs!$B$43-B1245)-((R1217-1)*IF(Inputs!$B$38="pvp",15,MAX(0.1,Skills!D9-IF(Skills!E9=TRUE,1.0,0))))))/Skills!H9,1)))/Inputs!$B$43),G1217*Q1217))*IF(Inputs!$B$38="pvp",1,1+(Inputs!$B$20+0+Skills!P9)/100),0)</f>
        <v/>
      </c>
      <c r="V1217">
        <f>IF(C1217,(H1217*N1217*IF(AND(Inputs!$B$38&lt;&gt;"pvp",Inputs!$B$43&gt;0),((Skills!G9*((R1217-1)*IF(Skills!H9&gt;0,Skills!I9/Skills!H9,1)+IF(Skills!H9&gt;0,MIN(Skills!I9,MAX(0,MAX(0,Inputs!$B$43-B1245)-((R1217-1)*IF(Inputs!$B$38="pvp",15,MAX(0.1,Skills!D9-IF(Skills!E9=TRUE,1.0,0))))))/Skills!H9,1)))/Inputs!$B$43),G1217*Q1217))*IF(Inputs!$B$38="pvp",1,(1+(Inputs!$B$21+Skills!Q9)/100)*(MIN(Skills!R9,Inputs!$B$37))),0)</f>
        <v/>
      </c>
    </row>
    <row r="1218">
      <c r="A1218">
        <f>Skills!A10</f>
        <v/>
      </c>
      <c r="B1218">
        <f>Skills!B10</f>
        <v/>
      </c>
      <c r="C1218">
        <f>Inputs!$B$3&gt;=113</f>
        <v/>
      </c>
      <c r="D1218">
        <f>IF(Skills!C10=1,60+Inputs!$B$25+Inputs!$B$29,IF(Skills!C10=2,90+Inputs!$B$26+Inputs!$B$29,IF(Skills!C10=3,120+Inputs!$B$27+Inputs!$B$29,MAX(0,(Inputs!$B$3-100)*3)+Inputs!$B$28+Inputs!$B$29)))</f>
        <v/>
      </c>
      <c r="E1218">
        <f>INDEX(FactorTable!$B$2:$Y$301, MATCH(ROUND(MIN(300,MAX(1,D1218)),0), FactorTable!$A$2:$A$301,0), Skills!M10+1)</f>
        <v/>
      </c>
      <c r="F1218">
        <f>IF(Skills!N10=TRUE,(Skills!L10/10)*(E1218/1000),Skills!L10/10)+Skills!O10</f>
        <v/>
      </c>
      <c r="G1218">
        <f>Skills!G10*IF(Skills!H10&gt;0,Skills!I10/Skills!H10,1)</f>
        <v/>
      </c>
      <c r="H1218">
        <f>1-(1-Skills!J10/100)^Skills!K10</f>
        <v/>
      </c>
      <c r="I1218" t="inlineStr">
        <is>
          <t>1</t>
        </is>
      </c>
      <c r="J1218">
        <f>((Inputs!$B$6*(1+Inputs!$B$7/100))+(((Inputs!$B$12*(1+Inputs!$B$13/100))-(Inputs!$B$12*(1+Inputs!$B$13/100)))+0.25*(Inputs!$B$14-Inputs!$B$14))*(1+Inputs!$B$7/100))*(F1218/100)</f>
        <v/>
      </c>
      <c r="K1218">
        <f>J1218*(1+((Inputs!$B$12*(1+Inputs!$B$13/100))*0.01+Inputs!$B$14*0.0025)/100)*(1+Inputs!$B$15/100)*(1+Inputs!$B$16/100)*(5000/(6000+Inputs!$B$42*(1-(Inputs!$B$19+0)/100)))*(1+(Inputs!$B$24+((C1234=TRUE)*(F1234-Calc!F26))+B1244)/100)*(1+(IF(Skills!A10="EIGHT_LEGS_EASTON",Inputs!$B$17+((C1231=TRUE)*(F1231-Calc!F23))+((C1235=TRUE)*(F1235-Calc!F27)),Inputs!$B$18+0))/100)*((1+(((C1225=TRUE)*F1225)+((C1232=TRUE)*(F1232-Calc!F24)))/100)*I1218)</f>
        <v/>
      </c>
      <c r="L1218">
        <f>K1218*(MIN(Inputs!$B$22+((C1230=TRUE)*(F1230-Calc!F22)),Inputs!$B$23+0)/100+(Inputs!$B$23+0)/100)/2</f>
        <v/>
      </c>
      <c r="M1218">
        <f>L1218*(1+(Inputs!$B$10+((C1233=TRUE)*(F1233-Calc!F25))+B1243)/100)</f>
        <v/>
      </c>
      <c r="N1218">
        <f>L1218*(1-MIN((Inputs!$B$9+((C1227=TRUE)*(F1227-Calc!F19))+B1238),100)/100)+M1218*(MIN((Inputs!$B$9+((C1227=TRUE)*(F1227-Calc!F19))+B1238),100)/100)</f>
        <v/>
      </c>
      <c r="O1218">
        <f>(1-Summary!$B$55)*T1218+Summary!$B$55*V1218</f>
        <v/>
      </c>
      <c r="P1218">
        <f>IF(B1248=0,0,O1218/B1248)</f>
        <v/>
      </c>
      <c r="Q1218">
        <f>IFERROR(1/IF(Inputs!$B$38="pvp",15,MAX(0.1,Skills!D10-IF(Skills!E10=TRUE,1.0,0))),0)</f>
        <v/>
      </c>
      <c r="R1218">
        <f>IF(AND(Inputs!$B$38&lt;&gt;"pvp",Inputs!$B$43&gt;0),IF(MAX(0,Inputs!$B$43-B1245)&lt;=0,0,(INT(MAX(0,Inputs!$B$43-B1245)/IF(Inputs!$B$38="pvp",15,MAX(0.1,Skills!D10-IF(Skills!E10=TRUE,1.0,0))))+1)),0)</f>
        <v/>
      </c>
      <c r="S1218">
        <f>IFERROR(O1218/N1218,0)</f>
        <v/>
      </c>
      <c r="T1218">
        <f>IF(C1218,(H1218*N1218*IF(AND(Inputs!$B$38&lt;&gt;"pvp",Inputs!$B$43&gt;0),((Skills!G10*((R1218-1)*IF(Skills!H10&gt;0,Skills!I10/Skills!H10,1)+IF(Skills!H10&gt;0,MIN(Skills!I10,MAX(0,MAX(0,Inputs!$B$43-B1245)-((R1218-1)*IF(Inputs!$B$38="pvp",15,MAX(0.1,Skills!D10-IF(Skills!E10=TRUE,1.0,0))))))/Skills!H10,1)))/Inputs!$B$43),G1218*Q1218))*IF(Inputs!$B$38="pvp",1,1+(Inputs!$B$20+0+Skills!P10)/100),0)</f>
        <v/>
      </c>
      <c r="V1218">
        <f>IF(C1218,(H1218*N1218*IF(AND(Inputs!$B$38&lt;&gt;"pvp",Inputs!$B$43&gt;0),((Skills!G10*((R1218-1)*IF(Skills!H10&gt;0,Skills!I10/Skills!H10,1)+IF(Skills!H10&gt;0,MIN(Skills!I10,MAX(0,MAX(0,Inputs!$B$43-B1245)-((R1218-1)*IF(Inputs!$B$38="pvp",15,MAX(0.1,Skills!D10-IF(Skills!E10=TRUE,1.0,0))))))/Skills!H10,1)))/Inputs!$B$43),G1218*Q1218))*IF(Inputs!$B$38="pvp",1,(1+(Inputs!$B$21+Skills!Q10)/100)*(MIN(Skills!R10,Inputs!$B$37))),0)</f>
        <v/>
      </c>
    </row>
    <row r="1219">
      <c r="A1219">
        <f>Skills!A11</f>
        <v/>
      </c>
      <c r="B1219">
        <f>Skills!B11</f>
        <v/>
      </c>
      <c r="C1219">
        <f>Inputs!$B$3&gt;=107</f>
        <v/>
      </c>
      <c r="D1219">
        <f>IF(Skills!C11=1,60+Inputs!$B$25+Inputs!$B$29,IF(Skills!C11=2,90+Inputs!$B$26+Inputs!$B$29,IF(Skills!C11=3,120+Inputs!$B$27+Inputs!$B$29,MAX(0,(Inputs!$B$3-100)*3)+Inputs!$B$28+Inputs!$B$29)))</f>
        <v/>
      </c>
      <c r="E1219">
        <f>INDEX(FactorTable!$B$2:$Y$301, MATCH(ROUND(MIN(300,MAX(1,D1219)),0), FactorTable!$A$2:$A$301,0), Skills!M11+1)</f>
        <v/>
      </c>
      <c r="F1219">
        <f>IF(Skills!N11=TRUE,(Skills!L11/10)*(E1219/1000),Skills!L11/10)+Skills!O11</f>
        <v/>
      </c>
      <c r="G1219">
        <f>Skills!G11*IF(Skills!H11&gt;0,Skills!I11/Skills!H11,1)</f>
        <v/>
      </c>
      <c r="H1219">
        <f>1-(1-Skills!J11/100)^Skills!K11</f>
        <v/>
      </c>
      <c r="I1219" t="inlineStr">
        <is>
          <t>1</t>
        </is>
      </c>
      <c r="J1219">
        <f>((Inputs!$B$6*(1+Inputs!$B$7/100))+(((Inputs!$B$12*(1+Inputs!$B$13/100))-(Inputs!$B$12*(1+Inputs!$B$13/100)))+0.25*(Inputs!$B$14-Inputs!$B$14))*(1+Inputs!$B$7/100))*(F1219/100)</f>
        <v/>
      </c>
      <c r="K1219">
        <f>J1219*(1+((Inputs!$B$12*(1+Inputs!$B$13/100))*0.01+Inputs!$B$14*0.0025)/100)*(1+Inputs!$B$15/100)*(1+Inputs!$B$16/100)*(5000/(6000+Inputs!$B$42*(1-(Inputs!$B$19+0)/100)))*(1+(Inputs!$B$24+((C1234=TRUE)*(F1234-Calc!F26))+B1244)/100)*(1+(IF(Skills!A11="EIGHT_LEGS_EASTON",Inputs!$B$17+((C1231=TRUE)*(F1231-Calc!F23))+((C1235=TRUE)*(F1235-Calc!F27)),Inputs!$B$18+0))/100)*((1+(((C1225=TRUE)*F1225)+((C1232=TRUE)*(F1232-Calc!F24)))/100)*I1219)</f>
        <v/>
      </c>
      <c r="L1219">
        <f>K1219*(MIN(Inputs!$B$22+((C1230=TRUE)*(F1230-Calc!F22)),Inputs!$B$23+0)/100+(Inputs!$B$23+0)/100)/2</f>
        <v/>
      </c>
      <c r="M1219">
        <f>L1219*(1+(Inputs!$B$10+((C1233=TRUE)*(F1233-Calc!F25))+B1243)/100)</f>
        <v/>
      </c>
      <c r="N1219">
        <f>L1219*(1-MIN((Inputs!$B$9+((C1227=TRUE)*(F1227-Calc!F19))+B1238),100)/100)+M1219*(MIN((Inputs!$B$9+((C1227=TRUE)*(F1227-Calc!F19))+B1238),100)/100)</f>
        <v/>
      </c>
      <c r="O1219">
        <f>(1-Summary!$B$55)*T1219+Summary!$B$55*V1219</f>
        <v/>
      </c>
      <c r="P1219">
        <f>IF(B1248=0,0,O1219/B1248)</f>
        <v/>
      </c>
      <c r="Q1219">
        <f>IFERROR(1/IF(Inputs!$B$38="pvp",15,MAX(0.1,Skills!D11-IF(Skills!E11=TRUE,1.0,0))),0)</f>
        <v/>
      </c>
      <c r="R1219">
        <f>IF(AND(Inputs!$B$38&lt;&gt;"pvp",Inputs!$B$43&gt;0),IF(MAX(0,Inputs!$B$43-B1245)&lt;=0,0,(INT(MAX(0,Inputs!$B$43-B1245)/IF(Inputs!$B$38="pvp",15,MAX(0.1,Skills!D11-IF(Skills!E11=TRUE,1.0,0))))+1)),0)</f>
        <v/>
      </c>
      <c r="S1219">
        <f>IFERROR(O1219/N1219,0)</f>
        <v/>
      </c>
      <c r="T1219">
        <f>IF(C1219,(H1219*N1219*IF(AND(Inputs!$B$38&lt;&gt;"pvp",Inputs!$B$43&gt;0),((Skills!G11*((R1219-1)*IF(Skills!H11&gt;0,Skills!I11/Skills!H11,1)+IF(Skills!H11&gt;0,MIN(Skills!I11,MAX(0,MAX(0,Inputs!$B$43-B1245)-((R1219-1)*IF(Inputs!$B$38="pvp",15,MAX(0.1,Skills!D11-IF(Skills!E11=TRUE,1.0,0))))))/Skills!H11,1)))/Inputs!$B$43),G1219*Q1219))*IF(Inputs!$B$38="pvp",1,1+(Inputs!$B$20+0+Skills!P11)/100),0)</f>
        <v/>
      </c>
      <c r="V1219">
        <f>IF(C1219,(H1219*N1219*IF(AND(Inputs!$B$38&lt;&gt;"pvp",Inputs!$B$43&gt;0),((Skills!G11*((R1219-1)*IF(Skills!H11&gt;0,Skills!I11/Skills!H11,1)+IF(Skills!H11&gt;0,MIN(Skills!I11,MAX(0,MAX(0,Inputs!$B$43-B1245)-((R1219-1)*IF(Inputs!$B$38="pvp",15,MAX(0.1,Skills!D11-IF(Skills!E11=TRUE,1.0,0))))))/Skills!H11,1)))/Inputs!$B$43),G1219*Q1219))*IF(Inputs!$B$38="pvp",1,(1+(Inputs!$B$21+Skills!Q11)/100)*(MIN(Skills!R11,Inputs!$B$37))),0)</f>
        <v/>
      </c>
    </row>
    <row r="1220">
      <c r="A1220">
        <f>Skills!A12</f>
        <v/>
      </c>
      <c r="B1220">
        <f>Skills!B12</f>
        <v/>
      </c>
      <c r="C1220">
        <f>Inputs!$B$3&gt;=110</f>
        <v/>
      </c>
      <c r="D1220">
        <f>IF(Skills!C12=1,60+Inputs!$B$25+Inputs!$B$29,IF(Skills!C12=2,90+Inputs!$B$26+Inputs!$B$29,IF(Skills!C12=3,120+Inputs!$B$27+Inputs!$B$29,MAX(0,(Inputs!$B$3-100)*3)+Inputs!$B$28+Inputs!$B$29)))</f>
        <v/>
      </c>
      <c r="E1220">
        <f>INDEX(FactorTable!$B$2:$Y$301, MATCH(ROUND(MIN(300,MAX(1,D1220)),0), FactorTable!$A$2:$A$301,0), Skills!M12+1)</f>
        <v/>
      </c>
      <c r="F1220">
        <f>IF(Skills!N12=TRUE,(Skills!L12/10)*(E1220/1000),Skills!L12/10)+Skills!O12</f>
        <v/>
      </c>
      <c r="G1220">
        <f>Skills!G12*IF(Skills!H12&gt;0,Skills!I12/Skills!H12,1)</f>
        <v/>
      </c>
      <c r="H1220">
        <f>1-(1-Skills!J12/100)^Skills!K12</f>
        <v/>
      </c>
      <c r="I1220" t="inlineStr">
        <is>
          <t>1</t>
        </is>
      </c>
      <c r="J1220">
        <f>((Inputs!$B$6*(1+Inputs!$B$7/100))+(((Inputs!$B$12*(1+Inputs!$B$13/100))-(Inputs!$B$12*(1+Inputs!$B$13/100)))+0.25*(Inputs!$B$14-Inputs!$B$14))*(1+Inputs!$B$7/100))*(F1220/100)</f>
        <v/>
      </c>
      <c r="K1220">
        <f>J1220*(1+((Inputs!$B$12*(1+Inputs!$B$13/100))*0.01+Inputs!$B$14*0.0025)/100)*(1+Inputs!$B$15/100)*(1+Inputs!$B$16/100)*(5000/(6000+Inputs!$B$42*(1-(Inputs!$B$19+0)/100)))*(1+(Inputs!$B$24+((C1234=TRUE)*(F1234-Calc!F26))+B1244)/100)*(1+(IF(Skills!A12="EIGHT_LEGS_EASTON",Inputs!$B$17+((C1231=TRUE)*(F1231-Calc!F23))+((C1235=TRUE)*(F1235-Calc!F27)),Inputs!$B$18+0))/100)*((1+(((C1225=TRUE)*F1225)+((C1232=TRUE)*(F1232-Calc!F24)))/100)*I1220)</f>
        <v/>
      </c>
      <c r="L1220">
        <f>K1220*(MIN(Inputs!$B$22+((C1230=TRUE)*(F1230-Calc!F22)),Inputs!$B$23+0)/100+(Inputs!$B$23+0)/100)/2</f>
        <v/>
      </c>
      <c r="M1220">
        <f>L1220*(1+(Inputs!$B$10+((C1233=TRUE)*(F1233-Calc!F25))+B1243)/100)</f>
        <v/>
      </c>
      <c r="N1220">
        <f>L1220*(1-MIN((Inputs!$B$9+((C1227=TRUE)*(F1227-Calc!F19))+B1238),100)/100)+M1220*(MIN((Inputs!$B$9+((C1227=TRUE)*(F1227-Calc!F19))+B1238),100)/100)</f>
        <v/>
      </c>
      <c r="O1220">
        <f>(1-Summary!$B$55)*T1220+Summary!$B$55*V1220</f>
        <v/>
      </c>
      <c r="P1220">
        <f>IF(B1248=0,0,O1220/B1248)</f>
        <v/>
      </c>
      <c r="Q1220">
        <f>IFERROR(1/IF(Inputs!$B$38="pvp",15,MAX(0.1,Skills!D12-IF(Skills!E12=TRUE,1.0,0))),0)</f>
        <v/>
      </c>
      <c r="R1220">
        <f>IF(AND(Inputs!$B$38&lt;&gt;"pvp",Inputs!$B$43&gt;0),IF(MAX(0,Inputs!$B$43-B1245)&lt;=0,0,(INT(MAX(0,Inputs!$B$43-B1245)/IF(Inputs!$B$38="pvp",15,MAX(0.1,Skills!D12-IF(Skills!E12=TRUE,1.0,0))))+1)),0)</f>
        <v/>
      </c>
      <c r="S1220">
        <f>IFERROR(O1220/N1220,0)</f>
        <v/>
      </c>
      <c r="T1220">
        <f>IF(C1220,(H1220*N1220*IF(AND(Inputs!$B$38&lt;&gt;"pvp",Inputs!$B$43&gt;0),((Skills!G12*((R1220-1)*IF(Skills!H12&gt;0,Skills!I12/Skills!H12,1)+IF(Skills!H12&gt;0,MIN(Skills!I12,MAX(0,MAX(0,Inputs!$B$43-B1245)-((R1220-1)*IF(Inputs!$B$38="pvp",15,MAX(0.1,Skills!D12-IF(Skills!E12=TRUE,1.0,0))))))/Skills!H12,1)))/Inputs!$B$43),G1220*Q1220))*IF(Inputs!$B$38="pvp",1,1+(Inputs!$B$20+0+Skills!P12)/100),0)</f>
        <v/>
      </c>
      <c r="V1220">
        <f>IF(C1220,(H1220*N1220*IF(AND(Inputs!$B$38&lt;&gt;"pvp",Inputs!$B$43&gt;0),((Skills!G12*((R1220-1)*IF(Skills!H12&gt;0,Skills!I12/Skills!H12,1)+IF(Skills!H12&gt;0,MIN(Skills!I12,MAX(0,MAX(0,Inputs!$B$43-B1245)-((R1220-1)*IF(Inputs!$B$38="pvp",15,MAX(0.1,Skills!D12-IF(Skills!E12=TRUE,1.0,0))))))/Skills!H12,1)))/Inputs!$B$43),G1220*Q1220))*IF(Inputs!$B$38="pvp",1,(1+(Inputs!$B$21+Skills!Q12)/100)*(MIN(Skills!R12,Inputs!$B$37))),0)</f>
        <v/>
      </c>
    </row>
    <row r="1221">
      <c r="A1221">
        <f>Skills!A13</f>
        <v/>
      </c>
      <c r="B1221">
        <f>Skills!B13</f>
        <v/>
      </c>
      <c r="C1221">
        <f>Inputs!$B$3&gt;=110</f>
        <v/>
      </c>
      <c r="D1221">
        <f>IF(Skills!C13=1,60+Inputs!$B$25+Inputs!$B$29,IF(Skills!C13=2,90+Inputs!$B$26+Inputs!$B$29,IF(Skills!C13=3,120+Inputs!$B$27+Inputs!$B$29,MAX(0,(Inputs!$B$3-100)*3)+Inputs!$B$28+Inputs!$B$29)))</f>
        <v/>
      </c>
      <c r="E1221">
        <f>INDEX(FactorTable!$B$2:$Y$301, MATCH(ROUND(MIN(300,MAX(1,D1221)),0), FactorTable!$A$2:$A$301,0), Skills!M13+1)</f>
        <v/>
      </c>
      <c r="F1221">
        <f>IF(Skills!N13=TRUE,(Skills!L13/10)*(E1221/1000),Skills!L13/10)+Skills!O13</f>
        <v/>
      </c>
      <c r="G1221">
        <f>Skills!G13*IF(Skills!H13&gt;0,Skills!I13/Skills!H13,1)</f>
        <v/>
      </c>
      <c r="H1221">
        <f>1-(1-Skills!J13/100)^Skills!K13</f>
        <v/>
      </c>
      <c r="I1221" t="inlineStr">
        <is>
          <t>1</t>
        </is>
      </c>
      <c r="J1221">
        <f>((Inputs!$B$6*(1+Inputs!$B$7/100))+(((Inputs!$B$12*(1+Inputs!$B$13/100))-(Inputs!$B$12*(1+Inputs!$B$13/100)))+0.25*(Inputs!$B$14-Inputs!$B$14))*(1+Inputs!$B$7/100))*(F1221/100)</f>
        <v/>
      </c>
      <c r="K1221">
        <f>J1221*(1+((Inputs!$B$12*(1+Inputs!$B$13/100))*0.01+Inputs!$B$14*0.0025)/100)*(1+Inputs!$B$15/100)*(1+Inputs!$B$16/100)*(5000/(6000+Inputs!$B$42*(1-(Inputs!$B$19+0)/100)))*(1+(Inputs!$B$24+((C1234=TRUE)*(F1234-Calc!F26))+B1244)/100)*(1+(IF(Skills!A13="EIGHT_LEGS_EASTON",Inputs!$B$17+((C1231=TRUE)*(F1231-Calc!F23))+((C1235=TRUE)*(F1235-Calc!F27)),Inputs!$B$18+0))/100)*((1+(((C1225=TRUE)*F1225)+((C1232=TRUE)*(F1232-Calc!F24)))/100)*I1221)</f>
        <v/>
      </c>
      <c r="L1221">
        <f>K1221*(MIN(Inputs!$B$22+((C1230=TRUE)*(F1230-Calc!F22)),Inputs!$B$23+0)/100+(Inputs!$B$23+0)/100)/2</f>
        <v/>
      </c>
      <c r="M1221">
        <f>L1221*(1+(Inputs!$B$10+((C1233=TRUE)*(F1233-Calc!F25))+B1243)/100)</f>
        <v/>
      </c>
      <c r="N1221">
        <f>L1221*(1-MIN((Inputs!$B$9+((C1227=TRUE)*(F1227-Calc!F19))+B1238),100)/100)+M1221*(MIN((Inputs!$B$9+((C1227=TRUE)*(F1227-Calc!F19))+B1238),100)/100)</f>
        <v/>
      </c>
      <c r="O1221">
        <f>(1-Summary!$B$55)*T1221+Summary!$B$55*V1221</f>
        <v/>
      </c>
      <c r="P1221">
        <f>IF(B1248=0,0,O1221/B1248)</f>
        <v/>
      </c>
      <c r="Q1221">
        <f>IFERROR(1/IF(Inputs!$B$38="pvp",15,MAX(0.1,Skills!D13-IF(Skills!E13=TRUE,1.0,0))),0)</f>
        <v/>
      </c>
      <c r="R1221">
        <f>IF(AND(Inputs!$B$38&lt;&gt;"pvp",Inputs!$B$43&gt;0),IF(MAX(0,Inputs!$B$43-B1245)&lt;=0,0,(INT(MAX(0,Inputs!$B$43-B1245)/IF(Inputs!$B$38="pvp",15,MAX(0.1,Skills!D13-IF(Skills!E13=TRUE,1.0,0))))+1)),0)</f>
        <v/>
      </c>
      <c r="S1221">
        <f>IFERROR(O1221/N1221,0)</f>
        <v/>
      </c>
      <c r="T1221">
        <f>IF(C1221,(H1221*N1221*IF(AND(Inputs!$B$38&lt;&gt;"pvp",Inputs!$B$43&gt;0),((Skills!G13*((R1221-1)*IF(Skills!H13&gt;0,Skills!I13/Skills!H13,1)+IF(Skills!H13&gt;0,MIN(Skills!I13,MAX(0,MAX(0,Inputs!$B$43-B1245)-((R1221-1)*IF(Inputs!$B$38="pvp",15,MAX(0.1,Skills!D13-IF(Skills!E13=TRUE,1.0,0))))))/Skills!H13,1)))/Inputs!$B$43),G1221*Q1221))*IF(Inputs!$B$38="pvp",1,1+(Inputs!$B$20+0+Skills!P13)/100),0)</f>
        <v/>
      </c>
      <c r="V1221">
        <f>IF(C1221,(H1221*N1221*IF(AND(Inputs!$B$38&lt;&gt;"pvp",Inputs!$B$43&gt;0),((Skills!G13*((R1221-1)*IF(Skills!H13&gt;0,Skills!I13/Skills!H13,1)+IF(Skills!H13&gt;0,MIN(Skills!I13,MAX(0,MAX(0,Inputs!$B$43-B1245)-((R1221-1)*IF(Inputs!$B$38="pvp",15,MAX(0.1,Skills!D13-IF(Skills!E13=TRUE,1.0,0))))))/Skills!H13,1)))/Inputs!$B$43),G1221*Q1221))*IF(Inputs!$B$38="pvp",1,(1+(Inputs!$B$21+Skills!Q13)/100)*(MIN(Skills!R13,Inputs!$B$37))),0)</f>
        <v/>
      </c>
    </row>
    <row r="1222">
      <c r="A1222">
        <f>Skills!A14</f>
        <v/>
      </c>
      <c r="B1222">
        <f>Skills!B14</f>
        <v/>
      </c>
      <c r="C1222">
        <f>Inputs!$B$3&gt;=125</f>
        <v/>
      </c>
      <c r="D1222">
        <f>IF(Skills!C14=1,60+Inputs!$B$25+Inputs!$B$29,IF(Skills!C14=2,90+Inputs!$B$26+Inputs!$B$29,IF(Skills!C14=3,120+Inputs!$B$27+Inputs!$B$29,MAX(0,(Inputs!$B$3-100)*3)+Inputs!$B$28+Inputs!$B$29)))</f>
        <v/>
      </c>
      <c r="E1222">
        <f>INDEX(FactorTable!$B$2:$Y$301, MATCH(ROUND(MIN(300,MAX(1,D1222)),0), FactorTable!$A$2:$A$301,0), Skills!M14+1)</f>
        <v/>
      </c>
      <c r="F1222">
        <f>IF(Skills!N14=TRUE,(Skills!L14/10)*(E1222/1000),Skills!L14/10)+Skills!O14</f>
        <v/>
      </c>
      <c r="G1222">
        <f>Skills!G14*IF(Skills!H14&gt;0,Skills!I14/Skills!H14,1)</f>
        <v/>
      </c>
      <c r="H1222">
        <f>1-(1-Skills!J14/100)^Skills!K14</f>
        <v/>
      </c>
      <c r="I1222" t="inlineStr">
        <is>
          <t>1</t>
        </is>
      </c>
      <c r="J1222">
        <f>((Inputs!$B$6*(1+Inputs!$B$7/100))+(((Inputs!$B$12*(1+Inputs!$B$13/100))-(Inputs!$B$12*(1+Inputs!$B$13/100)))+0.25*(Inputs!$B$14-Inputs!$B$14))*(1+Inputs!$B$7/100))*(F1222/100)</f>
        <v/>
      </c>
      <c r="K1222">
        <f>J1222*(1+((Inputs!$B$12*(1+Inputs!$B$13/100))*0.01+Inputs!$B$14*0.0025)/100)*(1+Inputs!$B$15/100)*(1+Inputs!$B$16/100)*(5000/(6000+Inputs!$B$42*(1-(Inputs!$B$19+0)/100)))*(1+(Inputs!$B$24+((C1234=TRUE)*(F1234-Calc!F26))+B1244)/100)*(1+(IF(Skills!A14="EIGHT_LEGS_EASTON",Inputs!$B$17+((C1231=TRUE)*(F1231-Calc!F23))+((C1235=TRUE)*(F1235-Calc!F27)),Inputs!$B$18+0))/100)*((1+(((C1225=TRUE)*F1225)+((C1232=TRUE)*(F1232-Calc!F24)))/100)*I1222)</f>
        <v/>
      </c>
      <c r="L1222">
        <f>K1222*(MIN(Inputs!$B$22+((C1230=TRUE)*(F1230-Calc!F22)),Inputs!$B$23+0)/100+(Inputs!$B$23+0)/100)/2</f>
        <v/>
      </c>
      <c r="M1222">
        <f>L1222*(1+(Inputs!$B$10+((C1233=TRUE)*(F1233-Calc!F25))+B1243)/100)</f>
        <v/>
      </c>
      <c r="N1222">
        <f>L1222*(1-MIN((Inputs!$B$9+((C1227=TRUE)*(F1227-Calc!F19))+B1238),100)/100)+M1222*(MIN((Inputs!$B$9+((C1227=TRUE)*(F1227-Calc!F19))+B1238),100)/100)</f>
        <v/>
      </c>
      <c r="O1222">
        <f>(1-Summary!$B$55)*T1222+Summary!$B$55*V1222</f>
        <v/>
      </c>
      <c r="P1222">
        <f>IF(B1248=0,0,O1222/B1248)</f>
        <v/>
      </c>
      <c r="Q1222" t="n">
        <v>0</v>
      </c>
      <c r="R1222" t="n">
        <v>0</v>
      </c>
      <c r="S1222">
        <f>IFERROR(O1222/N1222,0)</f>
        <v/>
      </c>
      <c r="T1222">
        <f>IF(C1222,(H1222*N1222*(B1242+IF(AND(Inputs!$B$38&lt;&gt;"pvp",Inputs!$B$43&gt;0),((Skills!G8*((R1216-1)*IF(Skills!H8&gt;0,Skills!I8/Skills!H8,1)+IF(Skills!H8&gt;0,MIN(Skills!I8,MAX(0,MAX(0,Inputs!$B$43-B1245)-((R1216-1)*IF(Inputs!$B$38="pvp",15,MAX(0.1,Skills!D8-IF(Skills!E8=TRUE,1.0,0))))))/Skills!H8,1)))/Inputs!$B$43),G1216*Q1216)+IF(AND(Inputs!$B$38&lt;&gt;"pvp",Inputs!$B$43&gt;0),((Skills!G11*((R1219-1)*IF(Skills!H11&gt;0,Skills!I11/Skills!H11,1)+IF(Skills!H11&gt;0,MIN(Skills!I11,MAX(0,MAX(0,Inputs!$B$43-B1245)-((R1219-1)*IF(Inputs!$B$38="pvp",15,MAX(0.1,Skills!D11-IF(Skills!E11=TRUE,1.0,0))))))/Skills!H11,1)))/Inputs!$B$43),G1219*Q1219)))*IF(Inputs!$B$38="pvp",1,1+(Inputs!$B$20+0+Skills!P14)/100),0)</f>
        <v/>
      </c>
      <c r="V1222">
        <f>IF(C1222,(H1222*N1222*(B1242+IF(AND(Inputs!$B$38&lt;&gt;"pvp",Inputs!$B$43&gt;0),((Skills!G8*((R1216-1)*IF(Skills!H8&gt;0,Skills!I8/Skills!H8,1)+IF(Skills!H8&gt;0,MIN(Skills!I8,MAX(0,MAX(0,Inputs!$B$43-B1245)-((R1216-1)*IF(Inputs!$B$38="pvp",15,MAX(0.1,Skills!D8-IF(Skills!E8=TRUE,1.0,0))))))/Skills!H8,1)))/Inputs!$B$43),G1216*Q1216)+IF(AND(Inputs!$B$38&lt;&gt;"pvp",Inputs!$B$43&gt;0),((Skills!G11*((R1219-1)*IF(Skills!H11&gt;0,Skills!I11/Skills!H11,1)+IF(Skills!H11&gt;0,MIN(Skills!I11,MAX(0,MAX(0,Inputs!$B$43-B1245)-((R1219-1)*IF(Inputs!$B$38="pvp",15,MAX(0.1,Skills!D11-IF(Skills!E11=TRUE,1.0,0))))))/Skills!H11,1)))/Inputs!$B$43),G1219*Q1219)))*IF(Inputs!$B$38="pvp",1,(1+(Inputs!$B$21+Skills!Q14)/100)*(MIN(Skills!R14,Inputs!$B$37))),0)</f>
        <v/>
      </c>
    </row>
    <row r="1223">
      <c r="A1223">
        <f>Skills!A15</f>
        <v/>
      </c>
      <c r="B1223">
        <f>Skills!B15</f>
        <v/>
      </c>
      <c r="C1223">
        <f>Inputs!$B$3&gt;=100</f>
        <v/>
      </c>
      <c r="D1223">
        <f>IF(Skills!C15=1,60+Inputs!$B$25+Inputs!$B$29,IF(Skills!C15=2,90+Inputs!$B$26+Inputs!$B$29,IF(Skills!C15=3,120+Inputs!$B$27+Inputs!$B$29,MAX(0,(Inputs!$B$3-100)*3)+Inputs!$B$28+Inputs!$B$29)))</f>
        <v/>
      </c>
      <c r="E1223">
        <f>INDEX(FactorTable!$B$2:$Y$301, MATCH(ROUND(MIN(300,MAX(1,D1223)),0), FactorTable!$A$2:$A$301,0), Skills!M15+1)</f>
        <v/>
      </c>
      <c r="F1223">
        <f>IF(Skills!N15=TRUE,(Skills!L15/10)*(E1223/1000),Skills!L15/10)+Skills!O15</f>
        <v/>
      </c>
      <c r="G1223" t="inlineStr"/>
      <c r="H1223" t="inlineStr"/>
      <c r="I1223" t="inlineStr">
        <is>
          <t>1</t>
        </is>
      </c>
      <c r="J1223" t="inlineStr"/>
      <c r="K1223" t="inlineStr"/>
      <c r="L1223" t="inlineStr"/>
      <c r="M1223" t="inlineStr"/>
      <c r="N1223" t="inlineStr"/>
      <c r="O1223" t="inlineStr"/>
      <c r="P1223" t="inlineStr"/>
      <c r="Q1223" t="inlineStr"/>
      <c r="R1223" t="inlineStr"/>
      <c r="S1223" t="inlineStr"/>
    </row>
    <row r="1224">
      <c r="A1224">
        <f>Skills!A16</f>
        <v/>
      </c>
      <c r="B1224">
        <f>Skills!B16</f>
        <v/>
      </c>
      <c r="C1224">
        <f>Inputs!$B$3&gt;=120</f>
        <v/>
      </c>
      <c r="D1224">
        <f>IF(Skills!C16=1,60+Inputs!$B$25+Inputs!$B$29,IF(Skills!C16=2,90+Inputs!$B$26+Inputs!$B$29,IF(Skills!C16=3,120+Inputs!$B$27+Inputs!$B$29,MAX(0,(Inputs!$B$3-100)*3)+Inputs!$B$28+Inputs!$B$29)))</f>
        <v/>
      </c>
      <c r="E1224">
        <f>INDEX(FactorTable!$B$2:$Y$301, MATCH(ROUND(MIN(300,MAX(1,D1224)),0), FactorTable!$A$2:$A$301,0), Skills!M16+1)</f>
        <v/>
      </c>
      <c r="F1224">
        <f>IF(Skills!N16=TRUE,(Skills!L16/10)*(E1224/1000),Skills!L16/10)+Skills!O16</f>
        <v/>
      </c>
      <c r="G1224" t="inlineStr"/>
      <c r="H1224" t="inlineStr"/>
      <c r="I1224" t="inlineStr">
        <is>
          <t>1</t>
        </is>
      </c>
      <c r="J1224" t="inlineStr"/>
      <c r="K1224" t="inlineStr"/>
      <c r="L1224" t="inlineStr"/>
      <c r="M1224" t="inlineStr"/>
      <c r="N1224" t="inlineStr"/>
      <c r="O1224" t="inlineStr"/>
      <c r="P1224" t="inlineStr"/>
      <c r="Q1224" t="inlineStr"/>
      <c r="R1224" t="inlineStr"/>
      <c r="S1224" t="inlineStr"/>
    </row>
    <row r="1225">
      <c r="A1225">
        <f>Skills!A17</f>
        <v/>
      </c>
      <c r="B1225">
        <f>Skills!B17</f>
        <v/>
      </c>
      <c r="C1225">
        <f>Inputs!$B$3&gt;=66</f>
        <v/>
      </c>
      <c r="D1225">
        <f>IF(Skills!C17=1,60+Inputs!$B$25+Inputs!$B$29,IF(Skills!C17=2,90+Inputs!$B$26+Inputs!$B$29,IF(Skills!C17=3,120+Inputs!$B$27+Inputs!$B$29,MAX(0,(Inputs!$B$3-100)*3)+Inputs!$B$28+Inputs!$B$29)))</f>
        <v/>
      </c>
      <c r="E1225">
        <f>INDEX(FactorTable!$B$2:$Y$301, MATCH(ROUND(MIN(300,MAX(1,D1225)),0), FactorTable!$A$2:$A$301,0), Skills!M17+1)</f>
        <v/>
      </c>
      <c r="F1225">
        <f>IF(Skills!N17=TRUE,(Skills!L17/10)*(E1225/1000),Skills!L17/10)+Skills!O17</f>
        <v/>
      </c>
      <c r="G1225">
        <f>Skills!G17*IF(Skills!H17&gt;0,Skills!I17/Skills!H17,1)</f>
        <v/>
      </c>
      <c r="H1225">
        <f>1-(1-Skills!J17/100)^Skills!K17</f>
        <v/>
      </c>
      <c r="I1225" t="inlineStr">
        <is>
          <t>1</t>
        </is>
      </c>
      <c r="J1225" t="inlineStr"/>
      <c r="K1225" t="inlineStr"/>
      <c r="L1225" t="inlineStr"/>
      <c r="M1225" t="inlineStr"/>
      <c r="N1225" t="inlineStr"/>
      <c r="O1225">
        <f>(1-Summary!$B$55)*T1225+Summary!$B$55*V1225</f>
        <v/>
      </c>
      <c r="P1225">
        <f>IF(B1248=0,0,O1225/B1248)</f>
        <v/>
      </c>
      <c r="Q1225" t="n">
        <v>0</v>
      </c>
      <c r="R1225" t="n">
        <v>0</v>
      </c>
      <c r="S1225">
        <f>IFERROR(O1225/N1225,0)</f>
        <v/>
      </c>
      <c r="T1225" t="n">
        <v>0</v>
      </c>
      <c r="V1225" t="n">
        <v>0</v>
      </c>
    </row>
    <row r="1226">
      <c r="A1226">
        <f>Skills!A18</f>
        <v/>
      </c>
      <c r="B1226">
        <f>Skills!B18</f>
        <v/>
      </c>
      <c r="C1226">
        <f>Inputs!$B$3&gt;=115</f>
        <v/>
      </c>
      <c r="D1226">
        <f>IF(Skills!C18=1,60+Inputs!$B$25+Inputs!$B$29,IF(Skills!C18=2,90+Inputs!$B$26+Inputs!$B$29,IF(Skills!C18=3,120+Inputs!$B$27+Inputs!$B$29,MAX(0,(Inputs!$B$3-100)*3)+Inputs!$B$28+Inputs!$B$29)))</f>
        <v/>
      </c>
      <c r="E1226">
        <f>INDEX(FactorTable!$B$2:$Y$301, MATCH(ROUND(MIN(300,MAX(1,D1226)),0), FactorTable!$A$2:$A$301,0), Skills!M18+1)</f>
        <v/>
      </c>
      <c r="F1226">
        <f>IF(Skills!N18=TRUE,(Skills!L18/10)*(E1226/1000),Skills!L18/10)+Skills!O18</f>
        <v/>
      </c>
      <c r="G1226">
        <f>Skills!G18*IF(Skills!H18&gt;0,Skills!I18/Skills!H18,1)</f>
        <v/>
      </c>
      <c r="H1226">
        <f>1-(1-Skills!J18/100)^Skills!K18</f>
        <v/>
      </c>
      <c r="I1226" t="inlineStr">
        <is>
          <t>1</t>
        </is>
      </c>
      <c r="J1226" t="inlineStr"/>
      <c r="K1226" t="inlineStr"/>
      <c r="L1226" t="inlineStr"/>
      <c r="M1226" t="inlineStr"/>
      <c r="N1226" t="inlineStr"/>
      <c r="O1226">
        <f>(1-Summary!$B$55)*T1226+Summary!$B$55*V1226</f>
        <v/>
      </c>
      <c r="P1226">
        <f>IF(B1248=0,0,O1226/B1248)</f>
        <v/>
      </c>
      <c r="Q1226" t="n">
        <v>0</v>
      </c>
      <c r="R1226" t="n">
        <v>0</v>
      </c>
      <c r="S1226">
        <f>IFERROR(O1226/N1226,0)</f>
        <v/>
      </c>
      <c r="T1226" t="n">
        <v>0</v>
      </c>
      <c r="V1226" t="n">
        <v>0</v>
      </c>
    </row>
    <row r="1227">
      <c r="A1227">
        <f>Skills!A19</f>
        <v/>
      </c>
      <c r="B1227">
        <f>Skills!B19</f>
        <v/>
      </c>
      <c r="C1227">
        <f>Inputs!$B$3&gt;=15</f>
        <v/>
      </c>
      <c r="D1227">
        <f>IF(Skills!C19=1,60+Inputs!$B$25+Inputs!$B$29,IF(Skills!C19=2,90+Inputs!$B$26+Inputs!$B$29,IF(Skills!C19=3,120+Inputs!$B$27+Inputs!$B$29,MAX(0,(Inputs!$B$3-100)*3)+Inputs!$B$28+Inputs!$B$29)))</f>
        <v/>
      </c>
      <c r="E1227">
        <f>INDEX(FactorTable!$B$2:$Y$301, MATCH(ROUND(MIN(300,MAX(1,D1227)),0), FactorTable!$A$2:$A$301,0), Skills!M19+1)</f>
        <v/>
      </c>
      <c r="F1227">
        <f>IF(Skills!N19=TRUE,(Skills!L19/10)*(E1227/1000),Skills!L19/10)+Skills!O19</f>
        <v/>
      </c>
      <c r="G1227">
        <f>Skills!G19*IF(Skills!H19&gt;0,Skills!I19/Skills!H19,1)</f>
        <v/>
      </c>
      <c r="H1227">
        <f>1-(1-Skills!J19/100)^Skills!K19</f>
        <v/>
      </c>
      <c r="I1227" t="inlineStr">
        <is>
          <t>1</t>
        </is>
      </c>
      <c r="J1227" t="inlineStr"/>
      <c r="K1227" t="inlineStr"/>
      <c r="L1227" t="inlineStr"/>
      <c r="M1227" t="inlineStr"/>
      <c r="N1227" t="inlineStr"/>
      <c r="O1227">
        <f>(1-Summary!$B$55)*T1227+Summary!$B$55*V1227</f>
        <v/>
      </c>
      <c r="P1227">
        <f>IF(B1248=0,0,O1227/B1248)</f>
        <v/>
      </c>
      <c r="Q1227" t="n">
        <v>0</v>
      </c>
      <c r="R1227" t="n">
        <v>0</v>
      </c>
      <c r="S1227">
        <f>IFERROR(O1227/N1227,0)</f>
        <v/>
      </c>
      <c r="T1227" t="n">
        <v>0</v>
      </c>
      <c r="V1227" t="n">
        <v>0</v>
      </c>
    </row>
    <row r="1228">
      <c r="A1228">
        <f>Skills!A20</f>
        <v/>
      </c>
      <c r="B1228">
        <f>Skills!B20</f>
        <v/>
      </c>
      <c r="C1228">
        <f>Inputs!$B$3&gt;=10</f>
        <v/>
      </c>
      <c r="D1228">
        <f>IF(Skills!C20=1,60+Inputs!$B$25+Inputs!$B$29,IF(Skills!C20=2,90+Inputs!$B$26+Inputs!$B$29,IF(Skills!C20=3,120+Inputs!$B$27+Inputs!$B$29,MAX(0,(Inputs!$B$3-100)*3)+Inputs!$B$28+Inputs!$B$29)))</f>
        <v/>
      </c>
      <c r="E1228">
        <f>INDEX(FactorTable!$B$2:$Y$301, MATCH(ROUND(MIN(300,MAX(1,D1228)),0), FactorTable!$A$2:$A$301,0), Skills!M20+1)</f>
        <v/>
      </c>
      <c r="F1228">
        <f>IF(Skills!N20=TRUE,(Skills!L20/10)*(E1228/1000),Skills!L20/10)+Skills!O20</f>
        <v/>
      </c>
      <c r="G1228">
        <f>Skills!G20*IF(Skills!H20&gt;0,Skills!I20/Skills!H20,1)</f>
        <v/>
      </c>
      <c r="H1228">
        <f>1-(1-Skills!J20/100)^Skills!K20</f>
        <v/>
      </c>
      <c r="I1228" t="inlineStr">
        <is>
          <t>1</t>
        </is>
      </c>
      <c r="J1228" t="inlineStr"/>
      <c r="K1228" t="inlineStr"/>
      <c r="L1228" t="inlineStr"/>
      <c r="M1228" t="inlineStr"/>
      <c r="N1228" t="inlineStr"/>
      <c r="O1228">
        <f>(1-Summary!$B$55)*T1228+Summary!$B$55*V1228</f>
        <v/>
      </c>
      <c r="P1228">
        <f>IF(B1248=0,0,O1228/B1248)</f>
        <v/>
      </c>
      <c r="Q1228" t="n">
        <v>0</v>
      </c>
      <c r="R1228" t="n">
        <v>0</v>
      </c>
      <c r="S1228">
        <f>IFERROR(O1228/N1228,0)</f>
        <v/>
      </c>
      <c r="T1228" t="n">
        <v>0</v>
      </c>
      <c r="V1228" t="n">
        <v>0</v>
      </c>
    </row>
    <row r="1229">
      <c r="A1229">
        <f>Skills!A21</f>
        <v/>
      </c>
      <c r="B1229">
        <f>Skills!B21</f>
        <v/>
      </c>
      <c r="C1229">
        <f>Inputs!$B$3&gt;=33</f>
        <v/>
      </c>
      <c r="D1229">
        <f>IF(Skills!C21=1,60+Inputs!$B$25+Inputs!$B$29,IF(Skills!C21=2,90+Inputs!$B$26+Inputs!$B$29,IF(Skills!C21=3,120+Inputs!$B$27+Inputs!$B$29,MAX(0,(Inputs!$B$3-100)*3)+Inputs!$B$28+Inputs!$B$29)))</f>
        <v/>
      </c>
      <c r="E1229">
        <f>INDEX(FactorTable!$B$2:$Y$301, MATCH(ROUND(MIN(300,MAX(1,D1229)),0), FactorTable!$A$2:$A$301,0), Skills!M21+1)</f>
        <v/>
      </c>
      <c r="F1229">
        <f>IF(Skills!N21=TRUE,(Skills!L21/10)*(E1229/1000),Skills!L21/10)+Skills!O21</f>
        <v/>
      </c>
      <c r="G1229">
        <f>Skills!G21*IF(Skills!H21&gt;0,Skills!I21/Skills!H21,1)</f>
        <v/>
      </c>
      <c r="H1229">
        <f>1-(1-Skills!J21/100)^Skills!K21</f>
        <v/>
      </c>
      <c r="I1229" t="inlineStr">
        <is>
          <t>1</t>
        </is>
      </c>
      <c r="J1229" t="inlineStr"/>
      <c r="K1229" t="inlineStr"/>
      <c r="L1229" t="inlineStr"/>
      <c r="M1229" t="inlineStr"/>
      <c r="N1229" t="inlineStr"/>
      <c r="O1229">
        <f>(1-Summary!$B$55)*T1229+Summary!$B$55*V1229</f>
        <v/>
      </c>
      <c r="P1229">
        <f>IF(B1248=0,0,O1229/B1248)</f>
        <v/>
      </c>
      <c r="Q1229" t="n">
        <v>0</v>
      </c>
      <c r="R1229" t="n">
        <v>0</v>
      </c>
      <c r="S1229">
        <f>IFERROR(O1229/N1229,0)</f>
        <v/>
      </c>
      <c r="T1229" t="n">
        <v>0</v>
      </c>
      <c r="V1229" t="n">
        <v>0</v>
      </c>
    </row>
    <row r="1230">
      <c r="A1230">
        <f>Skills!A22</f>
        <v/>
      </c>
      <c r="B1230">
        <f>Skills!B22</f>
        <v/>
      </c>
      <c r="C1230">
        <f>Inputs!$B$3&gt;=43</f>
        <v/>
      </c>
      <c r="D1230">
        <f>IF(Skills!C22=1,60+Inputs!$B$25+Inputs!$B$29,IF(Skills!C22=2,90+Inputs!$B$26+Inputs!$B$29,IF(Skills!C22=3,120+Inputs!$B$27+Inputs!$B$29,MAX(0,(Inputs!$B$3-100)*3)+Inputs!$B$28+Inputs!$B$29)))</f>
        <v/>
      </c>
      <c r="E1230">
        <f>INDEX(FactorTable!$B$2:$Y$301, MATCH(ROUND(MIN(300,MAX(1,D1230)),0), FactorTable!$A$2:$A$301,0), Skills!M22+1)</f>
        <v/>
      </c>
      <c r="F1230">
        <f>IF(Skills!N22=TRUE,(Skills!L22/10)*(E1230/1000),Skills!L22/10)+Skills!O22</f>
        <v/>
      </c>
      <c r="G1230">
        <f>Skills!G22*IF(Skills!H22&gt;0,Skills!I22/Skills!H22,1)</f>
        <v/>
      </c>
      <c r="H1230">
        <f>1-(1-Skills!J22/100)^Skills!K22</f>
        <v/>
      </c>
      <c r="I1230" t="inlineStr">
        <is>
          <t>1</t>
        </is>
      </c>
      <c r="J1230" t="inlineStr"/>
      <c r="K1230" t="inlineStr"/>
      <c r="L1230" t="inlineStr"/>
      <c r="M1230" t="inlineStr"/>
      <c r="N1230" t="inlineStr"/>
      <c r="O1230">
        <f>(1-Summary!$B$55)*T1230+Summary!$B$55*V1230</f>
        <v/>
      </c>
      <c r="P1230">
        <f>IF(B1248=0,0,O1230/B1248)</f>
        <v/>
      </c>
      <c r="Q1230" t="n">
        <v>0</v>
      </c>
      <c r="R1230" t="n">
        <v>0</v>
      </c>
      <c r="S1230">
        <f>IFERROR(O1230/N1230,0)</f>
        <v/>
      </c>
      <c r="T1230" t="n">
        <v>0</v>
      </c>
      <c r="V1230" t="n">
        <v>0</v>
      </c>
    </row>
    <row r="1231">
      <c r="A1231">
        <f>Skills!A23</f>
        <v/>
      </c>
      <c r="B1231">
        <f>Skills!B23</f>
        <v/>
      </c>
      <c r="C1231">
        <f>Inputs!$B$3&gt;=38</f>
        <v/>
      </c>
      <c r="D1231">
        <f>IF(Skills!C23=1,60+Inputs!$B$25+Inputs!$B$29,IF(Skills!C23=2,90+Inputs!$B$26+Inputs!$B$29,IF(Skills!C23=3,120+Inputs!$B$27+Inputs!$B$29,MAX(0,(Inputs!$B$3-100)*3)+Inputs!$B$28+Inputs!$B$29)))</f>
        <v/>
      </c>
      <c r="E1231">
        <f>INDEX(FactorTable!$B$2:$Y$301, MATCH(ROUND(MIN(300,MAX(1,D1231)),0), FactorTable!$A$2:$A$301,0), Skills!M23+1)</f>
        <v/>
      </c>
      <c r="F1231">
        <f>IF(Skills!N23=TRUE,(Skills!L23/10)*(E1231/1000),Skills!L23/10)+Skills!O23</f>
        <v/>
      </c>
      <c r="G1231">
        <f>Skills!G23*IF(Skills!H23&gt;0,Skills!I23/Skills!H23,1)</f>
        <v/>
      </c>
      <c r="H1231">
        <f>1-(1-Skills!J23/100)^Skills!K23</f>
        <v/>
      </c>
      <c r="I1231" t="inlineStr">
        <is>
          <t>1</t>
        </is>
      </c>
      <c r="J1231" t="inlineStr"/>
      <c r="K1231" t="inlineStr"/>
      <c r="L1231" t="inlineStr"/>
      <c r="M1231" t="inlineStr"/>
      <c r="N1231" t="inlineStr"/>
      <c r="O1231">
        <f>(1-Summary!$B$55)*T1231+Summary!$B$55*V1231</f>
        <v/>
      </c>
      <c r="P1231">
        <f>IF(B1248=0,0,O1231/B1248)</f>
        <v/>
      </c>
      <c r="Q1231" t="n">
        <v>0</v>
      </c>
      <c r="R1231" t="n">
        <v>0</v>
      </c>
      <c r="S1231">
        <f>IFERROR(O1231/N1231,0)</f>
        <v/>
      </c>
      <c r="T1231" t="n">
        <v>0</v>
      </c>
      <c r="V1231" t="n">
        <v>0</v>
      </c>
    </row>
    <row r="1232">
      <c r="A1232">
        <f>Skills!A24</f>
        <v/>
      </c>
      <c r="B1232">
        <f>Skills!B24</f>
        <v/>
      </c>
      <c r="C1232">
        <f>Inputs!$B$3&gt;=40</f>
        <v/>
      </c>
      <c r="D1232">
        <f>IF(Skills!C24=1,60+Inputs!$B$25+Inputs!$B$29,IF(Skills!C24=2,90+Inputs!$B$26+Inputs!$B$29,IF(Skills!C24=3,120+Inputs!$B$27+Inputs!$B$29,MAX(0,(Inputs!$B$3-100)*3)+Inputs!$B$28+Inputs!$B$29)))</f>
        <v/>
      </c>
      <c r="E1232">
        <f>INDEX(FactorTable!$B$2:$Y$301, MATCH(ROUND(MIN(300,MAX(1,D1232)),0), FactorTable!$A$2:$A$301,0), Skills!M24+1)</f>
        <v/>
      </c>
      <c r="F1232">
        <f>IF(Skills!N24=TRUE,(Skills!L24/10)*(E1232/1000),Skills!L24/10)+Skills!O24</f>
        <v/>
      </c>
      <c r="G1232">
        <f>Skills!G24*IF(Skills!H24&gt;0,Skills!I24/Skills!H24,1)</f>
        <v/>
      </c>
      <c r="H1232">
        <f>1-(1-Skills!J24/100)^Skills!K24</f>
        <v/>
      </c>
      <c r="I1232" t="inlineStr">
        <is>
          <t>1</t>
        </is>
      </c>
      <c r="J1232" t="inlineStr"/>
      <c r="K1232" t="inlineStr"/>
      <c r="L1232" t="inlineStr"/>
      <c r="M1232" t="inlineStr"/>
      <c r="N1232" t="inlineStr"/>
      <c r="O1232">
        <f>(1-Summary!$B$55)*T1232+Summary!$B$55*V1232</f>
        <v/>
      </c>
      <c r="P1232">
        <f>IF(B1248=0,0,O1232/B1248)</f>
        <v/>
      </c>
      <c r="Q1232" t="n">
        <v>0</v>
      </c>
      <c r="R1232" t="n">
        <v>0</v>
      </c>
      <c r="S1232">
        <f>IFERROR(O1232/N1232,0)</f>
        <v/>
      </c>
      <c r="T1232" t="n">
        <v>0</v>
      </c>
      <c r="V1232" t="n">
        <v>0</v>
      </c>
    </row>
    <row r="1233">
      <c r="A1233">
        <f>Skills!A25</f>
        <v/>
      </c>
      <c r="B1233">
        <f>Skills!B25</f>
        <v/>
      </c>
      <c r="C1233">
        <f>Inputs!$B$3&gt;=72</f>
        <v/>
      </c>
      <c r="D1233">
        <f>IF(Skills!C25=1,60+Inputs!$B$25+Inputs!$B$29,IF(Skills!C25=2,90+Inputs!$B$26+Inputs!$B$29,IF(Skills!C25=3,120+Inputs!$B$27+Inputs!$B$29,MAX(0,(Inputs!$B$3-100)*3)+Inputs!$B$28+Inputs!$B$29)))</f>
        <v/>
      </c>
      <c r="E1233">
        <f>INDEX(FactorTable!$B$2:$Y$301, MATCH(ROUND(MIN(300,MAX(1,D1233)),0), FactorTable!$A$2:$A$301,0), Skills!M25+1)</f>
        <v/>
      </c>
      <c r="F1233">
        <f>IF(Skills!N25=TRUE,(Skills!L25/10)*(E1233/1000),Skills!L25/10)+Skills!O25</f>
        <v/>
      </c>
      <c r="G1233">
        <f>Skills!G25*IF(Skills!H25&gt;0,Skills!I25/Skills!H25,1)</f>
        <v/>
      </c>
      <c r="H1233">
        <f>1-(1-Skills!J25/100)^Skills!K25</f>
        <v/>
      </c>
      <c r="I1233" t="inlineStr">
        <is>
          <t>1</t>
        </is>
      </c>
      <c r="J1233" t="inlineStr"/>
      <c r="K1233" t="inlineStr"/>
      <c r="L1233" t="inlineStr"/>
      <c r="M1233" t="inlineStr"/>
      <c r="N1233" t="inlineStr"/>
      <c r="O1233">
        <f>(1-Summary!$B$55)*T1233+Summary!$B$55*V1233</f>
        <v/>
      </c>
      <c r="P1233">
        <f>IF(B1248=0,0,O1233/B1248)</f>
        <v/>
      </c>
      <c r="Q1233" t="n">
        <v>0</v>
      </c>
      <c r="R1233" t="n">
        <v>0</v>
      </c>
      <c r="S1233">
        <f>IFERROR(O1233/N1233,0)</f>
        <v/>
      </c>
      <c r="T1233" t="n">
        <v>0</v>
      </c>
      <c r="V1233" t="n">
        <v>0</v>
      </c>
    </row>
    <row r="1234">
      <c r="A1234">
        <f>Skills!A26</f>
        <v/>
      </c>
      <c r="B1234">
        <f>Skills!B26</f>
        <v/>
      </c>
      <c r="C1234">
        <f>Inputs!$B$3&gt;=75</f>
        <v/>
      </c>
      <c r="D1234">
        <f>IF(Skills!C26=1,60+Inputs!$B$25+Inputs!$B$29,IF(Skills!C26=2,90+Inputs!$B$26+Inputs!$B$29,IF(Skills!C26=3,120+Inputs!$B$27+Inputs!$B$29,MAX(0,(Inputs!$B$3-100)*3)+Inputs!$B$28+Inputs!$B$29)))</f>
        <v/>
      </c>
      <c r="E1234">
        <f>INDEX(FactorTable!$B$2:$Y$301, MATCH(ROUND(MIN(300,MAX(1,D1234)),0), FactorTable!$A$2:$A$301,0), Skills!M26+1)</f>
        <v/>
      </c>
      <c r="F1234">
        <f>IF(Skills!N26=TRUE,(Skills!L26/10)*(E1234/1000),Skills!L26/10)+Skills!O26</f>
        <v/>
      </c>
      <c r="G1234">
        <f>Skills!G26*IF(Skills!H26&gt;0,Skills!I26/Skills!H26,1)</f>
        <v/>
      </c>
      <c r="H1234">
        <f>1-(1-Skills!J26/100)^Skills!K26</f>
        <v/>
      </c>
      <c r="I1234" t="inlineStr">
        <is>
          <t>1</t>
        </is>
      </c>
      <c r="J1234" t="inlineStr"/>
      <c r="K1234" t="inlineStr"/>
      <c r="L1234" t="inlineStr"/>
      <c r="M1234" t="inlineStr"/>
      <c r="N1234" t="inlineStr"/>
      <c r="O1234">
        <f>(1-Summary!$B$55)*T1234+Summary!$B$55*V1234</f>
        <v/>
      </c>
      <c r="P1234">
        <f>IF(B1248=0,0,O1234/B1248)</f>
        <v/>
      </c>
      <c r="Q1234" t="n">
        <v>0</v>
      </c>
      <c r="R1234" t="n">
        <v>0</v>
      </c>
      <c r="S1234">
        <f>IFERROR(O1234/N1234,0)</f>
        <v/>
      </c>
      <c r="T1234" t="n">
        <v>0</v>
      </c>
      <c r="V1234" t="n">
        <v>0</v>
      </c>
    </row>
    <row r="1235">
      <c r="A1235">
        <f>Skills!A27</f>
        <v/>
      </c>
      <c r="B1235">
        <f>Skills!B27</f>
        <v/>
      </c>
      <c r="C1235">
        <f>Inputs!$B$3&gt;=117</f>
        <v/>
      </c>
      <c r="D1235">
        <f>IF(Skills!C27=1,60+Inputs!$B$25+Inputs!$B$29,IF(Skills!C27=2,90+Inputs!$B$26+Inputs!$B$29,IF(Skills!C27=3,120+Inputs!$B$27+Inputs!$B$29,MAX(0,(Inputs!$B$3-100)*3)+Inputs!$B$28+Inputs!$B$29)))</f>
        <v/>
      </c>
      <c r="E1235">
        <f>INDEX(FactorTable!$B$2:$Y$301, MATCH(ROUND(MIN(300,MAX(1,D1235)),0), FactorTable!$A$2:$A$301,0), Skills!M27+1)</f>
        <v/>
      </c>
      <c r="F1235">
        <f>IF(Skills!N27=TRUE,(Skills!L27/10)*(E1235/1000),Skills!L27/10)+Skills!O27</f>
        <v/>
      </c>
      <c r="G1235">
        <f>Skills!G27*IF(Skills!H27&gt;0,Skills!I27/Skills!H27,1)</f>
        <v/>
      </c>
      <c r="H1235">
        <f>1-(1-Skills!J27/100)^Skills!K27</f>
        <v/>
      </c>
      <c r="I1235" t="inlineStr">
        <is>
          <t>1</t>
        </is>
      </c>
      <c r="J1235" t="inlineStr"/>
      <c r="K1235" t="inlineStr"/>
      <c r="L1235" t="inlineStr"/>
      <c r="M1235" t="inlineStr"/>
      <c r="N1235" t="inlineStr"/>
      <c r="O1235">
        <f>(1-Summary!$B$55)*T1235+Summary!$B$55*V1235</f>
        <v/>
      </c>
      <c r="P1235">
        <f>IF(B1248=0,0,O1235/B1248)</f>
        <v/>
      </c>
      <c r="Q1235" t="n">
        <v>0</v>
      </c>
      <c r="R1235" t="n">
        <v>0</v>
      </c>
      <c r="S1235">
        <f>IFERROR(O1235/N1235,0)</f>
        <v/>
      </c>
      <c r="T1235" t="n">
        <v>0</v>
      </c>
      <c r="V1235" t="n">
        <v>0</v>
      </c>
    </row>
    <row r="1237">
      <c r="A1237" t="inlineStr">
        <is>
          <t>Attack% Bucket Multiplier</t>
        </is>
      </c>
      <c r="B1237">
        <f>(1+(((C1225=TRUE)*F1225)+((C1232=TRUE)*(F1232-Calc!F24)))/100)</f>
        <v/>
      </c>
    </row>
    <row r="1238">
      <c r="A1238" t="inlineStr">
        <is>
          <t>Global Crit Rate Bonus %</t>
        </is>
      </c>
      <c r="B1238" t="n">
        <v>0</v>
      </c>
    </row>
    <row r="1239">
      <c r="A1239" t="inlineStr">
        <is>
          <t>Attack Speed Buff Bonus % (unused)</t>
        </is>
      </c>
      <c r="B1239" t="n">
        <v>0</v>
      </c>
    </row>
    <row r="1240">
      <c r="A1240" t="inlineStr">
        <is>
          <t>Actions Per Second</t>
        </is>
      </c>
      <c r="B1240">
        <f>1+MIN(150,150*(1-(1-(Inputs!$B$11+((C1228=TRUE)*(F1228-Calc!F20))+((C1229=TRUE)*(F1229-Calc!F21)))/150)*(1-B1239/150)))/100</f>
        <v/>
      </c>
    </row>
    <row r="1241">
      <c r="A1241" t="inlineStr">
        <is>
          <t>Skill + Buff Cast Rate</t>
        </is>
      </c>
      <c r="B1241">
        <f>IF(AND(Inputs!$B$38&lt;&gt;"pvp",Inputs!$B$43&gt;0),SUMPRODUCT((Skills!E2:E27=TRUE)*(C1210:C1235=TRUE)*R1210:R1235*Skills!F2:F27)/Inputs!$B$43,SUMPRODUCT((Skills!E2:E27=TRUE)*(C1210:C1235=TRUE)*Q1210:Q1235*Skills!F2:F27))</f>
        <v/>
      </c>
    </row>
    <row r="1242">
      <c r="A1242" t="inlineStr">
        <is>
          <t>Eight-Legs Easton Casts Per Second</t>
        </is>
      </c>
      <c r="B1242">
        <f>MAX(0,B1240-B1241)</f>
        <v/>
      </c>
    </row>
    <row r="1243">
      <c r="A1243" t="inlineStr">
        <is>
          <t>Global Critical Damage Bonus % (unused)</t>
        </is>
      </c>
      <c r="B1243" t="n">
        <v>0</v>
      </c>
    </row>
    <row r="1244">
      <c r="A1244" t="inlineStr">
        <is>
          <t>Global Final Damage Bonus % (Jolly Roger only)</t>
        </is>
      </c>
      <c r="B1244">
        <f>((C1226=TRUE)*F1226)</f>
        <v/>
      </c>
    </row>
    <row r="1245">
      <c r="A1245" t="inlineStr">
        <is>
          <t>Buff-Casting Startup Delay (s, fixed-duration only)</t>
        </is>
      </c>
      <c r="B1245">
        <f>IF(AND(Inputs!$B$38&lt;&gt;"pvp",Inputs!$B$43&gt;0),SUMPRODUCT((Skills!T2:T27&gt;0)*(Skills!E2:E27=TRUE)*(C1210:C1235=TRUE))/B1240,0)</f>
        <v/>
      </c>
    </row>
    <row r="1246">
      <c r="A1246" t="inlineStr">
        <is>
          <t>Boss-Only Total DPS (this block's swept value)</t>
        </is>
      </c>
      <c r="B1246">
        <f>SUM(T1210:T1235)</f>
        <v/>
      </c>
    </row>
    <row r="1247">
      <c r="A1247" t="inlineStr">
        <is>
          <t>Normal-Only Total DPS (this block's swept value)</t>
        </is>
      </c>
      <c r="B1247">
        <f>SUM(V1210:V1235)</f>
        <v/>
      </c>
    </row>
    <row r="1248">
      <c r="A1248" s="5" t="inlineStr">
        <is>
          <t>TOTAL DPS</t>
        </is>
      </c>
      <c r="B1248" s="5">
        <f>SUM(O1210:O1235)</f>
        <v/>
      </c>
    </row>
    <row r="1251">
      <c r="A1251" s="5" t="inlineStr">
        <is>
          <t>Stat: CDR = 1.5s</t>
        </is>
      </c>
    </row>
    <row r="1252">
      <c r="A1252" s="9" t="inlineStr">
        <is>
          <t>Key</t>
        </is>
      </c>
      <c r="B1252" s="9" t="inlineStr">
        <is>
          <t>Name</t>
        </is>
      </c>
      <c r="C1252" s="9" t="inlineStr">
        <is>
          <t>Unlocked</t>
        </is>
      </c>
      <c r="D1252" s="9" t="inlineStr">
        <is>
          <t>InputLevel</t>
        </is>
      </c>
      <c r="E1252" s="9" t="inlineStr">
        <is>
          <t>Factor</t>
        </is>
      </c>
      <c r="F1252" s="9" t="inlineStr">
        <is>
          <t>CoefficientPercent</t>
        </is>
      </c>
      <c r="G1252" s="9" t="inlineStr">
        <is>
          <t>EffectiveHits</t>
        </is>
      </c>
      <c r="H1252" s="9" t="inlineStr">
        <is>
          <t>ProcProbability</t>
        </is>
      </c>
      <c r="I1252" s="9" t="inlineStr">
        <is>
          <t>MapleHeroMultiplier</t>
        </is>
      </c>
      <c r="J1252" s="9" t="inlineStr">
        <is>
          <t>BaseDamage</t>
        </is>
      </c>
      <c r="K1252" s="9" t="inlineStr">
        <is>
          <t>BaseHitDamage</t>
        </is>
      </c>
      <c r="L1252" s="9" t="inlineStr">
        <is>
          <t>NonCritAvg</t>
        </is>
      </c>
      <c r="M1252" s="9" t="inlineStr">
        <is>
          <t>CritAvg</t>
        </is>
      </c>
      <c r="N1252" s="9" t="inlineStr">
        <is>
          <t>ExpectedDamage(perHit)</t>
        </is>
      </c>
      <c r="O1252" s="9" t="inlineStr">
        <is>
          <t>DPS</t>
        </is>
      </c>
      <c r="P1252" s="9" t="inlineStr">
        <is>
          <t>% of Total</t>
        </is>
      </c>
      <c r="Q1252" s="9" t="inlineStr">
        <is>
          <t>InvCooldown</t>
        </is>
      </c>
      <c r="R1252" s="9" t="inlineStr">
        <is>
          <t>CastsInFight</t>
        </is>
      </c>
      <c r="S1252" s="9" t="inlineStr">
        <is>
          <t>HitRate(perSec)</t>
        </is>
      </c>
      <c r="U1252" t="inlineStr">
        <is>
          <t>helpers</t>
        </is>
      </c>
    </row>
    <row r="1253">
      <c r="A1253">
        <f>Skills!A2</f>
        <v/>
      </c>
      <c r="B1253">
        <f>Skills!B2</f>
        <v/>
      </c>
      <c r="C1253">
        <f>Inputs!$B$3&gt;=100</f>
        <v/>
      </c>
      <c r="D1253" t="inlineStr"/>
      <c r="E1253" t="inlineStr"/>
      <c r="F1253">
        <f>U1255+Skills!O2</f>
        <v/>
      </c>
      <c r="G1253">
        <f>Skills!G2*IF(Skills!H2&gt;0,Skills!I2/Skills!H2,1)</f>
        <v/>
      </c>
      <c r="H1253">
        <f>1-(1-Skills!J2/100)^Skills!K2</f>
        <v/>
      </c>
      <c r="I1253" t="inlineStr">
        <is>
          <t>1</t>
        </is>
      </c>
      <c r="J1253">
        <f>((Inputs!$B$6*(1+Inputs!$B$7/100))+(((Inputs!$B$12*(1+Inputs!$B$13/100))-(Inputs!$B$12*(1+Inputs!$B$13/100)))+0.25*(Inputs!$B$14-Inputs!$B$14))*(1+Inputs!$B$7/100))*(F1253/100)</f>
        <v/>
      </c>
      <c r="K1253">
        <f>J1253*(1+((Inputs!$B$12*(1+Inputs!$B$13/100))*0.01+Inputs!$B$14*0.0025)/100)*(1+Inputs!$B$15/100)*(1+Inputs!$B$16/100)*(5000/(6000+Inputs!$B$42*(1-(Inputs!$B$19+0)/100)))*(1+(Inputs!$B$24+((C1277=TRUE)*(F1277-Calc!F26))+B1287)/100)*(1+(IF(Skills!A2="EIGHT_LEGS_EASTON",Inputs!$B$17+((C1274=TRUE)*(F1274-Calc!F23))+((C1278=TRUE)*(F1278-Calc!F27)),Inputs!$B$18+0))/100)*((1+(((C1268=TRUE)*F1268)+((C1275=TRUE)*(F1275-Calc!F24)))/100)*I1253)</f>
        <v/>
      </c>
      <c r="L1253">
        <f>K1253*(MIN(Inputs!$B$22+((C1273=TRUE)*(F1273-Calc!F22)),Inputs!$B$23+0)/100+(Inputs!$B$23+0)/100)/2</f>
        <v/>
      </c>
      <c r="M1253">
        <f>L1253*(1+(Inputs!$B$10+((C1276=TRUE)*(F1276-Calc!F25))+B1286)/100)</f>
        <v/>
      </c>
      <c r="N1253">
        <f>L1253*(1-MIN((Inputs!$B$9+((C1270=TRUE)*(F1270-Calc!F19))+B1281),100)/100)+M1253*(MIN((Inputs!$B$9+((C1270=TRUE)*(F1270-Calc!F19))+B1281),100)/100)</f>
        <v/>
      </c>
      <c r="O1253">
        <f>(1-Summary!$B$55)*T1253+Summary!$B$55*V1253</f>
        <v/>
      </c>
      <c r="P1253">
        <f>IF(B1291=0,0,O1253/B1291)</f>
        <v/>
      </c>
      <c r="Q1253" t="n">
        <v>0</v>
      </c>
      <c r="R1253" t="n">
        <v>0</v>
      </c>
      <c r="S1253">
        <f>IFERROR(O1253/N1253,0)</f>
        <v/>
      </c>
      <c r="T1253">
        <f>IF(C1253,(Skills!G2*N1253*B1285)*IF(Inputs!$B$38="pvp",1,1+(Inputs!$B$20+0+Skills!P2)/100),0)</f>
        <v/>
      </c>
      <c r="U1253">
        <f>MAX(0,(Inputs!$B$3-100)*3)+Inputs!$B$28+Inputs!$B$29</f>
        <v/>
      </c>
      <c r="V1253">
        <f>IF(C1253,(Skills!G2*N1253*B1285)*IF(Inputs!$B$38="pvp",1,(1+(Inputs!$B$21+Skills!Q2)/100)*(MIN((6+Inputs!$B$33),Inputs!$B$37))),0)</f>
        <v/>
      </c>
    </row>
    <row r="1254">
      <c r="A1254">
        <f>Skills!A3</f>
        <v/>
      </c>
      <c r="B1254">
        <f>Skills!B3</f>
        <v/>
      </c>
      <c r="C1254">
        <f>Inputs!$B$3&gt;=35</f>
        <v/>
      </c>
      <c r="D1254">
        <f>IF(Skills!C3=1,60+Inputs!$B$25+Inputs!$B$29,IF(Skills!C3=2,90+Inputs!$B$26+Inputs!$B$29,IF(Skills!C3=3,120+Inputs!$B$27+Inputs!$B$29,MAX(0,(Inputs!$B$3-100)*3)+Inputs!$B$28+Inputs!$B$29)))</f>
        <v/>
      </c>
      <c r="E1254">
        <f>INDEX(FactorTable!$B$2:$Y$301, MATCH(ROUND(MIN(300,MAX(1,D1254)),0), FactorTable!$A$2:$A$301,0), Skills!M3+1)</f>
        <v/>
      </c>
      <c r="F1254">
        <f>IF(Skills!N3=TRUE,(Skills!L3/10)*(E1254/1000),Skills!L3/10)+Skills!O3</f>
        <v/>
      </c>
      <c r="G1254">
        <f>Skills!G3*IF(Skills!H3&gt;0,Skills!I3/Skills!H3,1)</f>
        <v/>
      </c>
      <c r="H1254">
        <f>1-(1-Skills!J3/100)^Skills!K3</f>
        <v/>
      </c>
      <c r="I1254" t="inlineStr">
        <is>
          <t>1</t>
        </is>
      </c>
      <c r="J1254">
        <f>((Inputs!$B$6*(1+Inputs!$B$7/100))+(((Inputs!$B$12*(1+Inputs!$B$13/100))-(Inputs!$B$12*(1+Inputs!$B$13/100)))+0.25*(Inputs!$B$14-Inputs!$B$14))*(1+Inputs!$B$7/100))*(F1254/100)</f>
        <v/>
      </c>
      <c r="K1254">
        <f>J1254*(1+((Inputs!$B$12*(1+Inputs!$B$13/100))*0.01+Inputs!$B$14*0.0025)/100)*(1+Inputs!$B$15/100)*(1+Inputs!$B$16/100)*(5000/(6000+Inputs!$B$42*(1-(Inputs!$B$19+0)/100)))*(1+(Inputs!$B$24+((C1277=TRUE)*(F1277-Calc!F26))+B1287)/100)*(1+4.0*IF(C1266=TRUE,F1266,0)/100)*(1+(IF(Skills!A3="EIGHT_LEGS_EASTON",Inputs!$B$17+((C1274=TRUE)*(F1274-Calc!F23))+((C1278=TRUE)*(F1278-Calc!F27)),Inputs!$B$18+0))/100)*((1+(((C1268=TRUE)*F1268)+((C1275=TRUE)*(F1275-Calc!F24)))/100)*I1254)</f>
        <v/>
      </c>
      <c r="L1254">
        <f>K1254*(MIN(Inputs!$B$22+((C1273=TRUE)*(F1273-Calc!F22)),Inputs!$B$23+0)/100+(Inputs!$B$23+0)/100)/2</f>
        <v/>
      </c>
      <c r="M1254">
        <f>L1254*(1+(Inputs!$B$10+((C1276=TRUE)*(F1276-Calc!F25))+B1286)/100)</f>
        <v/>
      </c>
      <c r="N1254">
        <f>L1254*(1-MIN((Inputs!$B$9+((C1270=TRUE)*(F1270-Calc!F19))+B1281),100)/100)+M1254*(MIN((Inputs!$B$9+((C1270=TRUE)*(F1270-Calc!F19))+B1281),100)/100)</f>
        <v/>
      </c>
      <c r="O1254">
        <f>(1-Summary!$B$55)*T1254+Summary!$B$55*V1254</f>
        <v/>
      </c>
      <c r="P1254">
        <f>IF(B1291=0,0,O1254/B1291)</f>
        <v/>
      </c>
      <c r="Q1254">
        <f>IFERROR(1/IF(Inputs!$B$38="pvp",15,MAX(0.1,Skills!D3-IF(Skills!E3=TRUE,1.5,0))),0)</f>
        <v/>
      </c>
      <c r="R1254">
        <f>IF(AND(Inputs!$B$38&lt;&gt;"pvp",Inputs!$B$43&gt;0),IF(MAX(0,Inputs!$B$43-B1288)&lt;=0,0,(INT(MAX(0,Inputs!$B$43-B1288)/IF(Inputs!$B$38="pvp",15,MAX(0.1,Skills!D3-IF(Skills!E3=TRUE,1.5,0))))+1)),0)</f>
        <v/>
      </c>
      <c r="S1254">
        <f>IFERROR(O1254/N1254,0)</f>
        <v/>
      </c>
      <c r="T1254">
        <f>IF(C1254,(H1254*N1254*IF(AND(Inputs!$B$38&lt;&gt;"pvp",Inputs!$B$43&gt;0),((Skills!G3*((R1254-1)*IF(Skills!H3&gt;0,Skills!I3/Skills!H3,1)+IF(Skills!H3&gt;0,MIN(Skills!I3,MAX(0,MAX(0,Inputs!$B$43-B1288)-((R1254-1)*IF(Inputs!$B$38="pvp",15,MAX(0.1,Skills!D3-IF(Skills!E3=TRUE,1.5,0))))))/Skills!H3,1)))/Inputs!$B$43),G1254*Q1254))*IF(Inputs!$B$38="pvp",1,1+(Inputs!$B$20+0+Skills!P3)/100),0)</f>
        <v/>
      </c>
      <c r="U1254">
        <f>INDEX(FactorTable!$B$2:$Y$301, MATCH(ROUND(MIN(300,MAX(1,U1253)),0), FactorTable!$A$2:$A$301,0), 22)</f>
        <v/>
      </c>
      <c r="V1254">
        <f>IF(C1254,(H1254*N1254*IF(AND(Inputs!$B$38&lt;&gt;"pvp",Inputs!$B$43&gt;0),((Skills!G3*((R1254-1)*IF(Skills!H3&gt;0,Skills!I3/Skills!H3,1)+IF(Skills!H3&gt;0,MIN(Skills!I3,MAX(0,MAX(0,Inputs!$B$43-B1288)-((R1254-1)*IF(Inputs!$B$38="pvp",15,MAX(0.1,Skills!D3-IF(Skills!E3=TRUE,1.5,0))))))/Skills!H3,1)))/Inputs!$B$43),G1254*Q1254))*IF(Inputs!$B$38="pvp",1,(1+(Inputs!$B$21+Skills!Q3)/100)*(MIN(Skills!R3,Inputs!$B$37))),0)</f>
        <v/>
      </c>
    </row>
    <row r="1255">
      <c r="A1255">
        <f>Skills!A4</f>
        <v/>
      </c>
      <c r="B1255">
        <f>Skills!B4</f>
        <v/>
      </c>
      <c r="C1255">
        <f>Inputs!$B$3&gt;=40</f>
        <v/>
      </c>
      <c r="D1255">
        <f>IF(Skills!C4=1,60+Inputs!$B$25+Inputs!$B$29,IF(Skills!C4=2,90+Inputs!$B$26+Inputs!$B$29,IF(Skills!C4=3,120+Inputs!$B$27+Inputs!$B$29,MAX(0,(Inputs!$B$3-100)*3)+Inputs!$B$28+Inputs!$B$29)))</f>
        <v/>
      </c>
      <c r="E1255">
        <f>INDEX(FactorTable!$B$2:$Y$301, MATCH(ROUND(MIN(300,MAX(1,D1255)),0), FactorTable!$A$2:$A$301,0), Skills!M4+1)</f>
        <v/>
      </c>
      <c r="F1255">
        <f>IF(Skills!N4=TRUE,(Skills!L4/10)*(E1255/1000),Skills!L4/10)+Skills!O4</f>
        <v/>
      </c>
      <c r="G1255">
        <f>Skills!G4*IF(Skills!H4&gt;0,Skills!I4/Skills!H4,1)</f>
        <v/>
      </c>
      <c r="H1255">
        <f>1-(1-Skills!J4/100)^Skills!K4</f>
        <v/>
      </c>
      <c r="I1255" t="inlineStr">
        <is>
          <t>1</t>
        </is>
      </c>
      <c r="J1255">
        <f>((Inputs!$B$6*(1+Inputs!$B$7/100))+(((Inputs!$B$12*(1+Inputs!$B$13/100))-(Inputs!$B$12*(1+Inputs!$B$13/100)))+0.25*(Inputs!$B$14-Inputs!$B$14))*(1+Inputs!$B$7/100))*(F1255/100)</f>
        <v/>
      </c>
      <c r="K1255">
        <f>J1255*(1+((Inputs!$B$12*(1+Inputs!$B$13/100))*0.01+Inputs!$B$14*0.0025)/100)*(1+Inputs!$B$15/100)*(1+Inputs!$B$16/100)*(5000/(6000+Inputs!$B$42*(1-(Inputs!$B$19+0)/100)))*(1+(Inputs!$B$24+((C1277=TRUE)*(F1277-Calc!F26))+B1287)/100)*(1+1.0*IF(C1267=TRUE,F1267,0)/100)*(1+(IF(Skills!A4="EIGHT_LEGS_EASTON",Inputs!$B$17+((C1274=TRUE)*(F1274-Calc!F23))+((C1278=TRUE)*(F1278-Calc!F27)),Inputs!$B$18+0))/100)*((1+(((C1268=TRUE)*F1268)+((C1275=TRUE)*(F1275-Calc!F24)))/100)*I1255)</f>
        <v/>
      </c>
      <c r="L1255">
        <f>K1255*(MIN(Inputs!$B$22+((C1273=TRUE)*(F1273-Calc!F22)),Inputs!$B$23+0)/100+(Inputs!$B$23+0)/100)/2</f>
        <v/>
      </c>
      <c r="M1255">
        <f>L1255*(1+(Inputs!$B$10+((C1276=TRUE)*(F1276-Calc!F25))+B1286)/100)</f>
        <v/>
      </c>
      <c r="N1255">
        <f>L1255*(1-MIN((Inputs!$B$9+((C1270=TRUE)*(F1270-Calc!F19))+B1281),100)/100)+M1255*(MIN((Inputs!$B$9+((C1270=TRUE)*(F1270-Calc!F19))+B1281),100)/100)</f>
        <v/>
      </c>
      <c r="O1255">
        <f>(1-Summary!$B$55)*T1255+Summary!$B$55*V1255</f>
        <v/>
      </c>
      <c r="P1255">
        <f>IF(B1291=0,0,O1255/B1291)</f>
        <v/>
      </c>
      <c r="Q1255">
        <f>IFERROR(1/IF(Inputs!$B$38="pvp",15,MAX(0.1,Skills!D4-IF(Skills!E4=TRUE,1.5,0))),0)</f>
        <v/>
      </c>
      <c r="R1255">
        <f>IF(AND(Inputs!$B$38&lt;&gt;"pvp",Inputs!$B$43&gt;0),IF(MAX(0,Inputs!$B$43-B1288)&lt;=0,0,(INT(MAX(0,Inputs!$B$43-B1288)/IF(Inputs!$B$38="pvp",15,MAX(0.1,Skills!D4-IF(Skills!E4=TRUE,1.5,0))))+1)),0)</f>
        <v/>
      </c>
      <c r="S1255">
        <f>IFERROR(O1255/N1255,0)</f>
        <v/>
      </c>
      <c r="T1255">
        <f>IF(C1255,(H1255*N1255*IF(AND(Inputs!$B$38&lt;&gt;"pvp",Inputs!$B$43&gt;0),((Skills!G4*((R1255-1)*IF(Skills!H4&gt;0,Skills!I4/Skills!H4,1)+IF(Skills!H4&gt;0,MIN(Skills!I4,MAX(0,MAX(0,Inputs!$B$43-B1288)-((R1255-1)*IF(Inputs!$B$38="pvp",15,MAX(0.1,Skills!D4-IF(Skills!E4=TRUE,1.5,0))))))/Skills!H4,1)))/Inputs!$B$43),G1255*Q1255))*IF(Inputs!$B$38="pvp",1,1+(Inputs!$B$20+0+Skills!P4)/100),0)</f>
        <v/>
      </c>
      <c r="U1255">
        <f>290*U1254/1000</f>
        <v/>
      </c>
      <c r="V1255">
        <f>IF(C1255,(H1255*N1255*IF(AND(Inputs!$B$38&lt;&gt;"pvp",Inputs!$B$43&gt;0),((Skills!G4*((R1255-1)*IF(Skills!H4&gt;0,Skills!I4/Skills!H4,1)+IF(Skills!H4&gt;0,MIN(Skills!I4,MAX(0,MAX(0,Inputs!$B$43-B1288)-((R1255-1)*IF(Inputs!$B$38="pvp",15,MAX(0.1,Skills!D4-IF(Skills!E4=TRUE,1.5,0))))))/Skills!H4,1)))/Inputs!$B$43),G1255*Q1255))*IF(Inputs!$B$38="pvp",1,(1+(Inputs!$B$21+Skills!Q4)/100)*(MIN(Skills!R4,Inputs!$B$37))),0)</f>
        <v/>
      </c>
    </row>
    <row r="1256">
      <c r="A1256">
        <f>Skills!A5</f>
        <v/>
      </c>
      <c r="B1256">
        <f>Skills!B5</f>
        <v/>
      </c>
      <c r="C1256">
        <f>Inputs!$B$3&gt;=45</f>
        <v/>
      </c>
      <c r="D1256">
        <f>IF(Skills!C5=1,60+Inputs!$B$25+Inputs!$B$29,IF(Skills!C5=2,90+Inputs!$B$26+Inputs!$B$29,IF(Skills!C5=3,120+Inputs!$B$27+Inputs!$B$29,MAX(0,(Inputs!$B$3-100)*3)+Inputs!$B$28+Inputs!$B$29)))</f>
        <v/>
      </c>
      <c r="E1256">
        <f>INDEX(FactorTable!$B$2:$Y$301, MATCH(ROUND(MIN(300,MAX(1,D1256)),0), FactorTable!$A$2:$A$301,0), Skills!M5+1)</f>
        <v/>
      </c>
      <c r="F1256">
        <f>IF(Skills!N5=TRUE,(Skills!L5/10)*(E1256/1000),Skills!L5/10)+Skills!O5</f>
        <v/>
      </c>
      <c r="G1256">
        <f>Skills!G5*IF(Skills!H5&gt;0,Skills!I5/Skills!H5,1)</f>
        <v/>
      </c>
      <c r="H1256">
        <f>1-(1-Skills!J5/100)^Skills!K5</f>
        <v/>
      </c>
      <c r="I1256" t="inlineStr">
        <is>
          <t>1</t>
        </is>
      </c>
      <c r="J1256">
        <f>((Inputs!$B$6*(1+Inputs!$B$7/100))+(((Inputs!$B$12*(1+Inputs!$B$13/100))-(Inputs!$B$12*(1+Inputs!$B$13/100)))+0.25*(Inputs!$B$14-Inputs!$B$14))*(1+Inputs!$B$7/100))*(F1256/100)</f>
        <v/>
      </c>
      <c r="K1256">
        <f>J1256*(1+((Inputs!$B$12*(1+Inputs!$B$13/100))*0.01+Inputs!$B$14*0.0025)/100)*(1+Inputs!$B$15/100)*(1+Inputs!$B$16/100)*(5000/(6000+Inputs!$B$42*(1-(Inputs!$B$19+0)/100)))*(1+(Inputs!$B$24+((C1277=TRUE)*(F1277-Calc!F26))+B1287)/100)*(1+0.4*IF(C1267=TRUE,F1267,0)/100)*(1+(IF(Skills!A5="EIGHT_LEGS_EASTON",Inputs!$B$17+((C1274=TRUE)*(F1274-Calc!F23))+((C1278=TRUE)*(F1278-Calc!F27)),Inputs!$B$18+0))/100)*((1+(((C1268=TRUE)*F1268)+((C1275=TRUE)*(F1275-Calc!F24)))/100)*I1256)</f>
        <v/>
      </c>
      <c r="L1256">
        <f>K1256*(MIN(Inputs!$B$22+((C1273=TRUE)*(F1273-Calc!F22)),Inputs!$B$23+0)/100+(Inputs!$B$23+0)/100)/2</f>
        <v/>
      </c>
      <c r="M1256">
        <f>L1256*(1+(Inputs!$B$10+((C1276=TRUE)*(F1276-Calc!F25))+B1286)/100)</f>
        <v/>
      </c>
      <c r="N1256">
        <f>L1256*(1-MIN((Inputs!$B$9+((C1270=TRUE)*(F1270-Calc!F19))+B1281),100)/100)+M1256*(MIN((Inputs!$B$9+((C1270=TRUE)*(F1270-Calc!F19))+B1281),100)/100)</f>
        <v/>
      </c>
      <c r="O1256">
        <f>(1-Summary!$B$55)*T1256+Summary!$B$55*V1256</f>
        <v/>
      </c>
      <c r="P1256">
        <f>IF(B1291=0,0,O1256/B1291)</f>
        <v/>
      </c>
      <c r="Q1256">
        <f>IFERROR(1/IF(Inputs!$B$38="pvp",15,MAX(0.1,Skills!D5-IF(Skills!E5=TRUE,1.5,0))),0)</f>
        <v/>
      </c>
      <c r="R1256">
        <f>IF(AND(Inputs!$B$38&lt;&gt;"pvp",Inputs!$B$43&gt;0),IF(MAX(0,Inputs!$B$43-B1288)&lt;=0,0,(INT(MAX(0,Inputs!$B$43-B1288)/IF(Inputs!$B$38="pvp",15,MAX(0.1,Skills!D5-IF(Skills!E5=TRUE,1.5,0))))+1)),0)</f>
        <v/>
      </c>
      <c r="S1256">
        <f>IFERROR(O1256/N1256,0)</f>
        <v/>
      </c>
      <c r="T1256">
        <f>IF(C1256,(H1256*N1256*IF(AND(Inputs!$B$38&lt;&gt;"pvp",Inputs!$B$43&gt;0),((Skills!G5*((R1256-1)*IF(Skills!H5&gt;0,Skills!I5/Skills!H5,1)+IF(Skills!H5&gt;0,MIN(Skills!I5,MAX(0,MAX(0,Inputs!$B$43-B1288)-((R1256-1)*IF(Inputs!$B$38="pvp",15,MAX(0.1,Skills!D5-IF(Skills!E5=TRUE,1.5,0))))))/Skills!H5,1)))/Inputs!$B$43),G1256*Q1256))*IF(Inputs!$B$38="pvp",1,1+(Inputs!$B$20+0+Skills!P5)/100),0)</f>
        <v/>
      </c>
      <c r="V1256">
        <f>IF(C1256,(H1256*N1256*IF(AND(Inputs!$B$38&lt;&gt;"pvp",Inputs!$B$43&gt;0),((Skills!G5*((R1256-1)*IF(Skills!H5&gt;0,Skills!I5/Skills!H5,1)+IF(Skills!H5&gt;0,MIN(Skills!I5,MAX(0,MAX(0,Inputs!$B$43-B1288)-((R1256-1)*IF(Inputs!$B$38="pvp",15,MAX(0.1,Skills!D5-IF(Skills!E5=TRUE,1.5,0))))))/Skills!H5,1)))/Inputs!$B$43),G1256*Q1256))*IF(Inputs!$B$38="pvp",1,(1+(Inputs!$B$21+Skills!Q5)/100)*(MIN(Skills!R5,Inputs!$B$37))),0)</f>
        <v/>
      </c>
    </row>
    <row r="1257">
      <c r="A1257">
        <f>Skills!A6</f>
        <v/>
      </c>
      <c r="B1257">
        <f>Skills!B6</f>
        <v/>
      </c>
      <c r="C1257">
        <f>Inputs!$B$3&gt;=63</f>
        <v/>
      </c>
      <c r="D1257">
        <f>IF(Skills!C6=1,60+Inputs!$B$25+Inputs!$B$29,IF(Skills!C6=2,90+Inputs!$B$26+Inputs!$B$29,IF(Skills!C6=3,120+Inputs!$B$27+Inputs!$B$29,MAX(0,(Inputs!$B$3-100)*3)+Inputs!$B$28+Inputs!$B$29)))</f>
        <v/>
      </c>
      <c r="E1257">
        <f>INDEX(FactorTable!$B$2:$Y$301, MATCH(ROUND(MIN(300,MAX(1,D1257)),0), FactorTable!$A$2:$A$301,0), Skills!M6+1)</f>
        <v/>
      </c>
      <c r="F1257">
        <f>IF(Skills!N6=TRUE,(Skills!L6/10)*(E1257/1000),Skills!L6/10)+Skills!O6</f>
        <v/>
      </c>
      <c r="G1257">
        <f>Skills!G6*IF(Skills!H6&gt;0,Skills!I6/Skills!H6,1)</f>
        <v/>
      </c>
      <c r="H1257">
        <f>1-(1-Skills!J6/100)^Skills!K6</f>
        <v/>
      </c>
      <c r="I1257" t="inlineStr">
        <is>
          <t>1</t>
        </is>
      </c>
      <c r="J1257">
        <f>((Inputs!$B$6*(1+Inputs!$B$7/100))+(((Inputs!$B$12*(1+Inputs!$B$13/100))-(Inputs!$B$12*(1+Inputs!$B$13/100)))+0.25*(Inputs!$B$14-Inputs!$B$14))*(1+Inputs!$B$7/100))*(F1257/100)</f>
        <v/>
      </c>
      <c r="K1257">
        <f>J1257*(1+((Inputs!$B$12*(1+Inputs!$B$13/100))*0.01+Inputs!$B$14*0.0025)/100)*(1+Inputs!$B$15/100)*(1+Inputs!$B$16/100)*(5000/(6000+Inputs!$B$42*(1-(Inputs!$B$19+0)/100)))*(1+(Inputs!$B$24+((C1277=TRUE)*(F1277-Calc!F26))+B1287)/100)*(1+2.0*IF(C1266=TRUE,F1266,0)/100)*(1+(IF(Skills!A6="EIGHT_LEGS_EASTON",Inputs!$B$17+((C1274=TRUE)*(F1274-Calc!F23))+((C1278=TRUE)*(F1278-Calc!F27)),Inputs!$B$18+0))/100)*((1+(((C1268=TRUE)*F1268)+((C1275=TRUE)*(F1275-Calc!F24)))/100)*I1257)</f>
        <v/>
      </c>
      <c r="L1257">
        <f>K1257*(MIN(Inputs!$B$22+((C1273=TRUE)*(F1273-Calc!F22)),Inputs!$B$23+0)/100+(Inputs!$B$23+0)/100)/2</f>
        <v/>
      </c>
      <c r="M1257">
        <f>L1257*(1+(Inputs!$B$10+((C1276=TRUE)*(F1276-Calc!F25))+B1286)/100)</f>
        <v/>
      </c>
      <c r="N1257">
        <f>L1257*(1-MIN((Inputs!$B$9+((C1270=TRUE)*(F1270-Calc!F19))+B1281),100)/100)+M1257*(MIN((Inputs!$B$9+((C1270=TRUE)*(F1270-Calc!F19))+B1281),100)/100)</f>
        <v/>
      </c>
      <c r="O1257">
        <f>(1-Summary!$B$55)*T1257+Summary!$B$55*V1257</f>
        <v/>
      </c>
      <c r="P1257">
        <f>IF(B1291=0,0,O1257/B1291)</f>
        <v/>
      </c>
      <c r="Q1257">
        <f>IFERROR(1/IF(Inputs!$B$38="pvp",15,MAX(0.1,Skills!D6-IF(Skills!E6=TRUE,1.5,0))),0)</f>
        <v/>
      </c>
      <c r="R1257">
        <f>IF(AND(Inputs!$B$38&lt;&gt;"pvp",Inputs!$B$43&gt;0),IF(MAX(0,Inputs!$B$43-B1288)&lt;=0,0,(INT(MAX(0,Inputs!$B$43-B1288)/IF(Inputs!$B$38="pvp",15,MAX(0.1,Skills!D6-IF(Skills!E6=TRUE,1.5,0))))+1)),0)</f>
        <v/>
      </c>
      <c r="S1257">
        <f>IFERROR(O1257/N1257,0)</f>
        <v/>
      </c>
      <c r="T1257">
        <f>IF(C1257,(H1257*N1257*IF(AND(Inputs!$B$38&lt;&gt;"pvp",Inputs!$B$43&gt;0),((Skills!G6*((R1257-1)*IF(Skills!H6&gt;0,Skills!I6/Skills!H6,1)+IF(Skills!H6&gt;0,MIN(Skills!I6,MAX(0,MAX(0,Inputs!$B$43-B1288)-((R1257-1)*IF(Inputs!$B$38="pvp",15,MAX(0.1,Skills!D6-IF(Skills!E6=TRUE,1.5,0))))))/Skills!H6,1)))/Inputs!$B$43),G1257*Q1257))*IF(Inputs!$B$38="pvp",1,1+(Inputs!$B$20+0+Skills!P6)/100),0)</f>
        <v/>
      </c>
      <c r="V1257">
        <f>IF(C1257,(H1257*N1257*IF(AND(Inputs!$B$38&lt;&gt;"pvp",Inputs!$B$43&gt;0),((Skills!G6*((R1257-1)*IF(Skills!H6&gt;0,Skills!I6/Skills!H6,1)+IF(Skills!H6&gt;0,MIN(Skills!I6,MAX(0,MAX(0,Inputs!$B$43-B1288)-((R1257-1)*IF(Inputs!$B$38="pvp",15,MAX(0.1,Skills!D6-IF(Skills!E6=TRUE,1.5,0))))))/Skills!H6,1)))/Inputs!$B$43),G1257*Q1257))*IF(Inputs!$B$38="pvp",1,(1+(Inputs!$B$21+Skills!Q6)/100)*(MIN(Skills!R6,Inputs!$B$37))),0)</f>
        <v/>
      </c>
    </row>
    <row r="1258">
      <c r="A1258">
        <f>Skills!A7</f>
        <v/>
      </c>
      <c r="B1258">
        <f>Skills!B7</f>
        <v/>
      </c>
      <c r="C1258">
        <f>Inputs!$B$3&gt;=66</f>
        <v/>
      </c>
      <c r="D1258">
        <f>IF(Skills!C7=1,60+Inputs!$B$25+Inputs!$B$29,IF(Skills!C7=2,90+Inputs!$B$26+Inputs!$B$29,IF(Skills!C7=3,120+Inputs!$B$27+Inputs!$B$29,MAX(0,(Inputs!$B$3-100)*3)+Inputs!$B$28+Inputs!$B$29)))</f>
        <v/>
      </c>
      <c r="E1258">
        <f>INDEX(FactorTable!$B$2:$Y$301, MATCH(ROUND(MIN(300,MAX(1,D1258)),0), FactorTable!$A$2:$A$301,0), Skills!M7+1)</f>
        <v/>
      </c>
      <c r="F1258">
        <f>IF(Skills!N7=TRUE,(Skills!L7/10)*(E1258/1000),Skills!L7/10)+Skills!O7</f>
        <v/>
      </c>
      <c r="G1258">
        <f>Skills!G7*IF(Skills!H7&gt;0,Skills!I7/Skills!H7,1)</f>
        <v/>
      </c>
      <c r="H1258">
        <f>1-(1-Skills!J7/100)^Skills!K7</f>
        <v/>
      </c>
      <c r="I1258" t="inlineStr">
        <is>
          <t>1</t>
        </is>
      </c>
      <c r="J1258">
        <f>((Inputs!$B$6*(1+Inputs!$B$7/100))+(((Inputs!$B$12*(1+Inputs!$B$13/100))-(Inputs!$B$12*(1+Inputs!$B$13/100)))+0.25*(Inputs!$B$14-Inputs!$B$14))*(1+Inputs!$B$7/100))*(F1258/100)</f>
        <v/>
      </c>
      <c r="K1258">
        <f>J1258*(1+((Inputs!$B$12*(1+Inputs!$B$13/100))*0.01+Inputs!$B$14*0.0025)/100)*(1+Inputs!$B$15/100)*(1+Inputs!$B$16/100)*(5000/(6000+Inputs!$B$42*(1-(Inputs!$B$19+0)/100)))*(1+(Inputs!$B$24+((C1277=TRUE)*(F1277-Calc!F26))+B1287)/100)*(1+1.0*IF(C1266=TRUE,F1266,0)/100)*(1+(IF(Skills!A7="EIGHT_LEGS_EASTON",Inputs!$B$17+((C1274=TRUE)*(F1274-Calc!F23))+((C1278=TRUE)*(F1278-Calc!F27)),Inputs!$B$18+0))/100)*((1+(((C1268=TRUE)*F1268)+((C1275=TRUE)*(F1275-Calc!F24)))/100)*I1258)</f>
        <v/>
      </c>
      <c r="L1258">
        <f>K1258*(MIN(Inputs!$B$22+((C1273=TRUE)*(F1273-Calc!F22)),Inputs!$B$23+0)/100+(Inputs!$B$23+0)/100)/2</f>
        <v/>
      </c>
      <c r="M1258">
        <f>L1258*(1+(Inputs!$B$10+((C1276=TRUE)*(F1276-Calc!F25))+B1286)/100)</f>
        <v/>
      </c>
      <c r="N1258">
        <f>L1258*(1-MIN((Inputs!$B$9+((C1270=TRUE)*(F1270-Calc!F19))+B1281),100)/100)+M1258*(MIN((Inputs!$B$9+((C1270=TRUE)*(F1270-Calc!F19))+B1281),100)/100)</f>
        <v/>
      </c>
      <c r="O1258">
        <f>(1-Summary!$B$55)*T1258+Summary!$B$55*V1258</f>
        <v/>
      </c>
      <c r="P1258">
        <f>IF(B1291=0,0,O1258/B1291)</f>
        <v/>
      </c>
      <c r="Q1258">
        <f>IFERROR(1/IF(Inputs!$B$38="pvp",15,MAX(0.1,Skills!D7-IF(Skills!E7=TRUE,1.5,0))),0)</f>
        <v/>
      </c>
      <c r="R1258">
        <f>IF(AND(Inputs!$B$38&lt;&gt;"pvp",Inputs!$B$43&gt;0),IF(MAX(0,Inputs!$B$43-B1288)&lt;=0,0,(INT(MAX(0,Inputs!$B$43-B1288)/IF(Inputs!$B$38="pvp",15,MAX(0.1,Skills!D7-IF(Skills!E7=TRUE,1.5,0))))+1)),0)</f>
        <v/>
      </c>
      <c r="S1258">
        <f>IFERROR(O1258/N1258,0)</f>
        <v/>
      </c>
      <c r="T1258">
        <f>IF(C1258,(H1258*N1258*IF(AND(Inputs!$B$38&lt;&gt;"pvp",Inputs!$B$43&gt;0),((Skills!G7*((R1258-1)*IF(Skills!H7&gt;0,Skills!I7/Skills!H7,1)+IF(Skills!H7&gt;0,MIN(Skills!I7,MAX(0,MAX(0,Inputs!$B$43-B1288)-((R1258-1)*IF(Inputs!$B$38="pvp",15,MAX(0.1,Skills!D7-IF(Skills!E7=TRUE,1.5,0))))))/Skills!H7,1)))/Inputs!$B$43),G1258*Q1258))*IF(Inputs!$B$38="pvp",1,1+(Inputs!$B$20+0+Skills!P7)/100),0)</f>
        <v/>
      </c>
      <c r="V1258">
        <f>IF(C1258,(H1258*N1258*IF(AND(Inputs!$B$38&lt;&gt;"pvp",Inputs!$B$43&gt;0),((Skills!G7*((R1258-1)*IF(Skills!H7&gt;0,Skills!I7/Skills!H7,1)+IF(Skills!H7&gt;0,MIN(Skills!I7,MAX(0,MAX(0,Inputs!$B$43-B1288)-((R1258-1)*IF(Inputs!$B$38="pvp",15,MAX(0.1,Skills!D7-IF(Skills!E7=TRUE,1.5,0))))))/Skills!H7,1)))/Inputs!$B$43),G1258*Q1258))*IF(Inputs!$B$38="pvp",1,(1+(Inputs!$B$21+Skills!Q7)/100)*(MIN(Skills!R7,Inputs!$B$37))),0)</f>
        <v/>
      </c>
    </row>
    <row r="1259">
      <c r="A1259">
        <f>Skills!A8</f>
        <v/>
      </c>
      <c r="B1259">
        <f>Skills!B8</f>
        <v/>
      </c>
      <c r="C1259">
        <f>Inputs!$B$3&gt;=100</f>
        <v/>
      </c>
      <c r="D1259">
        <f>IF(Skills!C8=1,60+Inputs!$B$25+Inputs!$B$29,IF(Skills!C8=2,90+Inputs!$B$26+Inputs!$B$29,IF(Skills!C8=3,120+Inputs!$B$27+Inputs!$B$29,MAX(0,(Inputs!$B$3-100)*3)+Inputs!$B$28+Inputs!$B$29)))</f>
        <v/>
      </c>
      <c r="E1259">
        <f>INDEX(FactorTable!$B$2:$Y$301, MATCH(ROUND(MIN(300,MAX(1,D1259)),0), FactorTable!$A$2:$A$301,0), Skills!M8+1)</f>
        <v/>
      </c>
      <c r="F1259">
        <f>IF(Skills!N8=TRUE,(Skills!L8/10)*(E1259/1000),Skills!L8/10)+Skills!O8</f>
        <v/>
      </c>
      <c r="G1259">
        <f>Skills!G8*IF(Skills!H8&gt;0,Skills!I8/Skills!H8,1)</f>
        <v/>
      </c>
      <c r="H1259">
        <f>1-(1-Skills!J8/100)^Skills!K8</f>
        <v/>
      </c>
      <c r="I1259" t="inlineStr">
        <is>
          <t>1</t>
        </is>
      </c>
      <c r="J1259">
        <f>((Inputs!$B$6*(1+Inputs!$B$7/100))+(((Inputs!$B$12*(1+Inputs!$B$13/100))-(Inputs!$B$12*(1+Inputs!$B$13/100)))+0.25*(Inputs!$B$14-Inputs!$B$14))*(1+Inputs!$B$7/100))*(F1259/100)</f>
        <v/>
      </c>
      <c r="K1259">
        <f>J1259*(1+((Inputs!$B$12*(1+Inputs!$B$13/100))*0.01+Inputs!$B$14*0.0025)/100)*(1+Inputs!$B$15/100)*(1+Inputs!$B$16/100)*(5000/(6000+Inputs!$B$42*(1-(Inputs!$B$19+0)/100)))*(1+(Inputs!$B$24+((C1277=TRUE)*(F1277-Calc!F26))+B1287)/100)*(1+(IF(Skills!A8="EIGHT_LEGS_EASTON",Inputs!$B$17+((C1274=TRUE)*(F1274-Calc!F23))+((C1278=TRUE)*(F1278-Calc!F27)),Inputs!$B$18+0))/100)*((1+(((C1268=TRUE)*F1268)+((C1275=TRUE)*(F1275-Calc!F24)))/100)*I1259)</f>
        <v/>
      </c>
      <c r="L1259">
        <f>K1259*(MIN(Inputs!$B$22+((C1273=TRUE)*(F1273-Calc!F22)),Inputs!$B$23+0)/100+(Inputs!$B$23+0)/100)/2</f>
        <v/>
      </c>
      <c r="M1259">
        <f>L1259*(1+(Inputs!$B$10+((C1276=TRUE)*(F1276-Calc!F25))+B1286)/100)</f>
        <v/>
      </c>
      <c r="N1259">
        <f>L1259*(1-MIN((Inputs!$B$9+((C1270=TRUE)*(F1270-Calc!F19))+B1281),100)/100)+M1259*(MIN((Inputs!$B$9+((C1270=TRUE)*(F1270-Calc!F19))+B1281),100)/100)</f>
        <v/>
      </c>
      <c r="O1259">
        <f>(1-Summary!$B$55)*T1259+Summary!$B$55*V1259</f>
        <v/>
      </c>
      <c r="P1259">
        <f>IF(B1291=0,0,O1259/B1291)</f>
        <v/>
      </c>
      <c r="Q1259">
        <f>IFERROR(1/IF(Inputs!$B$38="pvp",15,MAX(0.1,Skills!D8-IF(Skills!E8=TRUE,1.5,0))),0)</f>
        <v/>
      </c>
      <c r="R1259">
        <f>IF(AND(Inputs!$B$38&lt;&gt;"pvp",Inputs!$B$43&gt;0),IF(MAX(0,Inputs!$B$43-B1288)&lt;=0,0,(INT(MAX(0,Inputs!$B$43-B1288)/IF(Inputs!$B$38="pvp",15,MAX(0.1,Skills!D8-IF(Skills!E8=TRUE,1.5,0))))+1)),0)</f>
        <v/>
      </c>
      <c r="S1259">
        <f>IFERROR(O1259/N1259,0)</f>
        <v/>
      </c>
      <c r="T1259">
        <f>IF(C1259,(H1259*N1259*IF(AND(Inputs!$B$38&lt;&gt;"pvp",Inputs!$B$43&gt;0),((Skills!G8*((R1259-1)*IF(Skills!H8&gt;0,Skills!I8/Skills!H8,1)+IF(Skills!H8&gt;0,MIN(Skills!I8,MAX(0,MAX(0,Inputs!$B$43-B1288)-((R1259-1)*IF(Inputs!$B$38="pvp",15,MAX(0.1,Skills!D8-IF(Skills!E8=TRUE,1.5,0))))))/Skills!H8,1)))/Inputs!$B$43),G1259*Q1259))*IF(Inputs!$B$38="pvp",1,1+(Inputs!$B$20+0+Skills!P8)/100),0)</f>
        <v/>
      </c>
      <c r="V1259">
        <f>IF(C1259,(H1259*N1259*IF(AND(Inputs!$B$38&lt;&gt;"pvp",Inputs!$B$43&gt;0),((Skills!G8*((R1259-1)*IF(Skills!H8&gt;0,Skills!I8/Skills!H8,1)+IF(Skills!H8&gt;0,MIN(Skills!I8,MAX(0,MAX(0,Inputs!$B$43-B1288)-((R1259-1)*IF(Inputs!$B$38="pvp",15,MAX(0.1,Skills!D8-IF(Skills!E8=TRUE,1.5,0))))))/Skills!H8,1)))/Inputs!$B$43),G1259*Q1259))*IF(Inputs!$B$38="pvp",1,(1+(Inputs!$B$21+Skills!Q8)/100)*(MIN(Skills!R8,Inputs!$B$37))),0)</f>
        <v/>
      </c>
    </row>
    <row r="1260">
      <c r="A1260">
        <f>Skills!A9</f>
        <v/>
      </c>
      <c r="B1260">
        <f>Skills!B9</f>
        <v/>
      </c>
      <c r="C1260">
        <f>Inputs!$B$3&gt;=103</f>
        <v/>
      </c>
      <c r="D1260">
        <f>IF(Skills!C9=1,60+Inputs!$B$25+Inputs!$B$29,IF(Skills!C9=2,90+Inputs!$B$26+Inputs!$B$29,IF(Skills!C9=3,120+Inputs!$B$27+Inputs!$B$29,MAX(0,(Inputs!$B$3-100)*3)+Inputs!$B$28+Inputs!$B$29)))</f>
        <v/>
      </c>
      <c r="E1260">
        <f>INDEX(FactorTable!$B$2:$Y$301, MATCH(ROUND(MIN(300,MAX(1,D1260)),0), FactorTable!$A$2:$A$301,0), Skills!M9+1)</f>
        <v/>
      </c>
      <c r="F1260">
        <f>IF(Skills!N9=TRUE,(Skills!L9/10)*(E1260/1000),Skills!L9/10)+Skills!O9</f>
        <v/>
      </c>
      <c r="G1260">
        <f>Skills!G9*IF(Skills!H9&gt;0,Skills!I9/Skills!H9,1)</f>
        <v/>
      </c>
      <c r="H1260">
        <f>1-(1-Skills!J9/100)^Skills!K9</f>
        <v/>
      </c>
      <c r="I1260" t="inlineStr">
        <is>
          <t>1</t>
        </is>
      </c>
      <c r="J1260">
        <f>((Inputs!$B$6*(1+Inputs!$B$7/100))+(((Inputs!$B$12*(1+Inputs!$B$13/100))-(Inputs!$B$12*(1+Inputs!$B$13/100)))+0.25*(Inputs!$B$14-Inputs!$B$14))*(1+Inputs!$B$7/100))*(F1260/100)</f>
        <v/>
      </c>
      <c r="K1260">
        <f>J1260*(1+((Inputs!$B$12*(1+Inputs!$B$13/100))*0.01+Inputs!$B$14*0.0025)/100)*(1+Inputs!$B$15/100)*(1+Inputs!$B$16/100)*(5000/(6000+Inputs!$B$42*(1-(Inputs!$B$19+0)/100)))*(1+(Inputs!$B$24+((C1277=TRUE)*(F1277-Calc!F26))+B1287)/100)*(1+(IF(Skills!A9="EIGHT_LEGS_EASTON",Inputs!$B$17+((C1274=TRUE)*(F1274-Calc!F23))+((C1278=TRUE)*(F1278-Calc!F27)),Inputs!$B$18+0))/100)*((1+(((C1268=TRUE)*F1268)+((C1275=TRUE)*(F1275-Calc!F24)))/100)*I1260)</f>
        <v/>
      </c>
      <c r="L1260">
        <f>K1260*(MIN(Inputs!$B$22+((C1273=TRUE)*(F1273-Calc!F22)),Inputs!$B$23+0)/100+(Inputs!$B$23+0)/100)/2</f>
        <v/>
      </c>
      <c r="M1260">
        <f>L1260*(1+(Inputs!$B$10+((C1276=TRUE)*(F1276-Calc!F25))+B1286)/100)</f>
        <v/>
      </c>
      <c r="N1260">
        <f>L1260*(1-MIN((Inputs!$B$9+((C1270=TRUE)*(F1270-Calc!F19))+B1281),100)/100)+M1260*(MIN((Inputs!$B$9+((C1270=TRUE)*(F1270-Calc!F19))+B1281),100)/100)</f>
        <v/>
      </c>
      <c r="O1260">
        <f>(1-Summary!$B$55)*T1260+Summary!$B$55*V1260</f>
        <v/>
      </c>
      <c r="P1260">
        <f>IF(B1291=0,0,O1260/B1291)</f>
        <v/>
      </c>
      <c r="Q1260">
        <f>IFERROR(1/IF(Inputs!$B$38="pvp",15,MAX(0.1,Skills!D9-IF(Skills!E9=TRUE,1.5,0))),0)</f>
        <v/>
      </c>
      <c r="R1260">
        <f>IF(AND(Inputs!$B$38&lt;&gt;"pvp",Inputs!$B$43&gt;0),IF(MAX(0,Inputs!$B$43-B1288)&lt;=0,0,(INT(MAX(0,Inputs!$B$43-B1288)/IF(Inputs!$B$38="pvp",15,MAX(0.1,Skills!D9-IF(Skills!E9=TRUE,1.5,0))))+1)),0)</f>
        <v/>
      </c>
      <c r="S1260">
        <f>IFERROR(O1260/N1260,0)</f>
        <v/>
      </c>
      <c r="T1260">
        <f>IF(C1260,(H1260*N1260*IF(AND(Inputs!$B$38&lt;&gt;"pvp",Inputs!$B$43&gt;0),((Skills!G9*((R1260-1)*IF(Skills!H9&gt;0,Skills!I9/Skills!H9,1)+IF(Skills!H9&gt;0,MIN(Skills!I9,MAX(0,MAX(0,Inputs!$B$43-B1288)-((R1260-1)*IF(Inputs!$B$38="pvp",15,MAX(0.1,Skills!D9-IF(Skills!E9=TRUE,1.5,0))))))/Skills!H9,1)))/Inputs!$B$43),G1260*Q1260))*IF(Inputs!$B$38="pvp",1,1+(Inputs!$B$20+0+Skills!P9)/100),0)</f>
        <v/>
      </c>
      <c r="V1260">
        <f>IF(C1260,(H1260*N1260*IF(AND(Inputs!$B$38&lt;&gt;"pvp",Inputs!$B$43&gt;0),((Skills!G9*((R1260-1)*IF(Skills!H9&gt;0,Skills!I9/Skills!H9,1)+IF(Skills!H9&gt;0,MIN(Skills!I9,MAX(0,MAX(0,Inputs!$B$43-B1288)-((R1260-1)*IF(Inputs!$B$38="pvp",15,MAX(0.1,Skills!D9-IF(Skills!E9=TRUE,1.5,0))))))/Skills!H9,1)))/Inputs!$B$43),G1260*Q1260))*IF(Inputs!$B$38="pvp",1,(1+(Inputs!$B$21+Skills!Q9)/100)*(MIN(Skills!R9,Inputs!$B$37))),0)</f>
        <v/>
      </c>
    </row>
    <row r="1261">
      <c r="A1261">
        <f>Skills!A10</f>
        <v/>
      </c>
      <c r="B1261">
        <f>Skills!B10</f>
        <v/>
      </c>
      <c r="C1261">
        <f>Inputs!$B$3&gt;=113</f>
        <v/>
      </c>
      <c r="D1261">
        <f>IF(Skills!C10=1,60+Inputs!$B$25+Inputs!$B$29,IF(Skills!C10=2,90+Inputs!$B$26+Inputs!$B$29,IF(Skills!C10=3,120+Inputs!$B$27+Inputs!$B$29,MAX(0,(Inputs!$B$3-100)*3)+Inputs!$B$28+Inputs!$B$29)))</f>
        <v/>
      </c>
      <c r="E1261">
        <f>INDEX(FactorTable!$B$2:$Y$301, MATCH(ROUND(MIN(300,MAX(1,D1261)),0), FactorTable!$A$2:$A$301,0), Skills!M10+1)</f>
        <v/>
      </c>
      <c r="F1261">
        <f>IF(Skills!N10=TRUE,(Skills!L10/10)*(E1261/1000),Skills!L10/10)+Skills!O10</f>
        <v/>
      </c>
      <c r="G1261">
        <f>Skills!G10*IF(Skills!H10&gt;0,Skills!I10/Skills!H10,1)</f>
        <v/>
      </c>
      <c r="H1261">
        <f>1-(1-Skills!J10/100)^Skills!K10</f>
        <v/>
      </c>
      <c r="I1261" t="inlineStr">
        <is>
          <t>1</t>
        </is>
      </c>
      <c r="J1261">
        <f>((Inputs!$B$6*(1+Inputs!$B$7/100))+(((Inputs!$B$12*(1+Inputs!$B$13/100))-(Inputs!$B$12*(1+Inputs!$B$13/100)))+0.25*(Inputs!$B$14-Inputs!$B$14))*(1+Inputs!$B$7/100))*(F1261/100)</f>
        <v/>
      </c>
      <c r="K1261">
        <f>J1261*(1+((Inputs!$B$12*(1+Inputs!$B$13/100))*0.01+Inputs!$B$14*0.0025)/100)*(1+Inputs!$B$15/100)*(1+Inputs!$B$16/100)*(5000/(6000+Inputs!$B$42*(1-(Inputs!$B$19+0)/100)))*(1+(Inputs!$B$24+((C1277=TRUE)*(F1277-Calc!F26))+B1287)/100)*(1+(IF(Skills!A10="EIGHT_LEGS_EASTON",Inputs!$B$17+((C1274=TRUE)*(F1274-Calc!F23))+((C1278=TRUE)*(F1278-Calc!F27)),Inputs!$B$18+0))/100)*((1+(((C1268=TRUE)*F1268)+((C1275=TRUE)*(F1275-Calc!F24)))/100)*I1261)</f>
        <v/>
      </c>
      <c r="L1261">
        <f>K1261*(MIN(Inputs!$B$22+((C1273=TRUE)*(F1273-Calc!F22)),Inputs!$B$23+0)/100+(Inputs!$B$23+0)/100)/2</f>
        <v/>
      </c>
      <c r="M1261">
        <f>L1261*(1+(Inputs!$B$10+((C1276=TRUE)*(F1276-Calc!F25))+B1286)/100)</f>
        <v/>
      </c>
      <c r="N1261">
        <f>L1261*(1-MIN((Inputs!$B$9+((C1270=TRUE)*(F1270-Calc!F19))+B1281),100)/100)+M1261*(MIN((Inputs!$B$9+((C1270=TRUE)*(F1270-Calc!F19))+B1281),100)/100)</f>
        <v/>
      </c>
      <c r="O1261">
        <f>(1-Summary!$B$55)*T1261+Summary!$B$55*V1261</f>
        <v/>
      </c>
      <c r="P1261">
        <f>IF(B1291=0,0,O1261/B1291)</f>
        <v/>
      </c>
      <c r="Q1261">
        <f>IFERROR(1/IF(Inputs!$B$38="pvp",15,MAX(0.1,Skills!D10-IF(Skills!E10=TRUE,1.5,0))),0)</f>
        <v/>
      </c>
      <c r="R1261">
        <f>IF(AND(Inputs!$B$38&lt;&gt;"pvp",Inputs!$B$43&gt;0),IF(MAX(0,Inputs!$B$43-B1288)&lt;=0,0,(INT(MAX(0,Inputs!$B$43-B1288)/IF(Inputs!$B$38="pvp",15,MAX(0.1,Skills!D10-IF(Skills!E10=TRUE,1.5,0))))+1)),0)</f>
        <v/>
      </c>
      <c r="S1261">
        <f>IFERROR(O1261/N1261,0)</f>
        <v/>
      </c>
      <c r="T1261">
        <f>IF(C1261,(H1261*N1261*IF(AND(Inputs!$B$38&lt;&gt;"pvp",Inputs!$B$43&gt;0),((Skills!G10*((R1261-1)*IF(Skills!H10&gt;0,Skills!I10/Skills!H10,1)+IF(Skills!H10&gt;0,MIN(Skills!I10,MAX(0,MAX(0,Inputs!$B$43-B1288)-((R1261-1)*IF(Inputs!$B$38="pvp",15,MAX(0.1,Skills!D10-IF(Skills!E10=TRUE,1.5,0))))))/Skills!H10,1)))/Inputs!$B$43),G1261*Q1261))*IF(Inputs!$B$38="pvp",1,1+(Inputs!$B$20+0+Skills!P10)/100),0)</f>
        <v/>
      </c>
      <c r="V1261">
        <f>IF(C1261,(H1261*N1261*IF(AND(Inputs!$B$38&lt;&gt;"pvp",Inputs!$B$43&gt;0),((Skills!G10*((R1261-1)*IF(Skills!H10&gt;0,Skills!I10/Skills!H10,1)+IF(Skills!H10&gt;0,MIN(Skills!I10,MAX(0,MAX(0,Inputs!$B$43-B1288)-((R1261-1)*IF(Inputs!$B$38="pvp",15,MAX(0.1,Skills!D10-IF(Skills!E10=TRUE,1.5,0))))))/Skills!H10,1)))/Inputs!$B$43),G1261*Q1261))*IF(Inputs!$B$38="pvp",1,(1+(Inputs!$B$21+Skills!Q10)/100)*(MIN(Skills!R10,Inputs!$B$37))),0)</f>
        <v/>
      </c>
    </row>
    <row r="1262">
      <c r="A1262">
        <f>Skills!A11</f>
        <v/>
      </c>
      <c r="B1262">
        <f>Skills!B11</f>
        <v/>
      </c>
      <c r="C1262">
        <f>Inputs!$B$3&gt;=107</f>
        <v/>
      </c>
      <c r="D1262">
        <f>IF(Skills!C11=1,60+Inputs!$B$25+Inputs!$B$29,IF(Skills!C11=2,90+Inputs!$B$26+Inputs!$B$29,IF(Skills!C11=3,120+Inputs!$B$27+Inputs!$B$29,MAX(0,(Inputs!$B$3-100)*3)+Inputs!$B$28+Inputs!$B$29)))</f>
        <v/>
      </c>
      <c r="E1262">
        <f>INDEX(FactorTable!$B$2:$Y$301, MATCH(ROUND(MIN(300,MAX(1,D1262)),0), FactorTable!$A$2:$A$301,0), Skills!M11+1)</f>
        <v/>
      </c>
      <c r="F1262">
        <f>IF(Skills!N11=TRUE,(Skills!L11/10)*(E1262/1000),Skills!L11/10)+Skills!O11</f>
        <v/>
      </c>
      <c r="G1262">
        <f>Skills!G11*IF(Skills!H11&gt;0,Skills!I11/Skills!H11,1)</f>
        <v/>
      </c>
      <c r="H1262">
        <f>1-(1-Skills!J11/100)^Skills!K11</f>
        <v/>
      </c>
      <c r="I1262" t="inlineStr">
        <is>
          <t>1</t>
        </is>
      </c>
      <c r="J1262">
        <f>((Inputs!$B$6*(1+Inputs!$B$7/100))+(((Inputs!$B$12*(1+Inputs!$B$13/100))-(Inputs!$B$12*(1+Inputs!$B$13/100)))+0.25*(Inputs!$B$14-Inputs!$B$14))*(1+Inputs!$B$7/100))*(F1262/100)</f>
        <v/>
      </c>
      <c r="K1262">
        <f>J1262*(1+((Inputs!$B$12*(1+Inputs!$B$13/100))*0.01+Inputs!$B$14*0.0025)/100)*(1+Inputs!$B$15/100)*(1+Inputs!$B$16/100)*(5000/(6000+Inputs!$B$42*(1-(Inputs!$B$19+0)/100)))*(1+(Inputs!$B$24+((C1277=TRUE)*(F1277-Calc!F26))+B1287)/100)*(1+(IF(Skills!A11="EIGHT_LEGS_EASTON",Inputs!$B$17+((C1274=TRUE)*(F1274-Calc!F23))+((C1278=TRUE)*(F1278-Calc!F27)),Inputs!$B$18+0))/100)*((1+(((C1268=TRUE)*F1268)+((C1275=TRUE)*(F1275-Calc!F24)))/100)*I1262)</f>
        <v/>
      </c>
      <c r="L1262">
        <f>K1262*(MIN(Inputs!$B$22+((C1273=TRUE)*(F1273-Calc!F22)),Inputs!$B$23+0)/100+(Inputs!$B$23+0)/100)/2</f>
        <v/>
      </c>
      <c r="M1262">
        <f>L1262*(1+(Inputs!$B$10+((C1276=TRUE)*(F1276-Calc!F25))+B1286)/100)</f>
        <v/>
      </c>
      <c r="N1262">
        <f>L1262*(1-MIN((Inputs!$B$9+((C1270=TRUE)*(F1270-Calc!F19))+B1281),100)/100)+M1262*(MIN((Inputs!$B$9+((C1270=TRUE)*(F1270-Calc!F19))+B1281),100)/100)</f>
        <v/>
      </c>
      <c r="O1262">
        <f>(1-Summary!$B$55)*T1262+Summary!$B$55*V1262</f>
        <v/>
      </c>
      <c r="P1262">
        <f>IF(B1291=0,0,O1262/B1291)</f>
        <v/>
      </c>
      <c r="Q1262">
        <f>IFERROR(1/IF(Inputs!$B$38="pvp",15,MAX(0.1,Skills!D11-IF(Skills!E11=TRUE,1.5,0))),0)</f>
        <v/>
      </c>
      <c r="R1262">
        <f>IF(AND(Inputs!$B$38&lt;&gt;"pvp",Inputs!$B$43&gt;0),IF(MAX(0,Inputs!$B$43-B1288)&lt;=0,0,(INT(MAX(0,Inputs!$B$43-B1288)/IF(Inputs!$B$38="pvp",15,MAX(0.1,Skills!D11-IF(Skills!E11=TRUE,1.5,0))))+1)),0)</f>
        <v/>
      </c>
      <c r="S1262">
        <f>IFERROR(O1262/N1262,0)</f>
        <v/>
      </c>
      <c r="T1262">
        <f>IF(C1262,(H1262*N1262*IF(AND(Inputs!$B$38&lt;&gt;"pvp",Inputs!$B$43&gt;0),((Skills!G11*((R1262-1)*IF(Skills!H11&gt;0,Skills!I11/Skills!H11,1)+IF(Skills!H11&gt;0,MIN(Skills!I11,MAX(0,MAX(0,Inputs!$B$43-B1288)-((R1262-1)*IF(Inputs!$B$38="pvp",15,MAX(0.1,Skills!D11-IF(Skills!E11=TRUE,1.5,0))))))/Skills!H11,1)))/Inputs!$B$43),G1262*Q1262))*IF(Inputs!$B$38="pvp",1,1+(Inputs!$B$20+0+Skills!P11)/100),0)</f>
        <v/>
      </c>
      <c r="V1262">
        <f>IF(C1262,(H1262*N1262*IF(AND(Inputs!$B$38&lt;&gt;"pvp",Inputs!$B$43&gt;0),((Skills!G11*((R1262-1)*IF(Skills!H11&gt;0,Skills!I11/Skills!H11,1)+IF(Skills!H11&gt;0,MIN(Skills!I11,MAX(0,MAX(0,Inputs!$B$43-B1288)-((R1262-1)*IF(Inputs!$B$38="pvp",15,MAX(0.1,Skills!D11-IF(Skills!E11=TRUE,1.5,0))))))/Skills!H11,1)))/Inputs!$B$43),G1262*Q1262))*IF(Inputs!$B$38="pvp",1,(1+(Inputs!$B$21+Skills!Q11)/100)*(MIN(Skills!R11,Inputs!$B$37))),0)</f>
        <v/>
      </c>
    </row>
    <row r="1263">
      <c r="A1263">
        <f>Skills!A12</f>
        <v/>
      </c>
      <c r="B1263">
        <f>Skills!B12</f>
        <v/>
      </c>
      <c r="C1263">
        <f>Inputs!$B$3&gt;=110</f>
        <v/>
      </c>
      <c r="D1263">
        <f>IF(Skills!C12=1,60+Inputs!$B$25+Inputs!$B$29,IF(Skills!C12=2,90+Inputs!$B$26+Inputs!$B$29,IF(Skills!C12=3,120+Inputs!$B$27+Inputs!$B$29,MAX(0,(Inputs!$B$3-100)*3)+Inputs!$B$28+Inputs!$B$29)))</f>
        <v/>
      </c>
      <c r="E1263">
        <f>INDEX(FactorTable!$B$2:$Y$301, MATCH(ROUND(MIN(300,MAX(1,D1263)),0), FactorTable!$A$2:$A$301,0), Skills!M12+1)</f>
        <v/>
      </c>
      <c r="F1263">
        <f>IF(Skills!N12=TRUE,(Skills!L12/10)*(E1263/1000),Skills!L12/10)+Skills!O12</f>
        <v/>
      </c>
      <c r="G1263">
        <f>Skills!G12*IF(Skills!H12&gt;0,Skills!I12/Skills!H12,1)</f>
        <v/>
      </c>
      <c r="H1263">
        <f>1-(1-Skills!J12/100)^Skills!K12</f>
        <v/>
      </c>
      <c r="I1263" t="inlineStr">
        <is>
          <t>1</t>
        </is>
      </c>
      <c r="J1263">
        <f>((Inputs!$B$6*(1+Inputs!$B$7/100))+(((Inputs!$B$12*(1+Inputs!$B$13/100))-(Inputs!$B$12*(1+Inputs!$B$13/100)))+0.25*(Inputs!$B$14-Inputs!$B$14))*(1+Inputs!$B$7/100))*(F1263/100)</f>
        <v/>
      </c>
      <c r="K1263">
        <f>J1263*(1+((Inputs!$B$12*(1+Inputs!$B$13/100))*0.01+Inputs!$B$14*0.0025)/100)*(1+Inputs!$B$15/100)*(1+Inputs!$B$16/100)*(5000/(6000+Inputs!$B$42*(1-(Inputs!$B$19+0)/100)))*(1+(Inputs!$B$24+((C1277=TRUE)*(F1277-Calc!F26))+B1287)/100)*(1+(IF(Skills!A12="EIGHT_LEGS_EASTON",Inputs!$B$17+((C1274=TRUE)*(F1274-Calc!F23))+((C1278=TRUE)*(F1278-Calc!F27)),Inputs!$B$18+0))/100)*((1+(((C1268=TRUE)*F1268)+((C1275=TRUE)*(F1275-Calc!F24)))/100)*I1263)</f>
        <v/>
      </c>
      <c r="L1263">
        <f>K1263*(MIN(Inputs!$B$22+((C1273=TRUE)*(F1273-Calc!F22)),Inputs!$B$23+0)/100+(Inputs!$B$23+0)/100)/2</f>
        <v/>
      </c>
      <c r="M1263">
        <f>L1263*(1+(Inputs!$B$10+((C1276=TRUE)*(F1276-Calc!F25))+B1286)/100)</f>
        <v/>
      </c>
      <c r="N1263">
        <f>L1263*(1-MIN((Inputs!$B$9+((C1270=TRUE)*(F1270-Calc!F19))+B1281),100)/100)+M1263*(MIN((Inputs!$B$9+((C1270=TRUE)*(F1270-Calc!F19))+B1281),100)/100)</f>
        <v/>
      </c>
      <c r="O1263">
        <f>(1-Summary!$B$55)*T1263+Summary!$B$55*V1263</f>
        <v/>
      </c>
      <c r="P1263">
        <f>IF(B1291=0,0,O1263/B1291)</f>
        <v/>
      </c>
      <c r="Q1263">
        <f>IFERROR(1/IF(Inputs!$B$38="pvp",15,MAX(0.1,Skills!D12-IF(Skills!E12=TRUE,1.5,0))),0)</f>
        <v/>
      </c>
      <c r="R1263">
        <f>IF(AND(Inputs!$B$38&lt;&gt;"pvp",Inputs!$B$43&gt;0),IF(MAX(0,Inputs!$B$43-B1288)&lt;=0,0,(INT(MAX(0,Inputs!$B$43-B1288)/IF(Inputs!$B$38="pvp",15,MAX(0.1,Skills!D12-IF(Skills!E12=TRUE,1.5,0))))+1)),0)</f>
        <v/>
      </c>
      <c r="S1263">
        <f>IFERROR(O1263/N1263,0)</f>
        <v/>
      </c>
      <c r="T1263">
        <f>IF(C1263,(H1263*N1263*IF(AND(Inputs!$B$38&lt;&gt;"pvp",Inputs!$B$43&gt;0),((Skills!G12*((R1263-1)*IF(Skills!H12&gt;0,Skills!I12/Skills!H12,1)+IF(Skills!H12&gt;0,MIN(Skills!I12,MAX(0,MAX(0,Inputs!$B$43-B1288)-((R1263-1)*IF(Inputs!$B$38="pvp",15,MAX(0.1,Skills!D12-IF(Skills!E12=TRUE,1.5,0))))))/Skills!H12,1)))/Inputs!$B$43),G1263*Q1263))*IF(Inputs!$B$38="pvp",1,1+(Inputs!$B$20+0+Skills!P12)/100),0)</f>
        <v/>
      </c>
      <c r="V1263">
        <f>IF(C1263,(H1263*N1263*IF(AND(Inputs!$B$38&lt;&gt;"pvp",Inputs!$B$43&gt;0),((Skills!G12*((R1263-1)*IF(Skills!H12&gt;0,Skills!I12/Skills!H12,1)+IF(Skills!H12&gt;0,MIN(Skills!I12,MAX(0,MAX(0,Inputs!$B$43-B1288)-((R1263-1)*IF(Inputs!$B$38="pvp",15,MAX(0.1,Skills!D12-IF(Skills!E12=TRUE,1.5,0))))))/Skills!H12,1)))/Inputs!$B$43),G1263*Q1263))*IF(Inputs!$B$38="pvp",1,(1+(Inputs!$B$21+Skills!Q12)/100)*(MIN(Skills!R12,Inputs!$B$37))),0)</f>
        <v/>
      </c>
    </row>
    <row r="1264">
      <c r="A1264">
        <f>Skills!A13</f>
        <v/>
      </c>
      <c r="B1264">
        <f>Skills!B13</f>
        <v/>
      </c>
      <c r="C1264">
        <f>Inputs!$B$3&gt;=110</f>
        <v/>
      </c>
      <c r="D1264">
        <f>IF(Skills!C13=1,60+Inputs!$B$25+Inputs!$B$29,IF(Skills!C13=2,90+Inputs!$B$26+Inputs!$B$29,IF(Skills!C13=3,120+Inputs!$B$27+Inputs!$B$29,MAX(0,(Inputs!$B$3-100)*3)+Inputs!$B$28+Inputs!$B$29)))</f>
        <v/>
      </c>
      <c r="E1264">
        <f>INDEX(FactorTable!$B$2:$Y$301, MATCH(ROUND(MIN(300,MAX(1,D1264)),0), FactorTable!$A$2:$A$301,0), Skills!M13+1)</f>
        <v/>
      </c>
      <c r="F1264">
        <f>IF(Skills!N13=TRUE,(Skills!L13/10)*(E1264/1000),Skills!L13/10)+Skills!O13</f>
        <v/>
      </c>
      <c r="G1264">
        <f>Skills!G13*IF(Skills!H13&gt;0,Skills!I13/Skills!H13,1)</f>
        <v/>
      </c>
      <c r="H1264">
        <f>1-(1-Skills!J13/100)^Skills!K13</f>
        <v/>
      </c>
      <c r="I1264" t="inlineStr">
        <is>
          <t>1</t>
        </is>
      </c>
      <c r="J1264">
        <f>((Inputs!$B$6*(1+Inputs!$B$7/100))+(((Inputs!$B$12*(1+Inputs!$B$13/100))-(Inputs!$B$12*(1+Inputs!$B$13/100)))+0.25*(Inputs!$B$14-Inputs!$B$14))*(1+Inputs!$B$7/100))*(F1264/100)</f>
        <v/>
      </c>
      <c r="K1264">
        <f>J1264*(1+((Inputs!$B$12*(1+Inputs!$B$13/100))*0.01+Inputs!$B$14*0.0025)/100)*(1+Inputs!$B$15/100)*(1+Inputs!$B$16/100)*(5000/(6000+Inputs!$B$42*(1-(Inputs!$B$19+0)/100)))*(1+(Inputs!$B$24+((C1277=TRUE)*(F1277-Calc!F26))+B1287)/100)*(1+(IF(Skills!A13="EIGHT_LEGS_EASTON",Inputs!$B$17+((C1274=TRUE)*(F1274-Calc!F23))+((C1278=TRUE)*(F1278-Calc!F27)),Inputs!$B$18+0))/100)*((1+(((C1268=TRUE)*F1268)+((C1275=TRUE)*(F1275-Calc!F24)))/100)*I1264)</f>
        <v/>
      </c>
      <c r="L1264">
        <f>K1264*(MIN(Inputs!$B$22+((C1273=TRUE)*(F1273-Calc!F22)),Inputs!$B$23+0)/100+(Inputs!$B$23+0)/100)/2</f>
        <v/>
      </c>
      <c r="M1264">
        <f>L1264*(1+(Inputs!$B$10+((C1276=TRUE)*(F1276-Calc!F25))+B1286)/100)</f>
        <v/>
      </c>
      <c r="N1264">
        <f>L1264*(1-MIN((Inputs!$B$9+((C1270=TRUE)*(F1270-Calc!F19))+B1281),100)/100)+M1264*(MIN((Inputs!$B$9+((C1270=TRUE)*(F1270-Calc!F19))+B1281),100)/100)</f>
        <v/>
      </c>
      <c r="O1264">
        <f>(1-Summary!$B$55)*T1264+Summary!$B$55*V1264</f>
        <v/>
      </c>
      <c r="P1264">
        <f>IF(B1291=0,0,O1264/B1291)</f>
        <v/>
      </c>
      <c r="Q1264">
        <f>IFERROR(1/IF(Inputs!$B$38="pvp",15,MAX(0.1,Skills!D13-IF(Skills!E13=TRUE,1.5,0))),0)</f>
        <v/>
      </c>
      <c r="R1264">
        <f>IF(AND(Inputs!$B$38&lt;&gt;"pvp",Inputs!$B$43&gt;0),IF(MAX(0,Inputs!$B$43-B1288)&lt;=0,0,(INT(MAX(0,Inputs!$B$43-B1288)/IF(Inputs!$B$38="pvp",15,MAX(0.1,Skills!D13-IF(Skills!E13=TRUE,1.5,0))))+1)),0)</f>
        <v/>
      </c>
      <c r="S1264">
        <f>IFERROR(O1264/N1264,0)</f>
        <v/>
      </c>
      <c r="T1264">
        <f>IF(C1264,(H1264*N1264*IF(AND(Inputs!$B$38&lt;&gt;"pvp",Inputs!$B$43&gt;0),((Skills!G13*((R1264-1)*IF(Skills!H13&gt;0,Skills!I13/Skills!H13,1)+IF(Skills!H13&gt;0,MIN(Skills!I13,MAX(0,MAX(0,Inputs!$B$43-B1288)-((R1264-1)*IF(Inputs!$B$38="pvp",15,MAX(0.1,Skills!D13-IF(Skills!E13=TRUE,1.5,0))))))/Skills!H13,1)))/Inputs!$B$43),G1264*Q1264))*IF(Inputs!$B$38="pvp",1,1+(Inputs!$B$20+0+Skills!P13)/100),0)</f>
        <v/>
      </c>
      <c r="V1264">
        <f>IF(C1264,(H1264*N1264*IF(AND(Inputs!$B$38&lt;&gt;"pvp",Inputs!$B$43&gt;0),((Skills!G13*((R1264-1)*IF(Skills!H13&gt;0,Skills!I13/Skills!H13,1)+IF(Skills!H13&gt;0,MIN(Skills!I13,MAX(0,MAX(0,Inputs!$B$43-B1288)-((R1264-1)*IF(Inputs!$B$38="pvp",15,MAX(0.1,Skills!D13-IF(Skills!E13=TRUE,1.5,0))))))/Skills!H13,1)))/Inputs!$B$43),G1264*Q1264))*IF(Inputs!$B$38="pvp",1,(1+(Inputs!$B$21+Skills!Q13)/100)*(MIN(Skills!R13,Inputs!$B$37))),0)</f>
        <v/>
      </c>
    </row>
    <row r="1265">
      <c r="A1265">
        <f>Skills!A14</f>
        <v/>
      </c>
      <c r="B1265">
        <f>Skills!B14</f>
        <v/>
      </c>
      <c r="C1265">
        <f>Inputs!$B$3&gt;=125</f>
        <v/>
      </c>
      <c r="D1265">
        <f>IF(Skills!C14=1,60+Inputs!$B$25+Inputs!$B$29,IF(Skills!C14=2,90+Inputs!$B$26+Inputs!$B$29,IF(Skills!C14=3,120+Inputs!$B$27+Inputs!$B$29,MAX(0,(Inputs!$B$3-100)*3)+Inputs!$B$28+Inputs!$B$29)))</f>
        <v/>
      </c>
      <c r="E1265">
        <f>INDEX(FactorTable!$B$2:$Y$301, MATCH(ROUND(MIN(300,MAX(1,D1265)),0), FactorTable!$A$2:$A$301,0), Skills!M14+1)</f>
        <v/>
      </c>
      <c r="F1265">
        <f>IF(Skills!N14=TRUE,(Skills!L14/10)*(E1265/1000),Skills!L14/10)+Skills!O14</f>
        <v/>
      </c>
      <c r="G1265">
        <f>Skills!G14*IF(Skills!H14&gt;0,Skills!I14/Skills!H14,1)</f>
        <v/>
      </c>
      <c r="H1265">
        <f>1-(1-Skills!J14/100)^Skills!K14</f>
        <v/>
      </c>
      <c r="I1265" t="inlineStr">
        <is>
          <t>1</t>
        </is>
      </c>
      <c r="J1265">
        <f>((Inputs!$B$6*(1+Inputs!$B$7/100))+(((Inputs!$B$12*(1+Inputs!$B$13/100))-(Inputs!$B$12*(1+Inputs!$B$13/100)))+0.25*(Inputs!$B$14-Inputs!$B$14))*(1+Inputs!$B$7/100))*(F1265/100)</f>
        <v/>
      </c>
      <c r="K1265">
        <f>J1265*(1+((Inputs!$B$12*(1+Inputs!$B$13/100))*0.01+Inputs!$B$14*0.0025)/100)*(1+Inputs!$B$15/100)*(1+Inputs!$B$16/100)*(5000/(6000+Inputs!$B$42*(1-(Inputs!$B$19+0)/100)))*(1+(Inputs!$B$24+((C1277=TRUE)*(F1277-Calc!F26))+B1287)/100)*(1+(IF(Skills!A14="EIGHT_LEGS_EASTON",Inputs!$B$17+((C1274=TRUE)*(F1274-Calc!F23))+((C1278=TRUE)*(F1278-Calc!F27)),Inputs!$B$18+0))/100)*((1+(((C1268=TRUE)*F1268)+((C1275=TRUE)*(F1275-Calc!F24)))/100)*I1265)</f>
        <v/>
      </c>
      <c r="L1265">
        <f>K1265*(MIN(Inputs!$B$22+((C1273=TRUE)*(F1273-Calc!F22)),Inputs!$B$23+0)/100+(Inputs!$B$23+0)/100)/2</f>
        <v/>
      </c>
      <c r="M1265">
        <f>L1265*(1+(Inputs!$B$10+((C1276=TRUE)*(F1276-Calc!F25))+B1286)/100)</f>
        <v/>
      </c>
      <c r="N1265">
        <f>L1265*(1-MIN((Inputs!$B$9+((C1270=TRUE)*(F1270-Calc!F19))+B1281),100)/100)+M1265*(MIN((Inputs!$B$9+((C1270=TRUE)*(F1270-Calc!F19))+B1281),100)/100)</f>
        <v/>
      </c>
      <c r="O1265">
        <f>(1-Summary!$B$55)*T1265+Summary!$B$55*V1265</f>
        <v/>
      </c>
      <c r="P1265">
        <f>IF(B1291=0,0,O1265/B1291)</f>
        <v/>
      </c>
      <c r="Q1265" t="n">
        <v>0</v>
      </c>
      <c r="R1265" t="n">
        <v>0</v>
      </c>
      <c r="S1265">
        <f>IFERROR(O1265/N1265,0)</f>
        <v/>
      </c>
      <c r="T1265">
        <f>IF(C1265,(H1265*N1265*(B1285+IF(AND(Inputs!$B$38&lt;&gt;"pvp",Inputs!$B$43&gt;0),((Skills!G8*((R1259-1)*IF(Skills!H8&gt;0,Skills!I8/Skills!H8,1)+IF(Skills!H8&gt;0,MIN(Skills!I8,MAX(0,MAX(0,Inputs!$B$43-B1288)-((R1259-1)*IF(Inputs!$B$38="pvp",15,MAX(0.1,Skills!D8-IF(Skills!E8=TRUE,1.5,0))))))/Skills!H8,1)))/Inputs!$B$43),G1259*Q1259)+IF(AND(Inputs!$B$38&lt;&gt;"pvp",Inputs!$B$43&gt;0),((Skills!G11*((R1262-1)*IF(Skills!H11&gt;0,Skills!I11/Skills!H11,1)+IF(Skills!H11&gt;0,MIN(Skills!I11,MAX(0,MAX(0,Inputs!$B$43-B1288)-((R1262-1)*IF(Inputs!$B$38="pvp",15,MAX(0.1,Skills!D11-IF(Skills!E11=TRUE,1.5,0))))))/Skills!H11,1)))/Inputs!$B$43),G1262*Q1262)))*IF(Inputs!$B$38="pvp",1,1+(Inputs!$B$20+0+Skills!P14)/100),0)</f>
        <v/>
      </c>
      <c r="V1265">
        <f>IF(C1265,(H1265*N1265*(B1285+IF(AND(Inputs!$B$38&lt;&gt;"pvp",Inputs!$B$43&gt;0),((Skills!G8*((R1259-1)*IF(Skills!H8&gt;0,Skills!I8/Skills!H8,1)+IF(Skills!H8&gt;0,MIN(Skills!I8,MAX(0,MAX(0,Inputs!$B$43-B1288)-((R1259-1)*IF(Inputs!$B$38="pvp",15,MAX(0.1,Skills!D8-IF(Skills!E8=TRUE,1.5,0))))))/Skills!H8,1)))/Inputs!$B$43),G1259*Q1259)+IF(AND(Inputs!$B$38&lt;&gt;"pvp",Inputs!$B$43&gt;0),((Skills!G11*((R1262-1)*IF(Skills!H11&gt;0,Skills!I11/Skills!H11,1)+IF(Skills!H11&gt;0,MIN(Skills!I11,MAX(0,MAX(0,Inputs!$B$43-B1288)-((R1262-1)*IF(Inputs!$B$38="pvp",15,MAX(0.1,Skills!D11-IF(Skills!E11=TRUE,1.5,0))))))/Skills!H11,1)))/Inputs!$B$43),G1262*Q1262)))*IF(Inputs!$B$38="pvp",1,(1+(Inputs!$B$21+Skills!Q14)/100)*(MIN(Skills!R14,Inputs!$B$37))),0)</f>
        <v/>
      </c>
    </row>
    <row r="1266">
      <c r="A1266">
        <f>Skills!A15</f>
        <v/>
      </c>
      <c r="B1266">
        <f>Skills!B15</f>
        <v/>
      </c>
      <c r="C1266">
        <f>Inputs!$B$3&gt;=100</f>
        <v/>
      </c>
      <c r="D1266">
        <f>IF(Skills!C15=1,60+Inputs!$B$25+Inputs!$B$29,IF(Skills!C15=2,90+Inputs!$B$26+Inputs!$B$29,IF(Skills!C15=3,120+Inputs!$B$27+Inputs!$B$29,MAX(0,(Inputs!$B$3-100)*3)+Inputs!$B$28+Inputs!$B$29)))</f>
        <v/>
      </c>
      <c r="E1266">
        <f>INDEX(FactorTable!$B$2:$Y$301, MATCH(ROUND(MIN(300,MAX(1,D1266)),0), FactorTable!$A$2:$A$301,0), Skills!M15+1)</f>
        <v/>
      </c>
      <c r="F1266">
        <f>IF(Skills!N15=TRUE,(Skills!L15/10)*(E1266/1000),Skills!L15/10)+Skills!O15</f>
        <v/>
      </c>
      <c r="G1266" t="inlineStr"/>
      <c r="H1266" t="inlineStr"/>
      <c r="I1266" t="inlineStr">
        <is>
          <t>1</t>
        </is>
      </c>
      <c r="J1266" t="inlineStr"/>
      <c r="K1266" t="inlineStr"/>
      <c r="L1266" t="inlineStr"/>
      <c r="M1266" t="inlineStr"/>
      <c r="N1266" t="inlineStr"/>
      <c r="O1266" t="inlineStr"/>
      <c r="P1266" t="inlineStr"/>
      <c r="Q1266" t="inlineStr"/>
      <c r="R1266" t="inlineStr"/>
      <c r="S1266" t="inlineStr"/>
    </row>
    <row r="1267">
      <c r="A1267">
        <f>Skills!A16</f>
        <v/>
      </c>
      <c r="B1267">
        <f>Skills!B16</f>
        <v/>
      </c>
      <c r="C1267">
        <f>Inputs!$B$3&gt;=120</f>
        <v/>
      </c>
      <c r="D1267">
        <f>IF(Skills!C16=1,60+Inputs!$B$25+Inputs!$B$29,IF(Skills!C16=2,90+Inputs!$B$26+Inputs!$B$29,IF(Skills!C16=3,120+Inputs!$B$27+Inputs!$B$29,MAX(0,(Inputs!$B$3-100)*3)+Inputs!$B$28+Inputs!$B$29)))</f>
        <v/>
      </c>
      <c r="E1267">
        <f>INDEX(FactorTable!$B$2:$Y$301, MATCH(ROUND(MIN(300,MAX(1,D1267)),0), FactorTable!$A$2:$A$301,0), Skills!M16+1)</f>
        <v/>
      </c>
      <c r="F1267">
        <f>IF(Skills!N16=TRUE,(Skills!L16/10)*(E1267/1000),Skills!L16/10)+Skills!O16</f>
        <v/>
      </c>
      <c r="G1267" t="inlineStr"/>
      <c r="H1267" t="inlineStr"/>
      <c r="I1267" t="inlineStr">
        <is>
          <t>1</t>
        </is>
      </c>
      <c r="J1267" t="inlineStr"/>
      <c r="K1267" t="inlineStr"/>
      <c r="L1267" t="inlineStr"/>
      <c r="M1267" t="inlineStr"/>
      <c r="N1267" t="inlineStr"/>
      <c r="O1267" t="inlineStr"/>
      <c r="P1267" t="inlineStr"/>
      <c r="Q1267" t="inlineStr"/>
      <c r="R1267" t="inlineStr"/>
      <c r="S1267" t="inlineStr"/>
    </row>
    <row r="1268">
      <c r="A1268">
        <f>Skills!A17</f>
        <v/>
      </c>
      <c r="B1268">
        <f>Skills!B17</f>
        <v/>
      </c>
      <c r="C1268">
        <f>Inputs!$B$3&gt;=66</f>
        <v/>
      </c>
      <c r="D1268">
        <f>IF(Skills!C17=1,60+Inputs!$B$25+Inputs!$B$29,IF(Skills!C17=2,90+Inputs!$B$26+Inputs!$B$29,IF(Skills!C17=3,120+Inputs!$B$27+Inputs!$B$29,MAX(0,(Inputs!$B$3-100)*3)+Inputs!$B$28+Inputs!$B$29)))</f>
        <v/>
      </c>
      <c r="E1268">
        <f>INDEX(FactorTable!$B$2:$Y$301, MATCH(ROUND(MIN(300,MAX(1,D1268)),0), FactorTable!$A$2:$A$301,0), Skills!M17+1)</f>
        <v/>
      </c>
      <c r="F1268">
        <f>IF(Skills!N17=TRUE,(Skills!L17/10)*(E1268/1000),Skills!L17/10)+Skills!O17</f>
        <v/>
      </c>
      <c r="G1268">
        <f>Skills!G17*IF(Skills!H17&gt;0,Skills!I17/Skills!H17,1)</f>
        <v/>
      </c>
      <c r="H1268">
        <f>1-(1-Skills!J17/100)^Skills!K17</f>
        <v/>
      </c>
      <c r="I1268" t="inlineStr">
        <is>
          <t>1</t>
        </is>
      </c>
      <c r="J1268" t="inlineStr"/>
      <c r="K1268" t="inlineStr"/>
      <c r="L1268" t="inlineStr"/>
      <c r="M1268" t="inlineStr"/>
      <c r="N1268" t="inlineStr"/>
      <c r="O1268">
        <f>(1-Summary!$B$55)*T1268+Summary!$B$55*V1268</f>
        <v/>
      </c>
      <c r="P1268">
        <f>IF(B1291=0,0,O1268/B1291)</f>
        <v/>
      </c>
      <c r="Q1268" t="n">
        <v>0</v>
      </c>
      <c r="R1268" t="n">
        <v>0</v>
      </c>
      <c r="S1268">
        <f>IFERROR(O1268/N1268,0)</f>
        <v/>
      </c>
      <c r="T1268" t="n">
        <v>0</v>
      </c>
      <c r="V1268" t="n">
        <v>0</v>
      </c>
    </row>
    <row r="1269">
      <c r="A1269">
        <f>Skills!A18</f>
        <v/>
      </c>
      <c r="B1269">
        <f>Skills!B18</f>
        <v/>
      </c>
      <c r="C1269">
        <f>Inputs!$B$3&gt;=115</f>
        <v/>
      </c>
      <c r="D1269">
        <f>IF(Skills!C18=1,60+Inputs!$B$25+Inputs!$B$29,IF(Skills!C18=2,90+Inputs!$B$26+Inputs!$B$29,IF(Skills!C18=3,120+Inputs!$B$27+Inputs!$B$29,MAX(0,(Inputs!$B$3-100)*3)+Inputs!$B$28+Inputs!$B$29)))</f>
        <v/>
      </c>
      <c r="E1269">
        <f>INDEX(FactorTable!$B$2:$Y$301, MATCH(ROUND(MIN(300,MAX(1,D1269)),0), FactorTable!$A$2:$A$301,0), Skills!M18+1)</f>
        <v/>
      </c>
      <c r="F1269">
        <f>IF(Skills!N18=TRUE,(Skills!L18/10)*(E1269/1000),Skills!L18/10)+Skills!O18</f>
        <v/>
      </c>
      <c r="G1269">
        <f>Skills!G18*IF(Skills!H18&gt;0,Skills!I18/Skills!H18,1)</f>
        <v/>
      </c>
      <c r="H1269">
        <f>1-(1-Skills!J18/100)^Skills!K18</f>
        <v/>
      </c>
      <c r="I1269" t="inlineStr">
        <is>
          <t>1</t>
        </is>
      </c>
      <c r="J1269" t="inlineStr"/>
      <c r="K1269" t="inlineStr"/>
      <c r="L1269" t="inlineStr"/>
      <c r="M1269" t="inlineStr"/>
      <c r="N1269" t="inlineStr"/>
      <c r="O1269">
        <f>(1-Summary!$B$55)*T1269+Summary!$B$55*V1269</f>
        <v/>
      </c>
      <c r="P1269">
        <f>IF(B1291=0,0,O1269/B1291)</f>
        <v/>
      </c>
      <c r="Q1269" t="n">
        <v>0</v>
      </c>
      <c r="R1269" t="n">
        <v>0</v>
      </c>
      <c r="S1269">
        <f>IFERROR(O1269/N1269,0)</f>
        <v/>
      </c>
      <c r="T1269" t="n">
        <v>0</v>
      </c>
      <c r="V1269" t="n">
        <v>0</v>
      </c>
    </row>
    <row r="1270">
      <c r="A1270">
        <f>Skills!A19</f>
        <v/>
      </c>
      <c r="B1270">
        <f>Skills!B19</f>
        <v/>
      </c>
      <c r="C1270">
        <f>Inputs!$B$3&gt;=15</f>
        <v/>
      </c>
      <c r="D1270">
        <f>IF(Skills!C19=1,60+Inputs!$B$25+Inputs!$B$29,IF(Skills!C19=2,90+Inputs!$B$26+Inputs!$B$29,IF(Skills!C19=3,120+Inputs!$B$27+Inputs!$B$29,MAX(0,(Inputs!$B$3-100)*3)+Inputs!$B$28+Inputs!$B$29)))</f>
        <v/>
      </c>
      <c r="E1270">
        <f>INDEX(FactorTable!$B$2:$Y$301, MATCH(ROUND(MIN(300,MAX(1,D1270)),0), FactorTable!$A$2:$A$301,0), Skills!M19+1)</f>
        <v/>
      </c>
      <c r="F1270">
        <f>IF(Skills!N19=TRUE,(Skills!L19/10)*(E1270/1000),Skills!L19/10)+Skills!O19</f>
        <v/>
      </c>
      <c r="G1270">
        <f>Skills!G19*IF(Skills!H19&gt;0,Skills!I19/Skills!H19,1)</f>
        <v/>
      </c>
      <c r="H1270">
        <f>1-(1-Skills!J19/100)^Skills!K19</f>
        <v/>
      </c>
      <c r="I1270" t="inlineStr">
        <is>
          <t>1</t>
        </is>
      </c>
      <c r="J1270" t="inlineStr"/>
      <c r="K1270" t="inlineStr"/>
      <c r="L1270" t="inlineStr"/>
      <c r="M1270" t="inlineStr"/>
      <c r="N1270" t="inlineStr"/>
      <c r="O1270">
        <f>(1-Summary!$B$55)*T1270+Summary!$B$55*V1270</f>
        <v/>
      </c>
      <c r="P1270">
        <f>IF(B1291=0,0,O1270/B1291)</f>
        <v/>
      </c>
      <c r="Q1270" t="n">
        <v>0</v>
      </c>
      <c r="R1270" t="n">
        <v>0</v>
      </c>
      <c r="S1270">
        <f>IFERROR(O1270/N1270,0)</f>
        <v/>
      </c>
      <c r="T1270" t="n">
        <v>0</v>
      </c>
      <c r="V1270" t="n">
        <v>0</v>
      </c>
    </row>
    <row r="1271">
      <c r="A1271">
        <f>Skills!A20</f>
        <v/>
      </c>
      <c r="B1271">
        <f>Skills!B20</f>
        <v/>
      </c>
      <c r="C1271">
        <f>Inputs!$B$3&gt;=10</f>
        <v/>
      </c>
      <c r="D1271">
        <f>IF(Skills!C20=1,60+Inputs!$B$25+Inputs!$B$29,IF(Skills!C20=2,90+Inputs!$B$26+Inputs!$B$29,IF(Skills!C20=3,120+Inputs!$B$27+Inputs!$B$29,MAX(0,(Inputs!$B$3-100)*3)+Inputs!$B$28+Inputs!$B$29)))</f>
        <v/>
      </c>
      <c r="E1271">
        <f>INDEX(FactorTable!$B$2:$Y$301, MATCH(ROUND(MIN(300,MAX(1,D1271)),0), FactorTable!$A$2:$A$301,0), Skills!M20+1)</f>
        <v/>
      </c>
      <c r="F1271">
        <f>IF(Skills!N20=TRUE,(Skills!L20/10)*(E1271/1000),Skills!L20/10)+Skills!O20</f>
        <v/>
      </c>
      <c r="G1271">
        <f>Skills!G20*IF(Skills!H20&gt;0,Skills!I20/Skills!H20,1)</f>
        <v/>
      </c>
      <c r="H1271">
        <f>1-(1-Skills!J20/100)^Skills!K20</f>
        <v/>
      </c>
      <c r="I1271" t="inlineStr">
        <is>
          <t>1</t>
        </is>
      </c>
      <c r="J1271" t="inlineStr"/>
      <c r="K1271" t="inlineStr"/>
      <c r="L1271" t="inlineStr"/>
      <c r="M1271" t="inlineStr"/>
      <c r="N1271" t="inlineStr"/>
      <c r="O1271">
        <f>(1-Summary!$B$55)*T1271+Summary!$B$55*V1271</f>
        <v/>
      </c>
      <c r="P1271">
        <f>IF(B1291=0,0,O1271/B1291)</f>
        <v/>
      </c>
      <c r="Q1271" t="n">
        <v>0</v>
      </c>
      <c r="R1271" t="n">
        <v>0</v>
      </c>
      <c r="S1271">
        <f>IFERROR(O1271/N1271,0)</f>
        <v/>
      </c>
      <c r="T1271" t="n">
        <v>0</v>
      </c>
      <c r="V1271" t="n">
        <v>0</v>
      </c>
    </row>
    <row r="1272">
      <c r="A1272">
        <f>Skills!A21</f>
        <v/>
      </c>
      <c r="B1272">
        <f>Skills!B21</f>
        <v/>
      </c>
      <c r="C1272">
        <f>Inputs!$B$3&gt;=33</f>
        <v/>
      </c>
      <c r="D1272">
        <f>IF(Skills!C21=1,60+Inputs!$B$25+Inputs!$B$29,IF(Skills!C21=2,90+Inputs!$B$26+Inputs!$B$29,IF(Skills!C21=3,120+Inputs!$B$27+Inputs!$B$29,MAX(0,(Inputs!$B$3-100)*3)+Inputs!$B$28+Inputs!$B$29)))</f>
        <v/>
      </c>
      <c r="E1272">
        <f>INDEX(FactorTable!$B$2:$Y$301, MATCH(ROUND(MIN(300,MAX(1,D1272)),0), FactorTable!$A$2:$A$301,0), Skills!M21+1)</f>
        <v/>
      </c>
      <c r="F1272">
        <f>IF(Skills!N21=TRUE,(Skills!L21/10)*(E1272/1000),Skills!L21/10)+Skills!O21</f>
        <v/>
      </c>
      <c r="G1272">
        <f>Skills!G21*IF(Skills!H21&gt;0,Skills!I21/Skills!H21,1)</f>
        <v/>
      </c>
      <c r="H1272">
        <f>1-(1-Skills!J21/100)^Skills!K21</f>
        <v/>
      </c>
      <c r="I1272" t="inlineStr">
        <is>
          <t>1</t>
        </is>
      </c>
      <c r="J1272" t="inlineStr"/>
      <c r="K1272" t="inlineStr"/>
      <c r="L1272" t="inlineStr"/>
      <c r="M1272" t="inlineStr"/>
      <c r="N1272" t="inlineStr"/>
      <c r="O1272">
        <f>(1-Summary!$B$55)*T1272+Summary!$B$55*V1272</f>
        <v/>
      </c>
      <c r="P1272">
        <f>IF(B1291=0,0,O1272/B1291)</f>
        <v/>
      </c>
      <c r="Q1272" t="n">
        <v>0</v>
      </c>
      <c r="R1272" t="n">
        <v>0</v>
      </c>
      <c r="S1272">
        <f>IFERROR(O1272/N1272,0)</f>
        <v/>
      </c>
      <c r="T1272" t="n">
        <v>0</v>
      </c>
      <c r="V1272" t="n">
        <v>0</v>
      </c>
    </row>
    <row r="1273">
      <c r="A1273">
        <f>Skills!A22</f>
        <v/>
      </c>
      <c r="B1273">
        <f>Skills!B22</f>
        <v/>
      </c>
      <c r="C1273">
        <f>Inputs!$B$3&gt;=43</f>
        <v/>
      </c>
      <c r="D1273">
        <f>IF(Skills!C22=1,60+Inputs!$B$25+Inputs!$B$29,IF(Skills!C22=2,90+Inputs!$B$26+Inputs!$B$29,IF(Skills!C22=3,120+Inputs!$B$27+Inputs!$B$29,MAX(0,(Inputs!$B$3-100)*3)+Inputs!$B$28+Inputs!$B$29)))</f>
        <v/>
      </c>
      <c r="E1273">
        <f>INDEX(FactorTable!$B$2:$Y$301, MATCH(ROUND(MIN(300,MAX(1,D1273)),0), FactorTable!$A$2:$A$301,0), Skills!M22+1)</f>
        <v/>
      </c>
      <c r="F1273">
        <f>IF(Skills!N22=TRUE,(Skills!L22/10)*(E1273/1000),Skills!L22/10)+Skills!O22</f>
        <v/>
      </c>
      <c r="G1273">
        <f>Skills!G22*IF(Skills!H22&gt;0,Skills!I22/Skills!H22,1)</f>
        <v/>
      </c>
      <c r="H1273">
        <f>1-(1-Skills!J22/100)^Skills!K22</f>
        <v/>
      </c>
      <c r="I1273" t="inlineStr">
        <is>
          <t>1</t>
        </is>
      </c>
      <c r="J1273" t="inlineStr"/>
      <c r="K1273" t="inlineStr"/>
      <c r="L1273" t="inlineStr"/>
      <c r="M1273" t="inlineStr"/>
      <c r="N1273" t="inlineStr"/>
      <c r="O1273">
        <f>(1-Summary!$B$55)*T1273+Summary!$B$55*V1273</f>
        <v/>
      </c>
      <c r="P1273">
        <f>IF(B1291=0,0,O1273/B1291)</f>
        <v/>
      </c>
      <c r="Q1273" t="n">
        <v>0</v>
      </c>
      <c r="R1273" t="n">
        <v>0</v>
      </c>
      <c r="S1273">
        <f>IFERROR(O1273/N1273,0)</f>
        <v/>
      </c>
      <c r="T1273" t="n">
        <v>0</v>
      </c>
      <c r="V1273" t="n">
        <v>0</v>
      </c>
    </row>
    <row r="1274">
      <c r="A1274">
        <f>Skills!A23</f>
        <v/>
      </c>
      <c r="B1274">
        <f>Skills!B23</f>
        <v/>
      </c>
      <c r="C1274">
        <f>Inputs!$B$3&gt;=38</f>
        <v/>
      </c>
      <c r="D1274">
        <f>IF(Skills!C23=1,60+Inputs!$B$25+Inputs!$B$29,IF(Skills!C23=2,90+Inputs!$B$26+Inputs!$B$29,IF(Skills!C23=3,120+Inputs!$B$27+Inputs!$B$29,MAX(0,(Inputs!$B$3-100)*3)+Inputs!$B$28+Inputs!$B$29)))</f>
        <v/>
      </c>
      <c r="E1274">
        <f>INDEX(FactorTable!$B$2:$Y$301, MATCH(ROUND(MIN(300,MAX(1,D1274)),0), FactorTable!$A$2:$A$301,0), Skills!M23+1)</f>
        <v/>
      </c>
      <c r="F1274">
        <f>IF(Skills!N23=TRUE,(Skills!L23/10)*(E1274/1000),Skills!L23/10)+Skills!O23</f>
        <v/>
      </c>
      <c r="G1274">
        <f>Skills!G23*IF(Skills!H23&gt;0,Skills!I23/Skills!H23,1)</f>
        <v/>
      </c>
      <c r="H1274">
        <f>1-(1-Skills!J23/100)^Skills!K23</f>
        <v/>
      </c>
      <c r="I1274" t="inlineStr">
        <is>
          <t>1</t>
        </is>
      </c>
      <c r="J1274" t="inlineStr"/>
      <c r="K1274" t="inlineStr"/>
      <c r="L1274" t="inlineStr"/>
      <c r="M1274" t="inlineStr"/>
      <c r="N1274" t="inlineStr"/>
      <c r="O1274">
        <f>(1-Summary!$B$55)*T1274+Summary!$B$55*V1274</f>
        <v/>
      </c>
      <c r="P1274">
        <f>IF(B1291=0,0,O1274/B1291)</f>
        <v/>
      </c>
      <c r="Q1274" t="n">
        <v>0</v>
      </c>
      <c r="R1274" t="n">
        <v>0</v>
      </c>
      <c r="S1274">
        <f>IFERROR(O1274/N1274,0)</f>
        <v/>
      </c>
      <c r="T1274" t="n">
        <v>0</v>
      </c>
      <c r="V1274" t="n">
        <v>0</v>
      </c>
    </row>
    <row r="1275">
      <c r="A1275">
        <f>Skills!A24</f>
        <v/>
      </c>
      <c r="B1275">
        <f>Skills!B24</f>
        <v/>
      </c>
      <c r="C1275">
        <f>Inputs!$B$3&gt;=40</f>
        <v/>
      </c>
      <c r="D1275">
        <f>IF(Skills!C24=1,60+Inputs!$B$25+Inputs!$B$29,IF(Skills!C24=2,90+Inputs!$B$26+Inputs!$B$29,IF(Skills!C24=3,120+Inputs!$B$27+Inputs!$B$29,MAX(0,(Inputs!$B$3-100)*3)+Inputs!$B$28+Inputs!$B$29)))</f>
        <v/>
      </c>
      <c r="E1275">
        <f>INDEX(FactorTable!$B$2:$Y$301, MATCH(ROUND(MIN(300,MAX(1,D1275)),0), FactorTable!$A$2:$A$301,0), Skills!M24+1)</f>
        <v/>
      </c>
      <c r="F1275">
        <f>IF(Skills!N24=TRUE,(Skills!L24/10)*(E1275/1000),Skills!L24/10)+Skills!O24</f>
        <v/>
      </c>
      <c r="G1275">
        <f>Skills!G24*IF(Skills!H24&gt;0,Skills!I24/Skills!H24,1)</f>
        <v/>
      </c>
      <c r="H1275">
        <f>1-(1-Skills!J24/100)^Skills!K24</f>
        <v/>
      </c>
      <c r="I1275" t="inlineStr">
        <is>
          <t>1</t>
        </is>
      </c>
      <c r="J1275" t="inlineStr"/>
      <c r="K1275" t="inlineStr"/>
      <c r="L1275" t="inlineStr"/>
      <c r="M1275" t="inlineStr"/>
      <c r="N1275" t="inlineStr"/>
      <c r="O1275">
        <f>(1-Summary!$B$55)*T1275+Summary!$B$55*V1275</f>
        <v/>
      </c>
      <c r="P1275">
        <f>IF(B1291=0,0,O1275/B1291)</f>
        <v/>
      </c>
      <c r="Q1275" t="n">
        <v>0</v>
      </c>
      <c r="R1275" t="n">
        <v>0</v>
      </c>
      <c r="S1275">
        <f>IFERROR(O1275/N1275,0)</f>
        <v/>
      </c>
      <c r="T1275" t="n">
        <v>0</v>
      </c>
      <c r="V1275" t="n">
        <v>0</v>
      </c>
    </row>
    <row r="1276">
      <c r="A1276">
        <f>Skills!A25</f>
        <v/>
      </c>
      <c r="B1276">
        <f>Skills!B25</f>
        <v/>
      </c>
      <c r="C1276">
        <f>Inputs!$B$3&gt;=72</f>
        <v/>
      </c>
      <c r="D1276">
        <f>IF(Skills!C25=1,60+Inputs!$B$25+Inputs!$B$29,IF(Skills!C25=2,90+Inputs!$B$26+Inputs!$B$29,IF(Skills!C25=3,120+Inputs!$B$27+Inputs!$B$29,MAX(0,(Inputs!$B$3-100)*3)+Inputs!$B$28+Inputs!$B$29)))</f>
        <v/>
      </c>
      <c r="E1276">
        <f>INDEX(FactorTable!$B$2:$Y$301, MATCH(ROUND(MIN(300,MAX(1,D1276)),0), FactorTable!$A$2:$A$301,0), Skills!M25+1)</f>
        <v/>
      </c>
      <c r="F1276">
        <f>IF(Skills!N25=TRUE,(Skills!L25/10)*(E1276/1000),Skills!L25/10)+Skills!O25</f>
        <v/>
      </c>
      <c r="G1276">
        <f>Skills!G25*IF(Skills!H25&gt;0,Skills!I25/Skills!H25,1)</f>
        <v/>
      </c>
      <c r="H1276">
        <f>1-(1-Skills!J25/100)^Skills!K25</f>
        <v/>
      </c>
      <c r="I1276" t="inlineStr">
        <is>
          <t>1</t>
        </is>
      </c>
      <c r="J1276" t="inlineStr"/>
      <c r="K1276" t="inlineStr"/>
      <c r="L1276" t="inlineStr"/>
      <c r="M1276" t="inlineStr"/>
      <c r="N1276" t="inlineStr"/>
      <c r="O1276">
        <f>(1-Summary!$B$55)*T1276+Summary!$B$55*V1276</f>
        <v/>
      </c>
      <c r="P1276">
        <f>IF(B1291=0,0,O1276/B1291)</f>
        <v/>
      </c>
      <c r="Q1276" t="n">
        <v>0</v>
      </c>
      <c r="R1276" t="n">
        <v>0</v>
      </c>
      <c r="S1276">
        <f>IFERROR(O1276/N1276,0)</f>
        <v/>
      </c>
      <c r="T1276" t="n">
        <v>0</v>
      </c>
      <c r="V1276" t="n">
        <v>0</v>
      </c>
    </row>
    <row r="1277">
      <c r="A1277">
        <f>Skills!A26</f>
        <v/>
      </c>
      <c r="B1277">
        <f>Skills!B26</f>
        <v/>
      </c>
      <c r="C1277">
        <f>Inputs!$B$3&gt;=75</f>
        <v/>
      </c>
      <c r="D1277">
        <f>IF(Skills!C26=1,60+Inputs!$B$25+Inputs!$B$29,IF(Skills!C26=2,90+Inputs!$B$26+Inputs!$B$29,IF(Skills!C26=3,120+Inputs!$B$27+Inputs!$B$29,MAX(0,(Inputs!$B$3-100)*3)+Inputs!$B$28+Inputs!$B$29)))</f>
        <v/>
      </c>
      <c r="E1277">
        <f>INDEX(FactorTable!$B$2:$Y$301, MATCH(ROUND(MIN(300,MAX(1,D1277)),0), FactorTable!$A$2:$A$301,0), Skills!M26+1)</f>
        <v/>
      </c>
      <c r="F1277">
        <f>IF(Skills!N26=TRUE,(Skills!L26/10)*(E1277/1000),Skills!L26/10)+Skills!O26</f>
        <v/>
      </c>
      <c r="G1277">
        <f>Skills!G26*IF(Skills!H26&gt;0,Skills!I26/Skills!H26,1)</f>
        <v/>
      </c>
      <c r="H1277">
        <f>1-(1-Skills!J26/100)^Skills!K26</f>
        <v/>
      </c>
      <c r="I1277" t="inlineStr">
        <is>
          <t>1</t>
        </is>
      </c>
      <c r="J1277" t="inlineStr"/>
      <c r="K1277" t="inlineStr"/>
      <c r="L1277" t="inlineStr"/>
      <c r="M1277" t="inlineStr"/>
      <c r="N1277" t="inlineStr"/>
      <c r="O1277">
        <f>(1-Summary!$B$55)*T1277+Summary!$B$55*V1277</f>
        <v/>
      </c>
      <c r="P1277">
        <f>IF(B1291=0,0,O1277/B1291)</f>
        <v/>
      </c>
      <c r="Q1277" t="n">
        <v>0</v>
      </c>
      <c r="R1277" t="n">
        <v>0</v>
      </c>
      <c r="S1277">
        <f>IFERROR(O1277/N1277,0)</f>
        <v/>
      </c>
      <c r="T1277" t="n">
        <v>0</v>
      </c>
      <c r="V1277" t="n">
        <v>0</v>
      </c>
    </row>
    <row r="1278">
      <c r="A1278">
        <f>Skills!A27</f>
        <v/>
      </c>
      <c r="B1278">
        <f>Skills!B27</f>
        <v/>
      </c>
      <c r="C1278">
        <f>Inputs!$B$3&gt;=117</f>
        <v/>
      </c>
      <c r="D1278">
        <f>IF(Skills!C27=1,60+Inputs!$B$25+Inputs!$B$29,IF(Skills!C27=2,90+Inputs!$B$26+Inputs!$B$29,IF(Skills!C27=3,120+Inputs!$B$27+Inputs!$B$29,MAX(0,(Inputs!$B$3-100)*3)+Inputs!$B$28+Inputs!$B$29)))</f>
        <v/>
      </c>
      <c r="E1278">
        <f>INDEX(FactorTable!$B$2:$Y$301, MATCH(ROUND(MIN(300,MAX(1,D1278)),0), FactorTable!$A$2:$A$301,0), Skills!M27+1)</f>
        <v/>
      </c>
      <c r="F1278">
        <f>IF(Skills!N27=TRUE,(Skills!L27/10)*(E1278/1000),Skills!L27/10)+Skills!O27</f>
        <v/>
      </c>
      <c r="G1278">
        <f>Skills!G27*IF(Skills!H27&gt;0,Skills!I27/Skills!H27,1)</f>
        <v/>
      </c>
      <c r="H1278">
        <f>1-(1-Skills!J27/100)^Skills!K27</f>
        <v/>
      </c>
      <c r="I1278" t="inlineStr">
        <is>
          <t>1</t>
        </is>
      </c>
      <c r="J1278" t="inlineStr"/>
      <c r="K1278" t="inlineStr"/>
      <c r="L1278" t="inlineStr"/>
      <c r="M1278" t="inlineStr"/>
      <c r="N1278" t="inlineStr"/>
      <c r="O1278">
        <f>(1-Summary!$B$55)*T1278+Summary!$B$55*V1278</f>
        <v/>
      </c>
      <c r="P1278">
        <f>IF(B1291=0,0,O1278/B1291)</f>
        <v/>
      </c>
      <c r="Q1278" t="n">
        <v>0</v>
      </c>
      <c r="R1278" t="n">
        <v>0</v>
      </c>
      <c r="S1278">
        <f>IFERROR(O1278/N1278,0)</f>
        <v/>
      </c>
      <c r="T1278" t="n">
        <v>0</v>
      </c>
      <c r="V1278" t="n">
        <v>0</v>
      </c>
    </row>
    <row r="1280">
      <c r="A1280" t="inlineStr">
        <is>
          <t>Attack% Bucket Multiplier</t>
        </is>
      </c>
      <c r="B1280">
        <f>(1+(((C1268=TRUE)*F1268)+((C1275=TRUE)*(F1275-Calc!F24)))/100)</f>
        <v/>
      </c>
    </row>
    <row r="1281">
      <c r="A1281" t="inlineStr">
        <is>
          <t>Global Crit Rate Bonus %</t>
        </is>
      </c>
      <c r="B1281" t="n">
        <v>0</v>
      </c>
    </row>
    <row r="1282">
      <c r="A1282" t="inlineStr">
        <is>
          <t>Attack Speed Buff Bonus % (unused)</t>
        </is>
      </c>
      <c r="B1282" t="n">
        <v>0</v>
      </c>
    </row>
    <row r="1283">
      <c r="A1283" t="inlineStr">
        <is>
          <t>Actions Per Second</t>
        </is>
      </c>
      <c r="B1283">
        <f>1+MIN(150,150*(1-(1-(Inputs!$B$11+((C1271=TRUE)*(F1271-Calc!F20))+((C1272=TRUE)*(F1272-Calc!F21)))/150)*(1-B1282/150)))/100</f>
        <v/>
      </c>
    </row>
    <row r="1284">
      <c r="A1284" t="inlineStr">
        <is>
          <t>Skill + Buff Cast Rate</t>
        </is>
      </c>
      <c r="B1284">
        <f>IF(AND(Inputs!$B$38&lt;&gt;"pvp",Inputs!$B$43&gt;0),SUMPRODUCT((Skills!E2:E27=TRUE)*(C1253:C1278=TRUE)*R1253:R1278*Skills!F2:F27)/Inputs!$B$43,SUMPRODUCT((Skills!E2:E27=TRUE)*(C1253:C1278=TRUE)*Q1253:Q1278*Skills!F2:F27))</f>
        <v/>
      </c>
    </row>
    <row r="1285">
      <c r="A1285" t="inlineStr">
        <is>
          <t>Eight-Legs Easton Casts Per Second</t>
        </is>
      </c>
      <c r="B1285">
        <f>MAX(0,B1283-B1284)</f>
        <v/>
      </c>
    </row>
    <row r="1286">
      <c r="A1286" t="inlineStr">
        <is>
          <t>Global Critical Damage Bonus % (unused)</t>
        </is>
      </c>
      <c r="B1286" t="n">
        <v>0</v>
      </c>
    </row>
    <row r="1287">
      <c r="A1287" t="inlineStr">
        <is>
          <t>Global Final Damage Bonus % (Jolly Roger only)</t>
        </is>
      </c>
      <c r="B1287">
        <f>((C1269=TRUE)*F1269)</f>
        <v/>
      </c>
    </row>
    <row r="1288">
      <c r="A1288" t="inlineStr">
        <is>
          <t>Buff-Casting Startup Delay (s, fixed-duration only)</t>
        </is>
      </c>
      <c r="B1288">
        <f>IF(AND(Inputs!$B$38&lt;&gt;"pvp",Inputs!$B$43&gt;0),SUMPRODUCT((Skills!T2:T27&gt;0)*(Skills!E2:E27=TRUE)*(C1253:C1278=TRUE))/B1283,0)</f>
        <v/>
      </c>
    </row>
    <row r="1289">
      <c r="A1289" t="inlineStr">
        <is>
          <t>Boss-Only Total DPS (this block's swept value)</t>
        </is>
      </c>
      <c r="B1289">
        <f>SUM(T1253:T1278)</f>
        <v/>
      </c>
    </row>
    <row r="1290">
      <c r="A1290" t="inlineStr">
        <is>
          <t>Normal-Only Total DPS (this block's swept value)</t>
        </is>
      </c>
      <c r="B1290">
        <f>SUM(V1253:V1278)</f>
        <v/>
      </c>
    </row>
    <row r="1291">
      <c r="A1291" s="5" t="inlineStr">
        <is>
          <t>TOTAL DPS</t>
        </is>
      </c>
      <c r="B1291" s="5">
        <f>SUM(O1253:O1278)</f>
        <v/>
      </c>
    </row>
    <row r="1294">
      <c r="A1294" s="5" t="inlineStr">
        <is>
          <t>Stat: CDR = 2.0s</t>
        </is>
      </c>
    </row>
    <row r="1295">
      <c r="A1295" s="9" t="inlineStr">
        <is>
          <t>Key</t>
        </is>
      </c>
      <c r="B1295" s="9" t="inlineStr">
        <is>
          <t>Name</t>
        </is>
      </c>
      <c r="C1295" s="9" t="inlineStr">
        <is>
          <t>Unlocked</t>
        </is>
      </c>
      <c r="D1295" s="9" t="inlineStr">
        <is>
          <t>InputLevel</t>
        </is>
      </c>
      <c r="E1295" s="9" t="inlineStr">
        <is>
          <t>Factor</t>
        </is>
      </c>
      <c r="F1295" s="9" t="inlineStr">
        <is>
          <t>CoefficientPercent</t>
        </is>
      </c>
      <c r="G1295" s="9" t="inlineStr">
        <is>
          <t>EffectiveHits</t>
        </is>
      </c>
      <c r="H1295" s="9" t="inlineStr">
        <is>
          <t>ProcProbability</t>
        </is>
      </c>
      <c r="I1295" s="9" t="inlineStr">
        <is>
          <t>MapleHeroMultiplier</t>
        </is>
      </c>
      <c r="J1295" s="9" t="inlineStr">
        <is>
          <t>BaseDamage</t>
        </is>
      </c>
      <c r="K1295" s="9" t="inlineStr">
        <is>
          <t>BaseHitDamage</t>
        </is>
      </c>
      <c r="L1295" s="9" t="inlineStr">
        <is>
          <t>NonCritAvg</t>
        </is>
      </c>
      <c r="M1295" s="9" t="inlineStr">
        <is>
          <t>CritAvg</t>
        </is>
      </c>
      <c r="N1295" s="9" t="inlineStr">
        <is>
          <t>ExpectedDamage(perHit)</t>
        </is>
      </c>
      <c r="O1295" s="9" t="inlineStr">
        <is>
          <t>DPS</t>
        </is>
      </c>
      <c r="P1295" s="9" t="inlineStr">
        <is>
          <t>% of Total</t>
        </is>
      </c>
      <c r="Q1295" s="9" t="inlineStr">
        <is>
          <t>InvCooldown</t>
        </is>
      </c>
      <c r="R1295" s="9" t="inlineStr">
        <is>
          <t>CastsInFight</t>
        </is>
      </c>
      <c r="S1295" s="9" t="inlineStr">
        <is>
          <t>HitRate(perSec)</t>
        </is>
      </c>
      <c r="U1295" t="inlineStr">
        <is>
          <t>helpers</t>
        </is>
      </c>
    </row>
    <row r="1296">
      <c r="A1296">
        <f>Skills!A2</f>
        <v/>
      </c>
      <c r="B1296">
        <f>Skills!B2</f>
        <v/>
      </c>
      <c r="C1296">
        <f>Inputs!$B$3&gt;=100</f>
        <v/>
      </c>
      <c r="D1296" t="inlineStr"/>
      <c r="E1296" t="inlineStr"/>
      <c r="F1296">
        <f>U1298+Skills!O2</f>
        <v/>
      </c>
      <c r="G1296">
        <f>Skills!G2*IF(Skills!H2&gt;0,Skills!I2/Skills!H2,1)</f>
        <v/>
      </c>
      <c r="H1296">
        <f>1-(1-Skills!J2/100)^Skills!K2</f>
        <v/>
      </c>
      <c r="I1296" t="inlineStr">
        <is>
          <t>1</t>
        </is>
      </c>
      <c r="J1296">
        <f>((Inputs!$B$6*(1+Inputs!$B$7/100))+(((Inputs!$B$12*(1+Inputs!$B$13/100))-(Inputs!$B$12*(1+Inputs!$B$13/100)))+0.25*(Inputs!$B$14-Inputs!$B$14))*(1+Inputs!$B$7/100))*(F1296/100)</f>
        <v/>
      </c>
      <c r="K1296">
        <f>J1296*(1+((Inputs!$B$12*(1+Inputs!$B$13/100))*0.01+Inputs!$B$14*0.0025)/100)*(1+Inputs!$B$15/100)*(1+Inputs!$B$16/100)*(5000/(6000+Inputs!$B$42*(1-(Inputs!$B$19+0)/100)))*(1+(Inputs!$B$24+((C1320=TRUE)*(F1320-Calc!F26))+B1330)/100)*(1+(IF(Skills!A2="EIGHT_LEGS_EASTON",Inputs!$B$17+((C1317=TRUE)*(F1317-Calc!F23))+((C1321=TRUE)*(F1321-Calc!F27)),Inputs!$B$18+0))/100)*((1+(((C1311=TRUE)*F1311)+((C1318=TRUE)*(F1318-Calc!F24)))/100)*I1296)</f>
        <v/>
      </c>
      <c r="L1296">
        <f>K1296*(MIN(Inputs!$B$22+((C1316=TRUE)*(F1316-Calc!F22)),Inputs!$B$23+0)/100+(Inputs!$B$23+0)/100)/2</f>
        <v/>
      </c>
      <c r="M1296">
        <f>L1296*(1+(Inputs!$B$10+((C1319=TRUE)*(F1319-Calc!F25))+B1329)/100)</f>
        <v/>
      </c>
      <c r="N1296">
        <f>L1296*(1-MIN((Inputs!$B$9+((C1313=TRUE)*(F1313-Calc!F19))+B1324),100)/100)+M1296*(MIN((Inputs!$B$9+((C1313=TRUE)*(F1313-Calc!F19))+B1324),100)/100)</f>
        <v/>
      </c>
      <c r="O1296">
        <f>(1-Summary!$B$55)*T1296+Summary!$B$55*V1296</f>
        <v/>
      </c>
      <c r="P1296">
        <f>IF(B1334=0,0,O1296/B1334)</f>
        <v/>
      </c>
      <c r="Q1296" t="n">
        <v>0</v>
      </c>
      <c r="R1296" t="n">
        <v>0</v>
      </c>
      <c r="S1296">
        <f>IFERROR(O1296/N1296,0)</f>
        <v/>
      </c>
      <c r="T1296">
        <f>IF(C1296,(Skills!G2*N1296*B1328)*IF(Inputs!$B$38="pvp",1,1+(Inputs!$B$20+0+Skills!P2)/100),0)</f>
        <v/>
      </c>
      <c r="U1296">
        <f>MAX(0,(Inputs!$B$3-100)*3)+Inputs!$B$28+Inputs!$B$29</f>
        <v/>
      </c>
      <c r="V1296">
        <f>IF(C1296,(Skills!G2*N1296*B1328)*IF(Inputs!$B$38="pvp",1,(1+(Inputs!$B$21+Skills!Q2)/100)*(MIN((6+Inputs!$B$33),Inputs!$B$37))),0)</f>
        <v/>
      </c>
    </row>
    <row r="1297">
      <c r="A1297">
        <f>Skills!A3</f>
        <v/>
      </c>
      <c r="B1297">
        <f>Skills!B3</f>
        <v/>
      </c>
      <c r="C1297">
        <f>Inputs!$B$3&gt;=35</f>
        <v/>
      </c>
      <c r="D1297">
        <f>IF(Skills!C3=1,60+Inputs!$B$25+Inputs!$B$29,IF(Skills!C3=2,90+Inputs!$B$26+Inputs!$B$29,IF(Skills!C3=3,120+Inputs!$B$27+Inputs!$B$29,MAX(0,(Inputs!$B$3-100)*3)+Inputs!$B$28+Inputs!$B$29)))</f>
        <v/>
      </c>
      <c r="E1297">
        <f>INDEX(FactorTable!$B$2:$Y$301, MATCH(ROUND(MIN(300,MAX(1,D1297)),0), FactorTable!$A$2:$A$301,0), Skills!M3+1)</f>
        <v/>
      </c>
      <c r="F1297">
        <f>IF(Skills!N3=TRUE,(Skills!L3/10)*(E1297/1000),Skills!L3/10)+Skills!O3</f>
        <v/>
      </c>
      <c r="G1297">
        <f>Skills!G3*IF(Skills!H3&gt;0,Skills!I3/Skills!H3,1)</f>
        <v/>
      </c>
      <c r="H1297">
        <f>1-(1-Skills!J3/100)^Skills!K3</f>
        <v/>
      </c>
      <c r="I1297" t="inlineStr">
        <is>
          <t>1</t>
        </is>
      </c>
      <c r="J1297">
        <f>((Inputs!$B$6*(1+Inputs!$B$7/100))+(((Inputs!$B$12*(1+Inputs!$B$13/100))-(Inputs!$B$12*(1+Inputs!$B$13/100)))+0.25*(Inputs!$B$14-Inputs!$B$14))*(1+Inputs!$B$7/100))*(F1297/100)</f>
        <v/>
      </c>
      <c r="K1297">
        <f>J1297*(1+((Inputs!$B$12*(1+Inputs!$B$13/100))*0.01+Inputs!$B$14*0.0025)/100)*(1+Inputs!$B$15/100)*(1+Inputs!$B$16/100)*(5000/(6000+Inputs!$B$42*(1-(Inputs!$B$19+0)/100)))*(1+(Inputs!$B$24+((C1320=TRUE)*(F1320-Calc!F26))+B1330)/100)*(1+4.0*IF(C1309=TRUE,F1309,0)/100)*(1+(IF(Skills!A3="EIGHT_LEGS_EASTON",Inputs!$B$17+((C1317=TRUE)*(F1317-Calc!F23))+((C1321=TRUE)*(F1321-Calc!F27)),Inputs!$B$18+0))/100)*((1+(((C1311=TRUE)*F1311)+((C1318=TRUE)*(F1318-Calc!F24)))/100)*I1297)</f>
        <v/>
      </c>
      <c r="L1297">
        <f>K1297*(MIN(Inputs!$B$22+((C1316=TRUE)*(F1316-Calc!F22)),Inputs!$B$23+0)/100+(Inputs!$B$23+0)/100)/2</f>
        <v/>
      </c>
      <c r="M1297">
        <f>L1297*(1+(Inputs!$B$10+((C1319=TRUE)*(F1319-Calc!F25))+B1329)/100)</f>
        <v/>
      </c>
      <c r="N1297">
        <f>L1297*(1-MIN((Inputs!$B$9+((C1313=TRUE)*(F1313-Calc!F19))+B1324),100)/100)+M1297*(MIN((Inputs!$B$9+((C1313=TRUE)*(F1313-Calc!F19))+B1324),100)/100)</f>
        <v/>
      </c>
      <c r="O1297">
        <f>(1-Summary!$B$55)*T1297+Summary!$B$55*V1297</f>
        <v/>
      </c>
      <c r="P1297">
        <f>IF(B1334=0,0,O1297/B1334)</f>
        <v/>
      </c>
      <c r="Q1297">
        <f>IFERROR(1/IF(Inputs!$B$38="pvp",15,MAX(0.1,Skills!D3-IF(Skills!E3=TRUE,2.0,0))),0)</f>
        <v/>
      </c>
      <c r="R1297">
        <f>IF(AND(Inputs!$B$38&lt;&gt;"pvp",Inputs!$B$43&gt;0),IF(MAX(0,Inputs!$B$43-B1331)&lt;=0,0,(INT(MAX(0,Inputs!$B$43-B1331)/IF(Inputs!$B$38="pvp",15,MAX(0.1,Skills!D3-IF(Skills!E3=TRUE,2.0,0))))+1)),0)</f>
        <v/>
      </c>
      <c r="S1297">
        <f>IFERROR(O1297/N1297,0)</f>
        <v/>
      </c>
      <c r="T1297">
        <f>IF(C1297,(H1297*N1297*IF(AND(Inputs!$B$38&lt;&gt;"pvp",Inputs!$B$43&gt;0),((Skills!G3*((R1297-1)*IF(Skills!H3&gt;0,Skills!I3/Skills!H3,1)+IF(Skills!H3&gt;0,MIN(Skills!I3,MAX(0,MAX(0,Inputs!$B$43-B1331)-((R1297-1)*IF(Inputs!$B$38="pvp",15,MAX(0.1,Skills!D3-IF(Skills!E3=TRUE,2.0,0))))))/Skills!H3,1)))/Inputs!$B$43),G1297*Q1297))*IF(Inputs!$B$38="pvp",1,1+(Inputs!$B$20+0+Skills!P3)/100),0)</f>
        <v/>
      </c>
      <c r="U1297">
        <f>INDEX(FactorTable!$B$2:$Y$301, MATCH(ROUND(MIN(300,MAX(1,U1296)),0), FactorTable!$A$2:$A$301,0), 22)</f>
        <v/>
      </c>
      <c r="V1297">
        <f>IF(C1297,(H1297*N1297*IF(AND(Inputs!$B$38&lt;&gt;"pvp",Inputs!$B$43&gt;0),((Skills!G3*((R1297-1)*IF(Skills!H3&gt;0,Skills!I3/Skills!H3,1)+IF(Skills!H3&gt;0,MIN(Skills!I3,MAX(0,MAX(0,Inputs!$B$43-B1331)-((R1297-1)*IF(Inputs!$B$38="pvp",15,MAX(0.1,Skills!D3-IF(Skills!E3=TRUE,2.0,0))))))/Skills!H3,1)))/Inputs!$B$43),G1297*Q1297))*IF(Inputs!$B$38="pvp",1,(1+(Inputs!$B$21+Skills!Q3)/100)*(MIN(Skills!R3,Inputs!$B$37))),0)</f>
        <v/>
      </c>
    </row>
    <row r="1298">
      <c r="A1298">
        <f>Skills!A4</f>
        <v/>
      </c>
      <c r="B1298">
        <f>Skills!B4</f>
        <v/>
      </c>
      <c r="C1298">
        <f>Inputs!$B$3&gt;=40</f>
        <v/>
      </c>
      <c r="D1298">
        <f>IF(Skills!C4=1,60+Inputs!$B$25+Inputs!$B$29,IF(Skills!C4=2,90+Inputs!$B$26+Inputs!$B$29,IF(Skills!C4=3,120+Inputs!$B$27+Inputs!$B$29,MAX(0,(Inputs!$B$3-100)*3)+Inputs!$B$28+Inputs!$B$29)))</f>
        <v/>
      </c>
      <c r="E1298">
        <f>INDEX(FactorTable!$B$2:$Y$301, MATCH(ROUND(MIN(300,MAX(1,D1298)),0), FactorTable!$A$2:$A$301,0), Skills!M4+1)</f>
        <v/>
      </c>
      <c r="F1298">
        <f>IF(Skills!N4=TRUE,(Skills!L4/10)*(E1298/1000),Skills!L4/10)+Skills!O4</f>
        <v/>
      </c>
      <c r="G1298">
        <f>Skills!G4*IF(Skills!H4&gt;0,Skills!I4/Skills!H4,1)</f>
        <v/>
      </c>
      <c r="H1298">
        <f>1-(1-Skills!J4/100)^Skills!K4</f>
        <v/>
      </c>
      <c r="I1298" t="inlineStr">
        <is>
          <t>1</t>
        </is>
      </c>
      <c r="J1298">
        <f>((Inputs!$B$6*(1+Inputs!$B$7/100))+(((Inputs!$B$12*(1+Inputs!$B$13/100))-(Inputs!$B$12*(1+Inputs!$B$13/100)))+0.25*(Inputs!$B$14-Inputs!$B$14))*(1+Inputs!$B$7/100))*(F1298/100)</f>
        <v/>
      </c>
      <c r="K1298">
        <f>J1298*(1+((Inputs!$B$12*(1+Inputs!$B$13/100))*0.01+Inputs!$B$14*0.0025)/100)*(1+Inputs!$B$15/100)*(1+Inputs!$B$16/100)*(5000/(6000+Inputs!$B$42*(1-(Inputs!$B$19+0)/100)))*(1+(Inputs!$B$24+((C1320=TRUE)*(F1320-Calc!F26))+B1330)/100)*(1+1.0*IF(C1310=TRUE,F1310,0)/100)*(1+(IF(Skills!A4="EIGHT_LEGS_EASTON",Inputs!$B$17+((C1317=TRUE)*(F1317-Calc!F23))+((C1321=TRUE)*(F1321-Calc!F27)),Inputs!$B$18+0))/100)*((1+(((C1311=TRUE)*F1311)+((C1318=TRUE)*(F1318-Calc!F24)))/100)*I1298)</f>
        <v/>
      </c>
      <c r="L1298">
        <f>K1298*(MIN(Inputs!$B$22+((C1316=TRUE)*(F1316-Calc!F22)),Inputs!$B$23+0)/100+(Inputs!$B$23+0)/100)/2</f>
        <v/>
      </c>
      <c r="M1298">
        <f>L1298*(1+(Inputs!$B$10+((C1319=TRUE)*(F1319-Calc!F25))+B1329)/100)</f>
        <v/>
      </c>
      <c r="N1298">
        <f>L1298*(1-MIN((Inputs!$B$9+((C1313=TRUE)*(F1313-Calc!F19))+B1324),100)/100)+M1298*(MIN((Inputs!$B$9+((C1313=TRUE)*(F1313-Calc!F19))+B1324),100)/100)</f>
        <v/>
      </c>
      <c r="O1298">
        <f>(1-Summary!$B$55)*T1298+Summary!$B$55*V1298</f>
        <v/>
      </c>
      <c r="P1298">
        <f>IF(B1334=0,0,O1298/B1334)</f>
        <v/>
      </c>
      <c r="Q1298">
        <f>IFERROR(1/IF(Inputs!$B$38="pvp",15,MAX(0.1,Skills!D4-IF(Skills!E4=TRUE,2.0,0))),0)</f>
        <v/>
      </c>
      <c r="R1298">
        <f>IF(AND(Inputs!$B$38&lt;&gt;"pvp",Inputs!$B$43&gt;0),IF(MAX(0,Inputs!$B$43-B1331)&lt;=0,0,(INT(MAX(0,Inputs!$B$43-B1331)/IF(Inputs!$B$38="pvp",15,MAX(0.1,Skills!D4-IF(Skills!E4=TRUE,2.0,0))))+1)),0)</f>
        <v/>
      </c>
      <c r="S1298">
        <f>IFERROR(O1298/N1298,0)</f>
        <v/>
      </c>
      <c r="T1298">
        <f>IF(C1298,(H1298*N1298*IF(AND(Inputs!$B$38&lt;&gt;"pvp",Inputs!$B$43&gt;0),((Skills!G4*((R1298-1)*IF(Skills!H4&gt;0,Skills!I4/Skills!H4,1)+IF(Skills!H4&gt;0,MIN(Skills!I4,MAX(0,MAX(0,Inputs!$B$43-B1331)-((R1298-1)*IF(Inputs!$B$38="pvp",15,MAX(0.1,Skills!D4-IF(Skills!E4=TRUE,2.0,0))))))/Skills!H4,1)))/Inputs!$B$43),G1298*Q1298))*IF(Inputs!$B$38="pvp",1,1+(Inputs!$B$20+0+Skills!P4)/100),0)</f>
        <v/>
      </c>
      <c r="U1298">
        <f>290*U1297/1000</f>
        <v/>
      </c>
      <c r="V1298">
        <f>IF(C1298,(H1298*N1298*IF(AND(Inputs!$B$38&lt;&gt;"pvp",Inputs!$B$43&gt;0),((Skills!G4*((R1298-1)*IF(Skills!H4&gt;0,Skills!I4/Skills!H4,1)+IF(Skills!H4&gt;0,MIN(Skills!I4,MAX(0,MAX(0,Inputs!$B$43-B1331)-((R1298-1)*IF(Inputs!$B$38="pvp",15,MAX(0.1,Skills!D4-IF(Skills!E4=TRUE,2.0,0))))))/Skills!H4,1)))/Inputs!$B$43),G1298*Q1298))*IF(Inputs!$B$38="pvp",1,(1+(Inputs!$B$21+Skills!Q4)/100)*(MIN(Skills!R4,Inputs!$B$37))),0)</f>
        <v/>
      </c>
    </row>
    <row r="1299">
      <c r="A1299">
        <f>Skills!A5</f>
        <v/>
      </c>
      <c r="B1299">
        <f>Skills!B5</f>
        <v/>
      </c>
      <c r="C1299">
        <f>Inputs!$B$3&gt;=45</f>
        <v/>
      </c>
      <c r="D1299">
        <f>IF(Skills!C5=1,60+Inputs!$B$25+Inputs!$B$29,IF(Skills!C5=2,90+Inputs!$B$26+Inputs!$B$29,IF(Skills!C5=3,120+Inputs!$B$27+Inputs!$B$29,MAX(0,(Inputs!$B$3-100)*3)+Inputs!$B$28+Inputs!$B$29)))</f>
        <v/>
      </c>
      <c r="E1299">
        <f>INDEX(FactorTable!$B$2:$Y$301, MATCH(ROUND(MIN(300,MAX(1,D1299)),0), FactorTable!$A$2:$A$301,0), Skills!M5+1)</f>
        <v/>
      </c>
      <c r="F1299">
        <f>IF(Skills!N5=TRUE,(Skills!L5/10)*(E1299/1000),Skills!L5/10)+Skills!O5</f>
        <v/>
      </c>
      <c r="G1299">
        <f>Skills!G5*IF(Skills!H5&gt;0,Skills!I5/Skills!H5,1)</f>
        <v/>
      </c>
      <c r="H1299">
        <f>1-(1-Skills!J5/100)^Skills!K5</f>
        <v/>
      </c>
      <c r="I1299" t="inlineStr">
        <is>
          <t>1</t>
        </is>
      </c>
      <c r="J1299">
        <f>((Inputs!$B$6*(1+Inputs!$B$7/100))+(((Inputs!$B$12*(1+Inputs!$B$13/100))-(Inputs!$B$12*(1+Inputs!$B$13/100)))+0.25*(Inputs!$B$14-Inputs!$B$14))*(1+Inputs!$B$7/100))*(F1299/100)</f>
        <v/>
      </c>
      <c r="K1299">
        <f>J1299*(1+((Inputs!$B$12*(1+Inputs!$B$13/100))*0.01+Inputs!$B$14*0.0025)/100)*(1+Inputs!$B$15/100)*(1+Inputs!$B$16/100)*(5000/(6000+Inputs!$B$42*(1-(Inputs!$B$19+0)/100)))*(1+(Inputs!$B$24+((C1320=TRUE)*(F1320-Calc!F26))+B1330)/100)*(1+0.4*IF(C1310=TRUE,F1310,0)/100)*(1+(IF(Skills!A5="EIGHT_LEGS_EASTON",Inputs!$B$17+((C1317=TRUE)*(F1317-Calc!F23))+((C1321=TRUE)*(F1321-Calc!F27)),Inputs!$B$18+0))/100)*((1+(((C1311=TRUE)*F1311)+((C1318=TRUE)*(F1318-Calc!F24)))/100)*I1299)</f>
        <v/>
      </c>
      <c r="L1299">
        <f>K1299*(MIN(Inputs!$B$22+((C1316=TRUE)*(F1316-Calc!F22)),Inputs!$B$23+0)/100+(Inputs!$B$23+0)/100)/2</f>
        <v/>
      </c>
      <c r="M1299">
        <f>L1299*(1+(Inputs!$B$10+((C1319=TRUE)*(F1319-Calc!F25))+B1329)/100)</f>
        <v/>
      </c>
      <c r="N1299">
        <f>L1299*(1-MIN((Inputs!$B$9+((C1313=TRUE)*(F1313-Calc!F19))+B1324),100)/100)+M1299*(MIN((Inputs!$B$9+((C1313=TRUE)*(F1313-Calc!F19))+B1324),100)/100)</f>
        <v/>
      </c>
      <c r="O1299">
        <f>(1-Summary!$B$55)*T1299+Summary!$B$55*V1299</f>
        <v/>
      </c>
      <c r="P1299">
        <f>IF(B1334=0,0,O1299/B1334)</f>
        <v/>
      </c>
      <c r="Q1299">
        <f>IFERROR(1/IF(Inputs!$B$38="pvp",15,MAX(0.1,Skills!D5-IF(Skills!E5=TRUE,2.0,0))),0)</f>
        <v/>
      </c>
      <c r="R1299">
        <f>IF(AND(Inputs!$B$38&lt;&gt;"pvp",Inputs!$B$43&gt;0),IF(MAX(0,Inputs!$B$43-B1331)&lt;=0,0,(INT(MAX(0,Inputs!$B$43-B1331)/IF(Inputs!$B$38="pvp",15,MAX(0.1,Skills!D5-IF(Skills!E5=TRUE,2.0,0))))+1)),0)</f>
        <v/>
      </c>
      <c r="S1299">
        <f>IFERROR(O1299/N1299,0)</f>
        <v/>
      </c>
      <c r="T1299">
        <f>IF(C1299,(H1299*N1299*IF(AND(Inputs!$B$38&lt;&gt;"pvp",Inputs!$B$43&gt;0),((Skills!G5*((R1299-1)*IF(Skills!H5&gt;0,Skills!I5/Skills!H5,1)+IF(Skills!H5&gt;0,MIN(Skills!I5,MAX(0,MAX(0,Inputs!$B$43-B1331)-((R1299-1)*IF(Inputs!$B$38="pvp",15,MAX(0.1,Skills!D5-IF(Skills!E5=TRUE,2.0,0))))))/Skills!H5,1)))/Inputs!$B$43),G1299*Q1299))*IF(Inputs!$B$38="pvp",1,1+(Inputs!$B$20+0+Skills!P5)/100),0)</f>
        <v/>
      </c>
      <c r="V1299">
        <f>IF(C1299,(H1299*N1299*IF(AND(Inputs!$B$38&lt;&gt;"pvp",Inputs!$B$43&gt;0),((Skills!G5*((R1299-1)*IF(Skills!H5&gt;0,Skills!I5/Skills!H5,1)+IF(Skills!H5&gt;0,MIN(Skills!I5,MAX(0,MAX(0,Inputs!$B$43-B1331)-((R1299-1)*IF(Inputs!$B$38="pvp",15,MAX(0.1,Skills!D5-IF(Skills!E5=TRUE,2.0,0))))))/Skills!H5,1)))/Inputs!$B$43),G1299*Q1299))*IF(Inputs!$B$38="pvp",1,(1+(Inputs!$B$21+Skills!Q5)/100)*(MIN(Skills!R5,Inputs!$B$37))),0)</f>
        <v/>
      </c>
    </row>
    <row r="1300">
      <c r="A1300">
        <f>Skills!A6</f>
        <v/>
      </c>
      <c r="B1300">
        <f>Skills!B6</f>
        <v/>
      </c>
      <c r="C1300">
        <f>Inputs!$B$3&gt;=63</f>
        <v/>
      </c>
      <c r="D1300">
        <f>IF(Skills!C6=1,60+Inputs!$B$25+Inputs!$B$29,IF(Skills!C6=2,90+Inputs!$B$26+Inputs!$B$29,IF(Skills!C6=3,120+Inputs!$B$27+Inputs!$B$29,MAX(0,(Inputs!$B$3-100)*3)+Inputs!$B$28+Inputs!$B$29)))</f>
        <v/>
      </c>
      <c r="E1300">
        <f>INDEX(FactorTable!$B$2:$Y$301, MATCH(ROUND(MIN(300,MAX(1,D1300)),0), FactorTable!$A$2:$A$301,0), Skills!M6+1)</f>
        <v/>
      </c>
      <c r="F1300">
        <f>IF(Skills!N6=TRUE,(Skills!L6/10)*(E1300/1000),Skills!L6/10)+Skills!O6</f>
        <v/>
      </c>
      <c r="G1300">
        <f>Skills!G6*IF(Skills!H6&gt;0,Skills!I6/Skills!H6,1)</f>
        <v/>
      </c>
      <c r="H1300">
        <f>1-(1-Skills!J6/100)^Skills!K6</f>
        <v/>
      </c>
      <c r="I1300" t="inlineStr">
        <is>
          <t>1</t>
        </is>
      </c>
      <c r="J1300">
        <f>((Inputs!$B$6*(1+Inputs!$B$7/100))+(((Inputs!$B$12*(1+Inputs!$B$13/100))-(Inputs!$B$12*(1+Inputs!$B$13/100)))+0.25*(Inputs!$B$14-Inputs!$B$14))*(1+Inputs!$B$7/100))*(F1300/100)</f>
        <v/>
      </c>
      <c r="K1300">
        <f>J1300*(1+((Inputs!$B$12*(1+Inputs!$B$13/100))*0.01+Inputs!$B$14*0.0025)/100)*(1+Inputs!$B$15/100)*(1+Inputs!$B$16/100)*(5000/(6000+Inputs!$B$42*(1-(Inputs!$B$19+0)/100)))*(1+(Inputs!$B$24+((C1320=TRUE)*(F1320-Calc!F26))+B1330)/100)*(1+2.0*IF(C1309=TRUE,F1309,0)/100)*(1+(IF(Skills!A6="EIGHT_LEGS_EASTON",Inputs!$B$17+((C1317=TRUE)*(F1317-Calc!F23))+((C1321=TRUE)*(F1321-Calc!F27)),Inputs!$B$18+0))/100)*((1+(((C1311=TRUE)*F1311)+((C1318=TRUE)*(F1318-Calc!F24)))/100)*I1300)</f>
        <v/>
      </c>
      <c r="L1300">
        <f>K1300*(MIN(Inputs!$B$22+((C1316=TRUE)*(F1316-Calc!F22)),Inputs!$B$23+0)/100+(Inputs!$B$23+0)/100)/2</f>
        <v/>
      </c>
      <c r="M1300">
        <f>L1300*(1+(Inputs!$B$10+((C1319=TRUE)*(F1319-Calc!F25))+B1329)/100)</f>
        <v/>
      </c>
      <c r="N1300">
        <f>L1300*(1-MIN((Inputs!$B$9+((C1313=TRUE)*(F1313-Calc!F19))+B1324),100)/100)+M1300*(MIN((Inputs!$B$9+((C1313=TRUE)*(F1313-Calc!F19))+B1324),100)/100)</f>
        <v/>
      </c>
      <c r="O1300">
        <f>(1-Summary!$B$55)*T1300+Summary!$B$55*V1300</f>
        <v/>
      </c>
      <c r="P1300">
        <f>IF(B1334=0,0,O1300/B1334)</f>
        <v/>
      </c>
      <c r="Q1300">
        <f>IFERROR(1/IF(Inputs!$B$38="pvp",15,MAX(0.1,Skills!D6-IF(Skills!E6=TRUE,2.0,0))),0)</f>
        <v/>
      </c>
      <c r="R1300">
        <f>IF(AND(Inputs!$B$38&lt;&gt;"pvp",Inputs!$B$43&gt;0),IF(MAX(0,Inputs!$B$43-B1331)&lt;=0,0,(INT(MAX(0,Inputs!$B$43-B1331)/IF(Inputs!$B$38="pvp",15,MAX(0.1,Skills!D6-IF(Skills!E6=TRUE,2.0,0))))+1)),0)</f>
        <v/>
      </c>
      <c r="S1300">
        <f>IFERROR(O1300/N1300,0)</f>
        <v/>
      </c>
      <c r="T1300">
        <f>IF(C1300,(H1300*N1300*IF(AND(Inputs!$B$38&lt;&gt;"pvp",Inputs!$B$43&gt;0),((Skills!G6*((R1300-1)*IF(Skills!H6&gt;0,Skills!I6/Skills!H6,1)+IF(Skills!H6&gt;0,MIN(Skills!I6,MAX(0,MAX(0,Inputs!$B$43-B1331)-((R1300-1)*IF(Inputs!$B$38="pvp",15,MAX(0.1,Skills!D6-IF(Skills!E6=TRUE,2.0,0))))))/Skills!H6,1)))/Inputs!$B$43),G1300*Q1300))*IF(Inputs!$B$38="pvp",1,1+(Inputs!$B$20+0+Skills!P6)/100),0)</f>
        <v/>
      </c>
      <c r="V1300">
        <f>IF(C1300,(H1300*N1300*IF(AND(Inputs!$B$38&lt;&gt;"pvp",Inputs!$B$43&gt;0),((Skills!G6*((R1300-1)*IF(Skills!H6&gt;0,Skills!I6/Skills!H6,1)+IF(Skills!H6&gt;0,MIN(Skills!I6,MAX(0,MAX(0,Inputs!$B$43-B1331)-((R1300-1)*IF(Inputs!$B$38="pvp",15,MAX(0.1,Skills!D6-IF(Skills!E6=TRUE,2.0,0))))))/Skills!H6,1)))/Inputs!$B$43),G1300*Q1300))*IF(Inputs!$B$38="pvp",1,(1+(Inputs!$B$21+Skills!Q6)/100)*(MIN(Skills!R6,Inputs!$B$37))),0)</f>
        <v/>
      </c>
    </row>
    <row r="1301">
      <c r="A1301">
        <f>Skills!A7</f>
        <v/>
      </c>
      <c r="B1301">
        <f>Skills!B7</f>
        <v/>
      </c>
      <c r="C1301">
        <f>Inputs!$B$3&gt;=66</f>
        <v/>
      </c>
      <c r="D1301">
        <f>IF(Skills!C7=1,60+Inputs!$B$25+Inputs!$B$29,IF(Skills!C7=2,90+Inputs!$B$26+Inputs!$B$29,IF(Skills!C7=3,120+Inputs!$B$27+Inputs!$B$29,MAX(0,(Inputs!$B$3-100)*3)+Inputs!$B$28+Inputs!$B$29)))</f>
        <v/>
      </c>
      <c r="E1301">
        <f>INDEX(FactorTable!$B$2:$Y$301, MATCH(ROUND(MIN(300,MAX(1,D1301)),0), FactorTable!$A$2:$A$301,0), Skills!M7+1)</f>
        <v/>
      </c>
      <c r="F1301">
        <f>IF(Skills!N7=TRUE,(Skills!L7/10)*(E1301/1000),Skills!L7/10)+Skills!O7</f>
        <v/>
      </c>
      <c r="G1301">
        <f>Skills!G7*IF(Skills!H7&gt;0,Skills!I7/Skills!H7,1)</f>
        <v/>
      </c>
      <c r="H1301">
        <f>1-(1-Skills!J7/100)^Skills!K7</f>
        <v/>
      </c>
      <c r="I1301" t="inlineStr">
        <is>
          <t>1</t>
        </is>
      </c>
      <c r="J1301">
        <f>((Inputs!$B$6*(1+Inputs!$B$7/100))+(((Inputs!$B$12*(1+Inputs!$B$13/100))-(Inputs!$B$12*(1+Inputs!$B$13/100)))+0.25*(Inputs!$B$14-Inputs!$B$14))*(1+Inputs!$B$7/100))*(F1301/100)</f>
        <v/>
      </c>
      <c r="K1301">
        <f>J1301*(1+((Inputs!$B$12*(1+Inputs!$B$13/100))*0.01+Inputs!$B$14*0.0025)/100)*(1+Inputs!$B$15/100)*(1+Inputs!$B$16/100)*(5000/(6000+Inputs!$B$42*(1-(Inputs!$B$19+0)/100)))*(1+(Inputs!$B$24+((C1320=TRUE)*(F1320-Calc!F26))+B1330)/100)*(1+1.0*IF(C1309=TRUE,F1309,0)/100)*(1+(IF(Skills!A7="EIGHT_LEGS_EASTON",Inputs!$B$17+((C1317=TRUE)*(F1317-Calc!F23))+((C1321=TRUE)*(F1321-Calc!F27)),Inputs!$B$18+0))/100)*((1+(((C1311=TRUE)*F1311)+((C1318=TRUE)*(F1318-Calc!F24)))/100)*I1301)</f>
        <v/>
      </c>
      <c r="L1301">
        <f>K1301*(MIN(Inputs!$B$22+((C1316=TRUE)*(F1316-Calc!F22)),Inputs!$B$23+0)/100+(Inputs!$B$23+0)/100)/2</f>
        <v/>
      </c>
      <c r="M1301">
        <f>L1301*(1+(Inputs!$B$10+((C1319=TRUE)*(F1319-Calc!F25))+B1329)/100)</f>
        <v/>
      </c>
      <c r="N1301">
        <f>L1301*(1-MIN((Inputs!$B$9+((C1313=TRUE)*(F1313-Calc!F19))+B1324),100)/100)+M1301*(MIN((Inputs!$B$9+((C1313=TRUE)*(F1313-Calc!F19))+B1324),100)/100)</f>
        <v/>
      </c>
      <c r="O1301">
        <f>(1-Summary!$B$55)*T1301+Summary!$B$55*V1301</f>
        <v/>
      </c>
      <c r="P1301">
        <f>IF(B1334=0,0,O1301/B1334)</f>
        <v/>
      </c>
      <c r="Q1301">
        <f>IFERROR(1/IF(Inputs!$B$38="pvp",15,MAX(0.1,Skills!D7-IF(Skills!E7=TRUE,2.0,0))),0)</f>
        <v/>
      </c>
      <c r="R1301">
        <f>IF(AND(Inputs!$B$38&lt;&gt;"pvp",Inputs!$B$43&gt;0),IF(MAX(0,Inputs!$B$43-B1331)&lt;=0,0,(INT(MAX(0,Inputs!$B$43-B1331)/IF(Inputs!$B$38="pvp",15,MAX(0.1,Skills!D7-IF(Skills!E7=TRUE,2.0,0))))+1)),0)</f>
        <v/>
      </c>
      <c r="S1301">
        <f>IFERROR(O1301/N1301,0)</f>
        <v/>
      </c>
      <c r="T1301">
        <f>IF(C1301,(H1301*N1301*IF(AND(Inputs!$B$38&lt;&gt;"pvp",Inputs!$B$43&gt;0),((Skills!G7*((R1301-1)*IF(Skills!H7&gt;0,Skills!I7/Skills!H7,1)+IF(Skills!H7&gt;0,MIN(Skills!I7,MAX(0,MAX(0,Inputs!$B$43-B1331)-((R1301-1)*IF(Inputs!$B$38="pvp",15,MAX(0.1,Skills!D7-IF(Skills!E7=TRUE,2.0,0))))))/Skills!H7,1)))/Inputs!$B$43),G1301*Q1301))*IF(Inputs!$B$38="pvp",1,1+(Inputs!$B$20+0+Skills!P7)/100),0)</f>
        <v/>
      </c>
      <c r="V1301">
        <f>IF(C1301,(H1301*N1301*IF(AND(Inputs!$B$38&lt;&gt;"pvp",Inputs!$B$43&gt;0),((Skills!G7*((R1301-1)*IF(Skills!H7&gt;0,Skills!I7/Skills!H7,1)+IF(Skills!H7&gt;0,MIN(Skills!I7,MAX(0,MAX(0,Inputs!$B$43-B1331)-((R1301-1)*IF(Inputs!$B$38="pvp",15,MAX(0.1,Skills!D7-IF(Skills!E7=TRUE,2.0,0))))))/Skills!H7,1)))/Inputs!$B$43),G1301*Q1301))*IF(Inputs!$B$38="pvp",1,(1+(Inputs!$B$21+Skills!Q7)/100)*(MIN(Skills!R7,Inputs!$B$37))),0)</f>
        <v/>
      </c>
    </row>
    <row r="1302">
      <c r="A1302">
        <f>Skills!A8</f>
        <v/>
      </c>
      <c r="B1302">
        <f>Skills!B8</f>
        <v/>
      </c>
      <c r="C1302">
        <f>Inputs!$B$3&gt;=100</f>
        <v/>
      </c>
      <c r="D1302">
        <f>IF(Skills!C8=1,60+Inputs!$B$25+Inputs!$B$29,IF(Skills!C8=2,90+Inputs!$B$26+Inputs!$B$29,IF(Skills!C8=3,120+Inputs!$B$27+Inputs!$B$29,MAX(0,(Inputs!$B$3-100)*3)+Inputs!$B$28+Inputs!$B$29)))</f>
        <v/>
      </c>
      <c r="E1302">
        <f>INDEX(FactorTable!$B$2:$Y$301, MATCH(ROUND(MIN(300,MAX(1,D1302)),0), FactorTable!$A$2:$A$301,0), Skills!M8+1)</f>
        <v/>
      </c>
      <c r="F1302">
        <f>IF(Skills!N8=TRUE,(Skills!L8/10)*(E1302/1000),Skills!L8/10)+Skills!O8</f>
        <v/>
      </c>
      <c r="G1302">
        <f>Skills!G8*IF(Skills!H8&gt;0,Skills!I8/Skills!H8,1)</f>
        <v/>
      </c>
      <c r="H1302">
        <f>1-(1-Skills!J8/100)^Skills!K8</f>
        <v/>
      </c>
      <c r="I1302" t="inlineStr">
        <is>
          <t>1</t>
        </is>
      </c>
      <c r="J1302">
        <f>((Inputs!$B$6*(1+Inputs!$B$7/100))+(((Inputs!$B$12*(1+Inputs!$B$13/100))-(Inputs!$B$12*(1+Inputs!$B$13/100)))+0.25*(Inputs!$B$14-Inputs!$B$14))*(1+Inputs!$B$7/100))*(F1302/100)</f>
        <v/>
      </c>
      <c r="K1302">
        <f>J1302*(1+((Inputs!$B$12*(1+Inputs!$B$13/100))*0.01+Inputs!$B$14*0.0025)/100)*(1+Inputs!$B$15/100)*(1+Inputs!$B$16/100)*(5000/(6000+Inputs!$B$42*(1-(Inputs!$B$19+0)/100)))*(1+(Inputs!$B$24+((C1320=TRUE)*(F1320-Calc!F26))+B1330)/100)*(1+(IF(Skills!A8="EIGHT_LEGS_EASTON",Inputs!$B$17+((C1317=TRUE)*(F1317-Calc!F23))+((C1321=TRUE)*(F1321-Calc!F27)),Inputs!$B$18+0))/100)*((1+(((C1311=TRUE)*F1311)+((C1318=TRUE)*(F1318-Calc!F24)))/100)*I1302)</f>
        <v/>
      </c>
      <c r="L1302">
        <f>K1302*(MIN(Inputs!$B$22+((C1316=TRUE)*(F1316-Calc!F22)),Inputs!$B$23+0)/100+(Inputs!$B$23+0)/100)/2</f>
        <v/>
      </c>
      <c r="M1302">
        <f>L1302*(1+(Inputs!$B$10+((C1319=TRUE)*(F1319-Calc!F25))+B1329)/100)</f>
        <v/>
      </c>
      <c r="N1302">
        <f>L1302*(1-MIN((Inputs!$B$9+((C1313=TRUE)*(F1313-Calc!F19))+B1324),100)/100)+M1302*(MIN((Inputs!$B$9+((C1313=TRUE)*(F1313-Calc!F19))+B1324),100)/100)</f>
        <v/>
      </c>
      <c r="O1302">
        <f>(1-Summary!$B$55)*T1302+Summary!$B$55*V1302</f>
        <v/>
      </c>
      <c r="P1302">
        <f>IF(B1334=0,0,O1302/B1334)</f>
        <v/>
      </c>
      <c r="Q1302">
        <f>IFERROR(1/IF(Inputs!$B$38="pvp",15,MAX(0.1,Skills!D8-IF(Skills!E8=TRUE,2.0,0))),0)</f>
        <v/>
      </c>
      <c r="R1302">
        <f>IF(AND(Inputs!$B$38&lt;&gt;"pvp",Inputs!$B$43&gt;0),IF(MAX(0,Inputs!$B$43-B1331)&lt;=0,0,(INT(MAX(0,Inputs!$B$43-B1331)/IF(Inputs!$B$38="pvp",15,MAX(0.1,Skills!D8-IF(Skills!E8=TRUE,2.0,0))))+1)),0)</f>
        <v/>
      </c>
      <c r="S1302">
        <f>IFERROR(O1302/N1302,0)</f>
        <v/>
      </c>
      <c r="T1302">
        <f>IF(C1302,(H1302*N1302*IF(AND(Inputs!$B$38&lt;&gt;"pvp",Inputs!$B$43&gt;0),((Skills!G8*((R1302-1)*IF(Skills!H8&gt;0,Skills!I8/Skills!H8,1)+IF(Skills!H8&gt;0,MIN(Skills!I8,MAX(0,MAX(0,Inputs!$B$43-B1331)-((R1302-1)*IF(Inputs!$B$38="pvp",15,MAX(0.1,Skills!D8-IF(Skills!E8=TRUE,2.0,0))))))/Skills!H8,1)))/Inputs!$B$43),G1302*Q1302))*IF(Inputs!$B$38="pvp",1,1+(Inputs!$B$20+0+Skills!P8)/100),0)</f>
        <v/>
      </c>
      <c r="V1302">
        <f>IF(C1302,(H1302*N1302*IF(AND(Inputs!$B$38&lt;&gt;"pvp",Inputs!$B$43&gt;0),((Skills!G8*((R1302-1)*IF(Skills!H8&gt;0,Skills!I8/Skills!H8,1)+IF(Skills!H8&gt;0,MIN(Skills!I8,MAX(0,MAX(0,Inputs!$B$43-B1331)-((R1302-1)*IF(Inputs!$B$38="pvp",15,MAX(0.1,Skills!D8-IF(Skills!E8=TRUE,2.0,0))))))/Skills!H8,1)))/Inputs!$B$43),G1302*Q1302))*IF(Inputs!$B$38="pvp",1,(1+(Inputs!$B$21+Skills!Q8)/100)*(MIN(Skills!R8,Inputs!$B$37))),0)</f>
        <v/>
      </c>
    </row>
    <row r="1303">
      <c r="A1303">
        <f>Skills!A9</f>
        <v/>
      </c>
      <c r="B1303">
        <f>Skills!B9</f>
        <v/>
      </c>
      <c r="C1303">
        <f>Inputs!$B$3&gt;=103</f>
        <v/>
      </c>
      <c r="D1303">
        <f>IF(Skills!C9=1,60+Inputs!$B$25+Inputs!$B$29,IF(Skills!C9=2,90+Inputs!$B$26+Inputs!$B$29,IF(Skills!C9=3,120+Inputs!$B$27+Inputs!$B$29,MAX(0,(Inputs!$B$3-100)*3)+Inputs!$B$28+Inputs!$B$29)))</f>
        <v/>
      </c>
      <c r="E1303">
        <f>INDEX(FactorTable!$B$2:$Y$301, MATCH(ROUND(MIN(300,MAX(1,D1303)),0), FactorTable!$A$2:$A$301,0), Skills!M9+1)</f>
        <v/>
      </c>
      <c r="F1303">
        <f>IF(Skills!N9=TRUE,(Skills!L9/10)*(E1303/1000),Skills!L9/10)+Skills!O9</f>
        <v/>
      </c>
      <c r="G1303">
        <f>Skills!G9*IF(Skills!H9&gt;0,Skills!I9/Skills!H9,1)</f>
        <v/>
      </c>
      <c r="H1303">
        <f>1-(1-Skills!J9/100)^Skills!K9</f>
        <v/>
      </c>
      <c r="I1303" t="inlineStr">
        <is>
          <t>1</t>
        </is>
      </c>
      <c r="J1303">
        <f>((Inputs!$B$6*(1+Inputs!$B$7/100))+(((Inputs!$B$12*(1+Inputs!$B$13/100))-(Inputs!$B$12*(1+Inputs!$B$13/100)))+0.25*(Inputs!$B$14-Inputs!$B$14))*(1+Inputs!$B$7/100))*(F1303/100)</f>
        <v/>
      </c>
      <c r="K1303">
        <f>J1303*(1+((Inputs!$B$12*(1+Inputs!$B$13/100))*0.01+Inputs!$B$14*0.0025)/100)*(1+Inputs!$B$15/100)*(1+Inputs!$B$16/100)*(5000/(6000+Inputs!$B$42*(1-(Inputs!$B$19+0)/100)))*(1+(Inputs!$B$24+((C1320=TRUE)*(F1320-Calc!F26))+B1330)/100)*(1+(IF(Skills!A9="EIGHT_LEGS_EASTON",Inputs!$B$17+((C1317=TRUE)*(F1317-Calc!F23))+((C1321=TRUE)*(F1321-Calc!F27)),Inputs!$B$18+0))/100)*((1+(((C1311=TRUE)*F1311)+((C1318=TRUE)*(F1318-Calc!F24)))/100)*I1303)</f>
        <v/>
      </c>
      <c r="L1303">
        <f>K1303*(MIN(Inputs!$B$22+((C1316=TRUE)*(F1316-Calc!F22)),Inputs!$B$23+0)/100+(Inputs!$B$23+0)/100)/2</f>
        <v/>
      </c>
      <c r="M1303">
        <f>L1303*(1+(Inputs!$B$10+((C1319=TRUE)*(F1319-Calc!F25))+B1329)/100)</f>
        <v/>
      </c>
      <c r="N1303">
        <f>L1303*(1-MIN((Inputs!$B$9+((C1313=TRUE)*(F1313-Calc!F19))+B1324),100)/100)+M1303*(MIN((Inputs!$B$9+((C1313=TRUE)*(F1313-Calc!F19))+B1324),100)/100)</f>
        <v/>
      </c>
      <c r="O1303">
        <f>(1-Summary!$B$55)*T1303+Summary!$B$55*V1303</f>
        <v/>
      </c>
      <c r="P1303">
        <f>IF(B1334=0,0,O1303/B1334)</f>
        <v/>
      </c>
      <c r="Q1303">
        <f>IFERROR(1/IF(Inputs!$B$38="pvp",15,MAX(0.1,Skills!D9-IF(Skills!E9=TRUE,2.0,0))),0)</f>
        <v/>
      </c>
      <c r="R1303">
        <f>IF(AND(Inputs!$B$38&lt;&gt;"pvp",Inputs!$B$43&gt;0),IF(MAX(0,Inputs!$B$43-B1331)&lt;=0,0,(INT(MAX(0,Inputs!$B$43-B1331)/IF(Inputs!$B$38="pvp",15,MAX(0.1,Skills!D9-IF(Skills!E9=TRUE,2.0,0))))+1)),0)</f>
        <v/>
      </c>
      <c r="S1303">
        <f>IFERROR(O1303/N1303,0)</f>
        <v/>
      </c>
      <c r="T1303">
        <f>IF(C1303,(H1303*N1303*IF(AND(Inputs!$B$38&lt;&gt;"pvp",Inputs!$B$43&gt;0),((Skills!G9*((R1303-1)*IF(Skills!H9&gt;0,Skills!I9/Skills!H9,1)+IF(Skills!H9&gt;0,MIN(Skills!I9,MAX(0,MAX(0,Inputs!$B$43-B1331)-((R1303-1)*IF(Inputs!$B$38="pvp",15,MAX(0.1,Skills!D9-IF(Skills!E9=TRUE,2.0,0))))))/Skills!H9,1)))/Inputs!$B$43),G1303*Q1303))*IF(Inputs!$B$38="pvp",1,1+(Inputs!$B$20+0+Skills!P9)/100),0)</f>
        <v/>
      </c>
      <c r="V1303">
        <f>IF(C1303,(H1303*N1303*IF(AND(Inputs!$B$38&lt;&gt;"pvp",Inputs!$B$43&gt;0),((Skills!G9*((R1303-1)*IF(Skills!H9&gt;0,Skills!I9/Skills!H9,1)+IF(Skills!H9&gt;0,MIN(Skills!I9,MAX(0,MAX(0,Inputs!$B$43-B1331)-((R1303-1)*IF(Inputs!$B$38="pvp",15,MAX(0.1,Skills!D9-IF(Skills!E9=TRUE,2.0,0))))))/Skills!H9,1)))/Inputs!$B$43),G1303*Q1303))*IF(Inputs!$B$38="pvp",1,(1+(Inputs!$B$21+Skills!Q9)/100)*(MIN(Skills!R9,Inputs!$B$37))),0)</f>
        <v/>
      </c>
    </row>
    <row r="1304">
      <c r="A1304">
        <f>Skills!A10</f>
        <v/>
      </c>
      <c r="B1304">
        <f>Skills!B10</f>
        <v/>
      </c>
      <c r="C1304">
        <f>Inputs!$B$3&gt;=113</f>
        <v/>
      </c>
      <c r="D1304">
        <f>IF(Skills!C10=1,60+Inputs!$B$25+Inputs!$B$29,IF(Skills!C10=2,90+Inputs!$B$26+Inputs!$B$29,IF(Skills!C10=3,120+Inputs!$B$27+Inputs!$B$29,MAX(0,(Inputs!$B$3-100)*3)+Inputs!$B$28+Inputs!$B$29)))</f>
        <v/>
      </c>
      <c r="E1304">
        <f>INDEX(FactorTable!$B$2:$Y$301, MATCH(ROUND(MIN(300,MAX(1,D1304)),0), FactorTable!$A$2:$A$301,0), Skills!M10+1)</f>
        <v/>
      </c>
      <c r="F1304">
        <f>IF(Skills!N10=TRUE,(Skills!L10/10)*(E1304/1000),Skills!L10/10)+Skills!O10</f>
        <v/>
      </c>
      <c r="G1304">
        <f>Skills!G10*IF(Skills!H10&gt;0,Skills!I10/Skills!H10,1)</f>
        <v/>
      </c>
      <c r="H1304">
        <f>1-(1-Skills!J10/100)^Skills!K10</f>
        <v/>
      </c>
      <c r="I1304" t="inlineStr">
        <is>
          <t>1</t>
        </is>
      </c>
      <c r="J1304">
        <f>((Inputs!$B$6*(1+Inputs!$B$7/100))+(((Inputs!$B$12*(1+Inputs!$B$13/100))-(Inputs!$B$12*(1+Inputs!$B$13/100)))+0.25*(Inputs!$B$14-Inputs!$B$14))*(1+Inputs!$B$7/100))*(F1304/100)</f>
        <v/>
      </c>
      <c r="K1304">
        <f>J1304*(1+((Inputs!$B$12*(1+Inputs!$B$13/100))*0.01+Inputs!$B$14*0.0025)/100)*(1+Inputs!$B$15/100)*(1+Inputs!$B$16/100)*(5000/(6000+Inputs!$B$42*(1-(Inputs!$B$19+0)/100)))*(1+(Inputs!$B$24+((C1320=TRUE)*(F1320-Calc!F26))+B1330)/100)*(1+(IF(Skills!A10="EIGHT_LEGS_EASTON",Inputs!$B$17+((C1317=TRUE)*(F1317-Calc!F23))+((C1321=TRUE)*(F1321-Calc!F27)),Inputs!$B$18+0))/100)*((1+(((C1311=TRUE)*F1311)+((C1318=TRUE)*(F1318-Calc!F24)))/100)*I1304)</f>
        <v/>
      </c>
      <c r="L1304">
        <f>K1304*(MIN(Inputs!$B$22+((C1316=TRUE)*(F1316-Calc!F22)),Inputs!$B$23+0)/100+(Inputs!$B$23+0)/100)/2</f>
        <v/>
      </c>
      <c r="M1304">
        <f>L1304*(1+(Inputs!$B$10+((C1319=TRUE)*(F1319-Calc!F25))+B1329)/100)</f>
        <v/>
      </c>
      <c r="N1304">
        <f>L1304*(1-MIN((Inputs!$B$9+((C1313=TRUE)*(F1313-Calc!F19))+B1324),100)/100)+M1304*(MIN((Inputs!$B$9+((C1313=TRUE)*(F1313-Calc!F19))+B1324),100)/100)</f>
        <v/>
      </c>
      <c r="O1304">
        <f>(1-Summary!$B$55)*T1304+Summary!$B$55*V1304</f>
        <v/>
      </c>
      <c r="P1304">
        <f>IF(B1334=0,0,O1304/B1334)</f>
        <v/>
      </c>
      <c r="Q1304">
        <f>IFERROR(1/IF(Inputs!$B$38="pvp",15,MAX(0.1,Skills!D10-IF(Skills!E10=TRUE,2.0,0))),0)</f>
        <v/>
      </c>
      <c r="R1304">
        <f>IF(AND(Inputs!$B$38&lt;&gt;"pvp",Inputs!$B$43&gt;0),IF(MAX(0,Inputs!$B$43-B1331)&lt;=0,0,(INT(MAX(0,Inputs!$B$43-B1331)/IF(Inputs!$B$38="pvp",15,MAX(0.1,Skills!D10-IF(Skills!E10=TRUE,2.0,0))))+1)),0)</f>
        <v/>
      </c>
      <c r="S1304">
        <f>IFERROR(O1304/N1304,0)</f>
        <v/>
      </c>
      <c r="T1304">
        <f>IF(C1304,(H1304*N1304*IF(AND(Inputs!$B$38&lt;&gt;"pvp",Inputs!$B$43&gt;0),((Skills!G10*((R1304-1)*IF(Skills!H10&gt;0,Skills!I10/Skills!H10,1)+IF(Skills!H10&gt;0,MIN(Skills!I10,MAX(0,MAX(0,Inputs!$B$43-B1331)-((R1304-1)*IF(Inputs!$B$38="pvp",15,MAX(0.1,Skills!D10-IF(Skills!E10=TRUE,2.0,0))))))/Skills!H10,1)))/Inputs!$B$43),G1304*Q1304))*IF(Inputs!$B$38="pvp",1,1+(Inputs!$B$20+0+Skills!P10)/100),0)</f>
        <v/>
      </c>
      <c r="V1304">
        <f>IF(C1304,(H1304*N1304*IF(AND(Inputs!$B$38&lt;&gt;"pvp",Inputs!$B$43&gt;0),((Skills!G10*((R1304-1)*IF(Skills!H10&gt;0,Skills!I10/Skills!H10,1)+IF(Skills!H10&gt;0,MIN(Skills!I10,MAX(0,MAX(0,Inputs!$B$43-B1331)-((R1304-1)*IF(Inputs!$B$38="pvp",15,MAX(0.1,Skills!D10-IF(Skills!E10=TRUE,2.0,0))))))/Skills!H10,1)))/Inputs!$B$43),G1304*Q1304))*IF(Inputs!$B$38="pvp",1,(1+(Inputs!$B$21+Skills!Q10)/100)*(MIN(Skills!R10,Inputs!$B$37))),0)</f>
        <v/>
      </c>
    </row>
    <row r="1305">
      <c r="A1305">
        <f>Skills!A11</f>
        <v/>
      </c>
      <c r="B1305">
        <f>Skills!B11</f>
        <v/>
      </c>
      <c r="C1305">
        <f>Inputs!$B$3&gt;=107</f>
        <v/>
      </c>
      <c r="D1305">
        <f>IF(Skills!C11=1,60+Inputs!$B$25+Inputs!$B$29,IF(Skills!C11=2,90+Inputs!$B$26+Inputs!$B$29,IF(Skills!C11=3,120+Inputs!$B$27+Inputs!$B$29,MAX(0,(Inputs!$B$3-100)*3)+Inputs!$B$28+Inputs!$B$29)))</f>
        <v/>
      </c>
      <c r="E1305">
        <f>INDEX(FactorTable!$B$2:$Y$301, MATCH(ROUND(MIN(300,MAX(1,D1305)),0), FactorTable!$A$2:$A$301,0), Skills!M11+1)</f>
        <v/>
      </c>
      <c r="F1305">
        <f>IF(Skills!N11=TRUE,(Skills!L11/10)*(E1305/1000),Skills!L11/10)+Skills!O11</f>
        <v/>
      </c>
      <c r="G1305">
        <f>Skills!G11*IF(Skills!H11&gt;0,Skills!I11/Skills!H11,1)</f>
        <v/>
      </c>
      <c r="H1305">
        <f>1-(1-Skills!J11/100)^Skills!K11</f>
        <v/>
      </c>
      <c r="I1305" t="inlineStr">
        <is>
          <t>1</t>
        </is>
      </c>
      <c r="J1305">
        <f>((Inputs!$B$6*(1+Inputs!$B$7/100))+(((Inputs!$B$12*(1+Inputs!$B$13/100))-(Inputs!$B$12*(1+Inputs!$B$13/100)))+0.25*(Inputs!$B$14-Inputs!$B$14))*(1+Inputs!$B$7/100))*(F1305/100)</f>
        <v/>
      </c>
      <c r="K1305">
        <f>J1305*(1+((Inputs!$B$12*(1+Inputs!$B$13/100))*0.01+Inputs!$B$14*0.0025)/100)*(1+Inputs!$B$15/100)*(1+Inputs!$B$16/100)*(5000/(6000+Inputs!$B$42*(1-(Inputs!$B$19+0)/100)))*(1+(Inputs!$B$24+((C1320=TRUE)*(F1320-Calc!F26))+B1330)/100)*(1+(IF(Skills!A11="EIGHT_LEGS_EASTON",Inputs!$B$17+((C1317=TRUE)*(F1317-Calc!F23))+((C1321=TRUE)*(F1321-Calc!F27)),Inputs!$B$18+0))/100)*((1+(((C1311=TRUE)*F1311)+((C1318=TRUE)*(F1318-Calc!F24)))/100)*I1305)</f>
        <v/>
      </c>
      <c r="L1305">
        <f>K1305*(MIN(Inputs!$B$22+((C1316=TRUE)*(F1316-Calc!F22)),Inputs!$B$23+0)/100+(Inputs!$B$23+0)/100)/2</f>
        <v/>
      </c>
      <c r="M1305">
        <f>L1305*(1+(Inputs!$B$10+((C1319=TRUE)*(F1319-Calc!F25))+B1329)/100)</f>
        <v/>
      </c>
      <c r="N1305">
        <f>L1305*(1-MIN((Inputs!$B$9+((C1313=TRUE)*(F1313-Calc!F19))+B1324),100)/100)+M1305*(MIN((Inputs!$B$9+((C1313=TRUE)*(F1313-Calc!F19))+B1324),100)/100)</f>
        <v/>
      </c>
      <c r="O1305">
        <f>(1-Summary!$B$55)*T1305+Summary!$B$55*V1305</f>
        <v/>
      </c>
      <c r="P1305">
        <f>IF(B1334=0,0,O1305/B1334)</f>
        <v/>
      </c>
      <c r="Q1305">
        <f>IFERROR(1/IF(Inputs!$B$38="pvp",15,MAX(0.1,Skills!D11-IF(Skills!E11=TRUE,2.0,0))),0)</f>
        <v/>
      </c>
      <c r="R1305">
        <f>IF(AND(Inputs!$B$38&lt;&gt;"pvp",Inputs!$B$43&gt;0),IF(MAX(0,Inputs!$B$43-B1331)&lt;=0,0,(INT(MAX(0,Inputs!$B$43-B1331)/IF(Inputs!$B$38="pvp",15,MAX(0.1,Skills!D11-IF(Skills!E11=TRUE,2.0,0))))+1)),0)</f>
        <v/>
      </c>
      <c r="S1305">
        <f>IFERROR(O1305/N1305,0)</f>
        <v/>
      </c>
      <c r="T1305">
        <f>IF(C1305,(H1305*N1305*IF(AND(Inputs!$B$38&lt;&gt;"pvp",Inputs!$B$43&gt;0),((Skills!G11*((R1305-1)*IF(Skills!H11&gt;0,Skills!I11/Skills!H11,1)+IF(Skills!H11&gt;0,MIN(Skills!I11,MAX(0,MAX(0,Inputs!$B$43-B1331)-((R1305-1)*IF(Inputs!$B$38="pvp",15,MAX(0.1,Skills!D11-IF(Skills!E11=TRUE,2.0,0))))))/Skills!H11,1)))/Inputs!$B$43),G1305*Q1305))*IF(Inputs!$B$38="pvp",1,1+(Inputs!$B$20+0+Skills!P11)/100),0)</f>
        <v/>
      </c>
      <c r="V1305">
        <f>IF(C1305,(H1305*N1305*IF(AND(Inputs!$B$38&lt;&gt;"pvp",Inputs!$B$43&gt;0),((Skills!G11*((R1305-1)*IF(Skills!H11&gt;0,Skills!I11/Skills!H11,1)+IF(Skills!H11&gt;0,MIN(Skills!I11,MAX(0,MAX(0,Inputs!$B$43-B1331)-((R1305-1)*IF(Inputs!$B$38="pvp",15,MAX(0.1,Skills!D11-IF(Skills!E11=TRUE,2.0,0))))))/Skills!H11,1)))/Inputs!$B$43),G1305*Q1305))*IF(Inputs!$B$38="pvp",1,(1+(Inputs!$B$21+Skills!Q11)/100)*(MIN(Skills!R11,Inputs!$B$37))),0)</f>
        <v/>
      </c>
    </row>
    <row r="1306">
      <c r="A1306">
        <f>Skills!A12</f>
        <v/>
      </c>
      <c r="B1306">
        <f>Skills!B12</f>
        <v/>
      </c>
      <c r="C1306">
        <f>Inputs!$B$3&gt;=110</f>
        <v/>
      </c>
      <c r="D1306">
        <f>IF(Skills!C12=1,60+Inputs!$B$25+Inputs!$B$29,IF(Skills!C12=2,90+Inputs!$B$26+Inputs!$B$29,IF(Skills!C12=3,120+Inputs!$B$27+Inputs!$B$29,MAX(0,(Inputs!$B$3-100)*3)+Inputs!$B$28+Inputs!$B$29)))</f>
        <v/>
      </c>
      <c r="E1306">
        <f>INDEX(FactorTable!$B$2:$Y$301, MATCH(ROUND(MIN(300,MAX(1,D1306)),0), FactorTable!$A$2:$A$301,0), Skills!M12+1)</f>
        <v/>
      </c>
      <c r="F1306">
        <f>IF(Skills!N12=TRUE,(Skills!L12/10)*(E1306/1000),Skills!L12/10)+Skills!O12</f>
        <v/>
      </c>
      <c r="G1306">
        <f>Skills!G12*IF(Skills!H12&gt;0,Skills!I12/Skills!H12,1)</f>
        <v/>
      </c>
      <c r="H1306">
        <f>1-(1-Skills!J12/100)^Skills!K12</f>
        <v/>
      </c>
      <c r="I1306" t="inlineStr">
        <is>
          <t>1</t>
        </is>
      </c>
      <c r="J1306">
        <f>((Inputs!$B$6*(1+Inputs!$B$7/100))+(((Inputs!$B$12*(1+Inputs!$B$13/100))-(Inputs!$B$12*(1+Inputs!$B$13/100)))+0.25*(Inputs!$B$14-Inputs!$B$14))*(1+Inputs!$B$7/100))*(F1306/100)</f>
        <v/>
      </c>
      <c r="K1306">
        <f>J1306*(1+((Inputs!$B$12*(1+Inputs!$B$13/100))*0.01+Inputs!$B$14*0.0025)/100)*(1+Inputs!$B$15/100)*(1+Inputs!$B$16/100)*(5000/(6000+Inputs!$B$42*(1-(Inputs!$B$19+0)/100)))*(1+(Inputs!$B$24+((C1320=TRUE)*(F1320-Calc!F26))+B1330)/100)*(1+(IF(Skills!A12="EIGHT_LEGS_EASTON",Inputs!$B$17+((C1317=TRUE)*(F1317-Calc!F23))+((C1321=TRUE)*(F1321-Calc!F27)),Inputs!$B$18+0))/100)*((1+(((C1311=TRUE)*F1311)+((C1318=TRUE)*(F1318-Calc!F24)))/100)*I1306)</f>
        <v/>
      </c>
      <c r="L1306">
        <f>K1306*(MIN(Inputs!$B$22+((C1316=TRUE)*(F1316-Calc!F22)),Inputs!$B$23+0)/100+(Inputs!$B$23+0)/100)/2</f>
        <v/>
      </c>
      <c r="M1306">
        <f>L1306*(1+(Inputs!$B$10+((C1319=TRUE)*(F1319-Calc!F25))+B1329)/100)</f>
        <v/>
      </c>
      <c r="N1306">
        <f>L1306*(1-MIN((Inputs!$B$9+((C1313=TRUE)*(F1313-Calc!F19))+B1324),100)/100)+M1306*(MIN((Inputs!$B$9+((C1313=TRUE)*(F1313-Calc!F19))+B1324),100)/100)</f>
        <v/>
      </c>
      <c r="O1306">
        <f>(1-Summary!$B$55)*T1306+Summary!$B$55*V1306</f>
        <v/>
      </c>
      <c r="P1306">
        <f>IF(B1334=0,0,O1306/B1334)</f>
        <v/>
      </c>
      <c r="Q1306">
        <f>IFERROR(1/IF(Inputs!$B$38="pvp",15,MAX(0.1,Skills!D12-IF(Skills!E12=TRUE,2.0,0))),0)</f>
        <v/>
      </c>
      <c r="R1306">
        <f>IF(AND(Inputs!$B$38&lt;&gt;"pvp",Inputs!$B$43&gt;0),IF(MAX(0,Inputs!$B$43-B1331)&lt;=0,0,(INT(MAX(0,Inputs!$B$43-B1331)/IF(Inputs!$B$38="pvp",15,MAX(0.1,Skills!D12-IF(Skills!E12=TRUE,2.0,0))))+1)),0)</f>
        <v/>
      </c>
      <c r="S1306">
        <f>IFERROR(O1306/N1306,0)</f>
        <v/>
      </c>
      <c r="T1306">
        <f>IF(C1306,(H1306*N1306*IF(AND(Inputs!$B$38&lt;&gt;"pvp",Inputs!$B$43&gt;0),((Skills!G12*((R1306-1)*IF(Skills!H12&gt;0,Skills!I12/Skills!H12,1)+IF(Skills!H12&gt;0,MIN(Skills!I12,MAX(0,MAX(0,Inputs!$B$43-B1331)-((R1306-1)*IF(Inputs!$B$38="pvp",15,MAX(0.1,Skills!D12-IF(Skills!E12=TRUE,2.0,0))))))/Skills!H12,1)))/Inputs!$B$43),G1306*Q1306))*IF(Inputs!$B$38="pvp",1,1+(Inputs!$B$20+0+Skills!P12)/100),0)</f>
        <v/>
      </c>
      <c r="V1306">
        <f>IF(C1306,(H1306*N1306*IF(AND(Inputs!$B$38&lt;&gt;"pvp",Inputs!$B$43&gt;0),((Skills!G12*((R1306-1)*IF(Skills!H12&gt;0,Skills!I12/Skills!H12,1)+IF(Skills!H12&gt;0,MIN(Skills!I12,MAX(0,MAX(0,Inputs!$B$43-B1331)-((R1306-1)*IF(Inputs!$B$38="pvp",15,MAX(0.1,Skills!D12-IF(Skills!E12=TRUE,2.0,0))))))/Skills!H12,1)))/Inputs!$B$43),G1306*Q1306))*IF(Inputs!$B$38="pvp",1,(1+(Inputs!$B$21+Skills!Q12)/100)*(MIN(Skills!R12,Inputs!$B$37))),0)</f>
        <v/>
      </c>
    </row>
    <row r="1307">
      <c r="A1307">
        <f>Skills!A13</f>
        <v/>
      </c>
      <c r="B1307">
        <f>Skills!B13</f>
        <v/>
      </c>
      <c r="C1307">
        <f>Inputs!$B$3&gt;=110</f>
        <v/>
      </c>
      <c r="D1307">
        <f>IF(Skills!C13=1,60+Inputs!$B$25+Inputs!$B$29,IF(Skills!C13=2,90+Inputs!$B$26+Inputs!$B$29,IF(Skills!C13=3,120+Inputs!$B$27+Inputs!$B$29,MAX(0,(Inputs!$B$3-100)*3)+Inputs!$B$28+Inputs!$B$29)))</f>
        <v/>
      </c>
      <c r="E1307">
        <f>INDEX(FactorTable!$B$2:$Y$301, MATCH(ROUND(MIN(300,MAX(1,D1307)),0), FactorTable!$A$2:$A$301,0), Skills!M13+1)</f>
        <v/>
      </c>
      <c r="F1307">
        <f>IF(Skills!N13=TRUE,(Skills!L13/10)*(E1307/1000),Skills!L13/10)+Skills!O13</f>
        <v/>
      </c>
      <c r="G1307">
        <f>Skills!G13*IF(Skills!H13&gt;0,Skills!I13/Skills!H13,1)</f>
        <v/>
      </c>
      <c r="H1307">
        <f>1-(1-Skills!J13/100)^Skills!K13</f>
        <v/>
      </c>
      <c r="I1307" t="inlineStr">
        <is>
          <t>1</t>
        </is>
      </c>
      <c r="J1307">
        <f>((Inputs!$B$6*(1+Inputs!$B$7/100))+(((Inputs!$B$12*(1+Inputs!$B$13/100))-(Inputs!$B$12*(1+Inputs!$B$13/100)))+0.25*(Inputs!$B$14-Inputs!$B$14))*(1+Inputs!$B$7/100))*(F1307/100)</f>
        <v/>
      </c>
      <c r="K1307">
        <f>J1307*(1+((Inputs!$B$12*(1+Inputs!$B$13/100))*0.01+Inputs!$B$14*0.0025)/100)*(1+Inputs!$B$15/100)*(1+Inputs!$B$16/100)*(5000/(6000+Inputs!$B$42*(1-(Inputs!$B$19+0)/100)))*(1+(Inputs!$B$24+((C1320=TRUE)*(F1320-Calc!F26))+B1330)/100)*(1+(IF(Skills!A13="EIGHT_LEGS_EASTON",Inputs!$B$17+((C1317=TRUE)*(F1317-Calc!F23))+((C1321=TRUE)*(F1321-Calc!F27)),Inputs!$B$18+0))/100)*((1+(((C1311=TRUE)*F1311)+((C1318=TRUE)*(F1318-Calc!F24)))/100)*I1307)</f>
        <v/>
      </c>
      <c r="L1307">
        <f>K1307*(MIN(Inputs!$B$22+((C1316=TRUE)*(F1316-Calc!F22)),Inputs!$B$23+0)/100+(Inputs!$B$23+0)/100)/2</f>
        <v/>
      </c>
      <c r="M1307">
        <f>L1307*(1+(Inputs!$B$10+((C1319=TRUE)*(F1319-Calc!F25))+B1329)/100)</f>
        <v/>
      </c>
      <c r="N1307">
        <f>L1307*(1-MIN((Inputs!$B$9+((C1313=TRUE)*(F1313-Calc!F19))+B1324),100)/100)+M1307*(MIN((Inputs!$B$9+((C1313=TRUE)*(F1313-Calc!F19))+B1324),100)/100)</f>
        <v/>
      </c>
      <c r="O1307">
        <f>(1-Summary!$B$55)*T1307+Summary!$B$55*V1307</f>
        <v/>
      </c>
      <c r="P1307">
        <f>IF(B1334=0,0,O1307/B1334)</f>
        <v/>
      </c>
      <c r="Q1307">
        <f>IFERROR(1/IF(Inputs!$B$38="pvp",15,MAX(0.1,Skills!D13-IF(Skills!E13=TRUE,2.0,0))),0)</f>
        <v/>
      </c>
      <c r="R1307">
        <f>IF(AND(Inputs!$B$38&lt;&gt;"pvp",Inputs!$B$43&gt;0),IF(MAX(0,Inputs!$B$43-B1331)&lt;=0,0,(INT(MAX(0,Inputs!$B$43-B1331)/IF(Inputs!$B$38="pvp",15,MAX(0.1,Skills!D13-IF(Skills!E13=TRUE,2.0,0))))+1)),0)</f>
        <v/>
      </c>
      <c r="S1307">
        <f>IFERROR(O1307/N1307,0)</f>
        <v/>
      </c>
      <c r="T1307">
        <f>IF(C1307,(H1307*N1307*IF(AND(Inputs!$B$38&lt;&gt;"pvp",Inputs!$B$43&gt;0),((Skills!G13*((R1307-1)*IF(Skills!H13&gt;0,Skills!I13/Skills!H13,1)+IF(Skills!H13&gt;0,MIN(Skills!I13,MAX(0,MAX(0,Inputs!$B$43-B1331)-((R1307-1)*IF(Inputs!$B$38="pvp",15,MAX(0.1,Skills!D13-IF(Skills!E13=TRUE,2.0,0))))))/Skills!H13,1)))/Inputs!$B$43),G1307*Q1307))*IF(Inputs!$B$38="pvp",1,1+(Inputs!$B$20+0+Skills!P13)/100),0)</f>
        <v/>
      </c>
      <c r="V1307">
        <f>IF(C1307,(H1307*N1307*IF(AND(Inputs!$B$38&lt;&gt;"pvp",Inputs!$B$43&gt;0),((Skills!G13*((R1307-1)*IF(Skills!H13&gt;0,Skills!I13/Skills!H13,1)+IF(Skills!H13&gt;0,MIN(Skills!I13,MAX(0,MAX(0,Inputs!$B$43-B1331)-((R1307-1)*IF(Inputs!$B$38="pvp",15,MAX(0.1,Skills!D13-IF(Skills!E13=TRUE,2.0,0))))))/Skills!H13,1)))/Inputs!$B$43),G1307*Q1307))*IF(Inputs!$B$38="pvp",1,(1+(Inputs!$B$21+Skills!Q13)/100)*(MIN(Skills!R13,Inputs!$B$37))),0)</f>
        <v/>
      </c>
    </row>
    <row r="1308">
      <c r="A1308">
        <f>Skills!A14</f>
        <v/>
      </c>
      <c r="B1308">
        <f>Skills!B14</f>
        <v/>
      </c>
      <c r="C1308">
        <f>Inputs!$B$3&gt;=125</f>
        <v/>
      </c>
      <c r="D1308">
        <f>IF(Skills!C14=1,60+Inputs!$B$25+Inputs!$B$29,IF(Skills!C14=2,90+Inputs!$B$26+Inputs!$B$29,IF(Skills!C14=3,120+Inputs!$B$27+Inputs!$B$29,MAX(0,(Inputs!$B$3-100)*3)+Inputs!$B$28+Inputs!$B$29)))</f>
        <v/>
      </c>
      <c r="E1308">
        <f>INDEX(FactorTable!$B$2:$Y$301, MATCH(ROUND(MIN(300,MAX(1,D1308)),0), FactorTable!$A$2:$A$301,0), Skills!M14+1)</f>
        <v/>
      </c>
      <c r="F1308">
        <f>IF(Skills!N14=TRUE,(Skills!L14/10)*(E1308/1000),Skills!L14/10)+Skills!O14</f>
        <v/>
      </c>
      <c r="G1308">
        <f>Skills!G14*IF(Skills!H14&gt;0,Skills!I14/Skills!H14,1)</f>
        <v/>
      </c>
      <c r="H1308">
        <f>1-(1-Skills!J14/100)^Skills!K14</f>
        <v/>
      </c>
      <c r="I1308" t="inlineStr">
        <is>
          <t>1</t>
        </is>
      </c>
      <c r="J1308">
        <f>((Inputs!$B$6*(1+Inputs!$B$7/100))+(((Inputs!$B$12*(1+Inputs!$B$13/100))-(Inputs!$B$12*(1+Inputs!$B$13/100)))+0.25*(Inputs!$B$14-Inputs!$B$14))*(1+Inputs!$B$7/100))*(F1308/100)</f>
        <v/>
      </c>
      <c r="K1308">
        <f>J1308*(1+((Inputs!$B$12*(1+Inputs!$B$13/100))*0.01+Inputs!$B$14*0.0025)/100)*(1+Inputs!$B$15/100)*(1+Inputs!$B$16/100)*(5000/(6000+Inputs!$B$42*(1-(Inputs!$B$19+0)/100)))*(1+(Inputs!$B$24+((C1320=TRUE)*(F1320-Calc!F26))+B1330)/100)*(1+(IF(Skills!A14="EIGHT_LEGS_EASTON",Inputs!$B$17+((C1317=TRUE)*(F1317-Calc!F23))+((C1321=TRUE)*(F1321-Calc!F27)),Inputs!$B$18+0))/100)*((1+(((C1311=TRUE)*F1311)+((C1318=TRUE)*(F1318-Calc!F24)))/100)*I1308)</f>
        <v/>
      </c>
      <c r="L1308">
        <f>K1308*(MIN(Inputs!$B$22+((C1316=TRUE)*(F1316-Calc!F22)),Inputs!$B$23+0)/100+(Inputs!$B$23+0)/100)/2</f>
        <v/>
      </c>
      <c r="M1308">
        <f>L1308*(1+(Inputs!$B$10+((C1319=TRUE)*(F1319-Calc!F25))+B1329)/100)</f>
        <v/>
      </c>
      <c r="N1308">
        <f>L1308*(1-MIN((Inputs!$B$9+((C1313=TRUE)*(F1313-Calc!F19))+B1324),100)/100)+M1308*(MIN((Inputs!$B$9+((C1313=TRUE)*(F1313-Calc!F19))+B1324),100)/100)</f>
        <v/>
      </c>
      <c r="O1308">
        <f>(1-Summary!$B$55)*T1308+Summary!$B$55*V1308</f>
        <v/>
      </c>
      <c r="P1308">
        <f>IF(B1334=0,0,O1308/B1334)</f>
        <v/>
      </c>
      <c r="Q1308" t="n">
        <v>0</v>
      </c>
      <c r="R1308" t="n">
        <v>0</v>
      </c>
      <c r="S1308">
        <f>IFERROR(O1308/N1308,0)</f>
        <v/>
      </c>
      <c r="T1308">
        <f>IF(C1308,(H1308*N1308*(B1328+IF(AND(Inputs!$B$38&lt;&gt;"pvp",Inputs!$B$43&gt;0),((Skills!G8*((R1302-1)*IF(Skills!H8&gt;0,Skills!I8/Skills!H8,1)+IF(Skills!H8&gt;0,MIN(Skills!I8,MAX(0,MAX(0,Inputs!$B$43-B1331)-((R1302-1)*IF(Inputs!$B$38="pvp",15,MAX(0.1,Skills!D8-IF(Skills!E8=TRUE,2.0,0))))))/Skills!H8,1)))/Inputs!$B$43),G1302*Q1302)+IF(AND(Inputs!$B$38&lt;&gt;"pvp",Inputs!$B$43&gt;0),((Skills!G11*((R1305-1)*IF(Skills!H11&gt;0,Skills!I11/Skills!H11,1)+IF(Skills!H11&gt;0,MIN(Skills!I11,MAX(0,MAX(0,Inputs!$B$43-B1331)-((R1305-1)*IF(Inputs!$B$38="pvp",15,MAX(0.1,Skills!D11-IF(Skills!E11=TRUE,2.0,0))))))/Skills!H11,1)))/Inputs!$B$43),G1305*Q1305)))*IF(Inputs!$B$38="pvp",1,1+(Inputs!$B$20+0+Skills!P14)/100),0)</f>
        <v/>
      </c>
      <c r="V1308">
        <f>IF(C1308,(H1308*N1308*(B1328+IF(AND(Inputs!$B$38&lt;&gt;"pvp",Inputs!$B$43&gt;0),((Skills!G8*((R1302-1)*IF(Skills!H8&gt;0,Skills!I8/Skills!H8,1)+IF(Skills!H8&gt;0,MIN(Skills!I8,MAX(0,MAX(0,Inputs!$B$43-B1331)-((R1302-1)*IF(Inputs!$B$38="pvp",15,MAX(0.1,Skills!D8-IF(Skills!E8=TRUE,2.0,0))))))/Skills!H8,1)))/Inputs!$B$43),G1302*Q1302)+IF(AND(Inputs!$B$38&lt;&gt;"pvp",Inputs!$B$43&gt;0),((Skills!G11*((R1305-1)*IF(Skills!H11&gt;0,Skills!I11/Skills!H11,1)+IF(Skills!H11&gt;0,MIN(Skills!I11,MAX(0,MAX(0,Inputs!$B$43-B1331)-((R1305-1)*IF(Inputs!$B$38="pvp",15,MAX(0.1,Skills!D11-IF(Skills!E11=TRUE,2.0,0))))))/Skills!H11,1)))/Inputs!$B$43),G1305*Q1305)))*IF(Inputs!$B$38="pvp",1,(1+(Inputs!$B$21+Skills!Q14)/100)*(MIN(Skills!R14,Inputs!$B$37))),0)</f>
        <v/>
      </c>
    </row>
    <row r="1309">
      <c r="A1309">
        <f>Skills!A15</f>
        <v/>
      </c>
      <c r="B1309">
        <f>Skills!B15</f>
        <v/>
      </c>
      <c r="C1309">
        <f>Inputs!$B$3&gt;=100</f>
        <v/>
      </c>
      <c r="D1309">
        <f>IF(Skills!C15=1,60+Inputs!$B$25+Inputs!$B$29,IF(Skills!C15=2,90+Inputs!$B$26+Inputs!$B$29,IF(Skills!C15=3,120+Inputs!$B$27+Inputs!$B$29,MAX(0,(Inputs!$B$3-100)*3)+Inputs!$B$28+Inputs!$B$29)))</f>
        <v/>
      </c>
      <c r="E1309">
        <f>INDEX(FactorTable!$B$2:$Y$301, MATCH(ROUND(MIN(300,MAX(1,D1309)),0), FactorTable!$A$2:$A$301,0), Skills!M15+1)</f>
        <v/>
      </c>
      <c r="F1309">
        <f>IF(Skills!N15=TRUE,(Skills!L15/10)*(E1309/1000),Skills!L15/10)+Skills!O15</f>
        <v/>
      </c>
      <c r="G1309" t="inlineStr"/>
      <c r="H1309" t="inlineStr"/>
      <c r="I1309" t="inlineStr">
        <is>
          <t>1</t>
        </is>
      </c>
      <c r="J1309" t="inlineStr"/>
      <c r="K1309" t="inlineStr"/>
      <c r="L1309" t="inlineStr"/>
      <c r="M1309" t="inlineStr"/>
      <c r="N1309" t="inlineStr"/>
      <c r="O1309" t="inlineStr"/>
      <c r="P1309" t="inlineStr"/>
      <c r="Q1309" t="inlineStr"/>
      <c r="R1309" t="inlineStr"/>
      <c r="S1309" t="inlineStr"/>
    </row>
    <row r="1310">
      <c r="A1310">
        <f>Skills!A16</f>
        <v/>
      </c>
      <c r="B1310">
        <f>Skills!B16</f>
        <v/>
      </c>
      <c r="C1310">
        <f>Inputs!$B$3&gt;=120</f>
        <v/>
      </c>
      <c r="D1310">
        <f>IF(Skills!C16=1,60+Inputs!$B$25+Inputs!$B$29,IF(Skills!C16=2,90+Inputs!$B$26+Inputs!$B$29,IF(Skills!C16=3,120+Inputs!$B$27+Inputs!$B$29,MAX(0,(Inputs!$B$3-100)*3)+Inputs!$B$28+Inputs!$B$29)))</f>
        <v/>
      </c>
      <c r="E1310">
        <f>INDEX(FactorTable!$B$2:$Y$301, MATCH(ROUND(MIN(300,MAX(1,D1310)),0), FactorTable!$A$2:$A$301,0), Skills!M16+1)</f>
        <v/>
      </c>
      <c r="F1310">
        <f>IF(Skills!N16=TRUE,(Skills!L16/10)*(E1310/1000),Skills!L16/10)+Skills!O16</f>
        <v/>
      </c>
      <c r="G1310" t="inlineStr"/>
      <c r="H1310" t="inlineStr"/>
      <c r="I1310" t="inlineStr">
        <is>
          <t>1</t>
        </is>
      </c>
      <c r="J1310" t="inlineStr"/>
      <c r="K1310" t="inlineStr"/>
      <c r="L1310" t="inlineStr"/>
      <c r="M1310" t="inlineStr"/>
      <c r="N1310" t="inlineStr"/>
      <c r="O1310" t="inlineStr"/>
      <c r="P1310" t="inlineStr"/>
      <c r="Q1310" t="inlineStr"/>
      <c r="R1310" t="inlineStr"/>
      <c r="S1310" t="inlineStr"/>
    </row>
    <row r="1311">
      <c r="A1311">
        <f>Skills!A17</f>
        <v/>
      </c>
      <c r="B1311">
        <f>Skills!B17</f>
        <v/>
      </c>
      <c r="C1311">
        <f>Inputs!$B$3&gt;=66</f>
        <v/>
      </c>
      <c r="D1311">
        <f>IF(Skills!C17=1,60+Inputs!$B$25+Inputs!$B$29,IF(Skills!C17=2,90+Inputs!$B$26+Inputs!$B$29,IF(Skills!C17=3,120+Inputs!$B$27+Inputs!$B$29,MAX(0,(Inputs!$B$3-100)*3)+Inputs!$B$28+Inputs!$B$29)))</f>
        <v/>
      </c>
      <c r="E1311">
        <f>INDEX(FactorTable!$B$2:$Y$301, MATCH(ROUND(MIN(300,MAX(1,D1311)),0), FactorTable!$A$2:$A$301,0), Skills!M17+1)</f>
        <v/>
      </c>
      <c r="F1311">
        <f>IF(Skills!N17=TRUE,(Skills!L17/10)*(E1311/1000),Skills!L17/10)+Skills!O17</f>
        <v/>
      </c>
      <c r="G1311">
        <f>Skills!G17*IF(Skills!H17&gt;0,Skills!I17/Skills!H17,1)</f>
        <v/>
      </c>
      <c r="H1311">
        <f>1-(1-Skills!J17/100)^Skills!K17</f>
        <v/>
      </c>
      <c r="I1311" t="inlineStr">
        <is>
          <t>1</t>
        </is>
      </c>
      <c r="J1311" t="inlineStr"/>
      <c r="K1311" t="inlineStr"/>
      <c r="L1311" t="inlineStr"/>
      <c r="M1311" t="inlineStr"/>
      <c r="N1311" t="inlineStr"/>
      <c r="O1311">
        <f>(1-Summary!$B$55)*T1311+Summary!$B$55*V1311</f>
        <v/>
      </c>
      <c r="P1311">
        <f>IF(B1334=0,0,O1311/B1334)</f>
        <v/>
      </c>
      <c r="Q1311" t="n">
        <v>0</v>
      </c>
      <c r="R1311" t="n">
        <v>0</v>
      </c>
      <c r="S1311">
        <f>IFERROR(O1311/N1311,0)</f>
        <v/>
      </c>
      <c r="T1311" t="n">
        <v>0</v>
      </c>
      <c r="V1311" t="n">
        <v>0</v>
      </c>
    </row>
    <row r="1312">
      <c r="A1312">
        <f>Skills!A18</f>
        <v/>
      </c>
      <c r="B1312">
        <f>Skills!B18</f>
        <v/>
      </c>
      <c r="C1312">
        <f>Inputs!$B$3&gt;=115</f>
        <v/>
      </c>
      <c r="D1312">
        <f>IF(Skills!C18=1,60+Inputs!$B$25+Inputs!$B$29,IF(Skills!C18=2,90+Inputs!$B$26+Inputs!$B$29,IF(Skills!C18=3,120+Inputs!$B$27+Inputs!$B$29,MAX(0,(Inputs!$B$3-100)*3)+Inputs!$B$28+Inputs!$B$29)))</f>
        <v/>
      </c>
      <c r="E1312">
        <f>INDEX(FactorTable!$B$2:$Y$301, MATCH(ROUND(MIN(300,MAX(1,D1312)),0), FactorTable!$A$2:$A$301,0), Skills!M18+1)</f>
        <v/>
      </c>
      <c r="F1312">
        <f>IF(Skills!N18=TRUE,(Skills!L18/10)*(E1312/1000),Skills!L18/10)+Skills!O18</f>
        <v/>
      </c>
      <c r="G1312">
        <f>Skills!G18*IF(Skills!H18&gt;0,Skills!I18/Skills!H18,1)</f>
        <v/>
      </c>
      <c r="H1312">
        <f>1-(1-Skills!J18/100)^Skills!K18</f>
        <v/>
      </c>
      <c r="I1312" t="inlineStr">
        <is>
          <t>1</t>
        </is>
      </c>
      <c r="J1312" t="inlineStr"/>
      <c r="K1312" t="inlineStr"/>
      <c r="L1312" t="inlineStr"/>
      <c r="M1312" t="inlineStr"/>
      <c r="N1312" t="inlineStr"/>
      <c r="O1312">
        <f>(1-Summary!$B$55)*T1312+Summary!$B$55*V1312</f>
        <v/>
      </c>
      <c r="P1312">
        <f>IF(B1334=0,0,O1312/B1334)</f>
        <v/>
      </c>
      <c r="Q1312" t="n">
        <v>0</v>
      </c>
      <c r="R1312" t="n">
        <v>0</v>
      </c>
      <c r="S1312">
        <f>IFERROR(O1312/N1312,0)</f>
        <v/>
      </c>
      <c r="T1312" t="n">
        <v>0</v>
      </c>
      <c r="V1312" t="n">
        <v>0</v>
      </c>
    </row>
    <row r="1313">
      <c r="A1313">
        <f>Skills!A19</f>
        <v/>
      </c>
      <c r="B1313">
        <f>Skills!B19</f>
        <v/>
      </c>
      <c r="C1313">
        <f>Inputs!$B$3&gt;=15</f>
        <v/>
      </c>
      <c r="D1313">
        <f>IF(Skills!C19=1,60+Inputs!$B$25+Inputs!$B$29,IF(Skills!C19=2,90+Inputs!$B$26+Inputs!$B$29,IF(Skills!C19=3,120+Inputs!$B$27+Inputs!$B$29,MAX(0,(Inputs!$B$3-100)*3)+Inputs!$B$28+Inputs!$B$29)))</f>
        <v/>
      </c>
      <c r="E1313">
        <f>INDEX(FactorTable!$B$2:$Y$301, MATCH(ROUND(MIN(300,MAX(1,D1313)),0), FactorTable!$A$2:$A$301,0), Skills!M19+1)</f>
        <v/>
      </c>
      <c r="F1313">
        <f>IF(Skills!N19=TRUE,(Skills!L19/10)*(E1313/1000),Skills!L19/10)+Skills!O19</f>
        <v/>
      </c>
      <c r="G1313">
        <f>Skills!G19*IF(Skills!H19&gt;0,Skills!I19/Skills!H19,1)</f>
        <v/>
      </c>
      <c r="H1313">
        <f>1-(1-Skills!J19/100)^Skills!K19</f>
        <v/>
      </c>
      <c r="I1313" t="inlineStr">
        <is>
          <t>1</t>
        </is>
      </c>
      <c r="J1313" t="inlineStr"/>
      <c r="K1313" t="inlineStr"/>
      <c r="L1313" t="inlineStr"/>
      <c r="M1313" t="inlineStr"/>
      <c r="N1313" t="inlineStr"/>
      <c r="O1313">
        <f>(1-Summary!$B$55)*T1313+Summary!$B$55*V1313</f>
        <v/>
      </c>
      <c r="P1313">
        <f>IF(B1334=0,0,O1313/B1334)</f>
        <v/>
      </c>
      <c r="Q1313" t="n">
        <v>0</v>
      </c>
      <c r="R1313" t="n">
        <v>0</v>
      </c>
      <c r="S1313">
        <f>IFERROR(O1313/N1313,0)</f>
        <v/>
      </c>
      <c r="T1313" t="n">
        <v>0</v>
      </c>
      <c r="V1313" t="n">
        <v>0</v>
      </c>
    </row>
    <row r="1314">
      <c r="A1314">
        <f>Skills!A20</f>
        <v/>
      </c>
      <c r="B1314">
        <f>Skills!B20</f>
        <v/>
      </c>
      <c r="C1314">
        <f>Inputs!$B$3&gt;=10</f>
        <v/>
      </c>
      <c r="D1314">
        <f>IF(Skills!C20=1,60+Inputs!$B$25+Inputs!$B$29,IF(Skills!C20=2,90+Inputs!$B$26+Inputs!$B$29,IF(Skills!C20=3,120+Inputs!$B$27+Inputs!$B$29,MAX(0,(Inputs!$B$3-100)*3)+Inputs!$B$28+Inputs!$B$29)))</f>
        <v/>
      </c>
      <c r="E1314">
        <f>INDEX(FactorTable!$B$2:$Y$301, MATCH(ROUND(MIN(300,MAX(1,D1314)),0), FactorTable!$A$2:$A$301,0), Skills!M20+1)</f>
        <v/>
      </c>
      <c r="F1314">
        <f>IF(Skills!N20=TRUE,(Skills!L20/10)*(E1314/1000),Skills!L20/10)+Skills!O20</f>
        <v/>
      </c>
      <c r="G1314">
        <f>Skills!G20*IF(Skills!H20&gt;0,Skills!I20/Skills!H20,1)</f>
        <v/>
      </c>
      <c r="H1314">
        <f>1-(1-Skills!J20/100)^Skills!K20</f>
        <v/>
      </c>
      <c r="I1314" t="inlineStr">
        <is>
          <t>1</t>
        </is>
      </c>
      <c r="J1314" t="inlineStr"/>
      <c r="K1314" t="inlineStr"/>
      <c r="L1314" t="inlineStr"/>
      <c r="M1314" t="inlineStr"/>
      <c r="N1314" t="inlineStr"/>
      <c r="O1314">
        <f>(1-Summary!$B$55)*T1314+Summary!$B$55*V1314</f>
        <v/>
      </c>
      <c r="P1314">
        <f>IF(B1334=0,0,O1314/B1334)</f>
        <v/>
      </c>
      <c r="Q1314" t="n">
        <v>0</v>
      </c>
      <c r="R1314" t="n">
        <v>0</v>
      </c>
      <c r="S1314">
        <f>IFERROR(O1314/N1314,0)</f>
        <v/>
      </c>
      <c r="T1314" t="n">
        <v>0</v>
      </c>
      <c r="V1314" t="n">
        <v>0</v>
      </c>
    </row>
    <row r="1315">
      <c r="A1315">
        <f>Skills!A21</f>
        <v/>
      </c>
      <c r="B1315">
        <f>Skills!B21</f>
        <v/>
      </c>
      <c r="C1315">
        <f>Inputs!$B$3&gt;=33</f>
        <v/>
      </c>
      <c r="D1315">
        <f>IF(Skills!C21=1,60+Inputs!$B$25+Inputs!$B$29,IF(Skills!C21=2,90+Inputs!$B$26+Inputs!$B$29,IF(Skills!C21=3,120+Inputs!$B$27+Inputs!$B$29,MAX(0,(Inputs!$B$3-100)*3)+Inputs!$B$28+Inputs!$B$29)))</f>
        <v/>
      </c>
      <c r="E1315">
        <f>INDEX(FactorTable!$B$2:$Y$301, MATCH(ROUND(MIN(300,MAX(1,D1315)),0), FactorTable!$A$2:$A$301,0), Skills!M21+1)</f>
        <v/>
      </c>
      <c r="F1315">
        <f>IF(Skills!N21=TRUE,(Skills!L21/10)*(E1315/1000),Skills!L21/10)+Skills!O21</f>
        <v/>
      </c>
      <c r="G1315">
        <f>Skills!G21*IF(Skills!H21&gt;0,Skills!I21/Skills!H21,1)</f>
        <v/>
      </c>
      <c r="H1315">
        <f>1-(1-Skills!J21/100)^Skills!K21</f>
        <v/>
      </c>
      <c r="I1315" t="inlineStr">
        <is>
          <t>1</t>
        </is>
      </c>
      <c r="J1315" t="inlineStr"/>
      <c r="K1315" t="inlineStr"/>
      <c r="L1315" t="inlineStr"/>
      <c r="M1315" t="inlineStr"/>
      <c r="N1315" t="inlineStr"/>
      <c r="O1315">
        <f>(1-Summary!$B$55)*T1315+Summary!$B$55*V1315</f>
        <v/>
      </c>
      <c r="P1315">
        <f>IF(B1334=0,0,O1315/B1334)</f>
        <v/>
      </c>
      <c r="Q1315" t="n">
        <v>0</v>
      </c>
      <c r="R1315" t="n">
        <v>0</v>
      </c>
      <c r="S1315">
        <f>IFERROR(O1315/N1315,0)</f>
        <v/>
      </c>
      <c r="T1315" t="n">
        <v>0</v>
      </c>
      <c r="V1315" t="n">
        <v>0</v>
      </c>
    </row>
    <row r="1316">
      <c r="A1316">
        <f>Skills!A22</f>
        <v/>
      </c>
      <c r="B1316">
        <f>Skills!B22</f>
        <v/>
      </c>
      <c r="C1316">
        <f>Inputs!$B$3&gt;=43</f>
        <v/>
      </c>
      <c r="D1316">
        <f>IF(Skills!C22=1,60+Inputs!$B$25+Inputs!$B$29,IF(Skills!C22=2,90+Inputs!$B$26+Inputs!$B$29,IF(Skills!C22=3,120+Inputs!$B$27+Inputs!$B$29,MAX(0,(Inputs!$B$3-100)*3)+Inputs!$B$28+Inputs!$B$29)))</f>
        <v/>
      </c>
      <c r="E1316">
        <f>INDEX(FactorTable!$B$2:$Y$301, MATCH(ROUND(MIN(300,MAX(1,D1316)),0), FactorTable!$A$2:$A$301,0), Skills!M22+1)</f>
        <v/>
      </c>
      <c r="F1316">
        <f>IF(Skills!N22=TRUE,(Skills!L22/10)*(E1316/1000),Skills!L22/10)+Skills!O22</f>
        <v/>
      </c>
      <c r="G1316">
        <f>Skills!G22*IF(Skills!H22&gt;0,Skills!I22/Skills!H22,1)</f>
        <v/>
      </c>
      <c r="H1316">
        <f>1-(1-Skills!J22/100)^Skills!K22</f>
        <v/>
      </c>
      <c r="I1316" t="inlineStr">
        <is>
          <t>1</t>
        </is>
      </c>
      <c r="J1316" t="inlineStr"/>
      <c r="K1316" t="inlineStr"/>
      <c r="L1316" t="inlineStr"/>
      <c r="M1316" t="inlineStr"/>
      <c r="N1316" t="inlineStr"/>
      <c r="O1316">
        <f>(1-Summary!$B$55)*T1316+Summary!$B$55*V1316</f>
        <v/>
      </c>
      <c r="P1316">
        <f>IF(B1334=0,0,O1316/B1334)</f>
        <v/>
      </c>
      <c r="Q1316" t="n">
        <v>0</v>
      </c>
      <c r="R1316" t="n">
        <v>0</v>
      </c>
      <c r="S1316">
        <f>IFERROR(O1316/N1316,0)</f>
        <v/>
      </c>
      <c r="T1316" t="n">
        <v>0</v>
      </c>
      <c r="V1316" t="n">
        <v>0</v>
      </c>
    </row>
    <row r="1317">
      <c r="A1317">
        <f>Skills!A23</f>
        <v/>
      </c>
      <c r="B1317">
        <f>Skills!B23</f>
        <v/>
      </c>
      <c r="C1317">
        <f>Inputs!$B$3&gt;=38</f>
        <v/>
      </c>
      <c r="D1317">
        <f>IF(Skills!C23=1,60+Inputs!$B$25+Inputs!$B$29,IF(Skills!C23=2,90+Inputs!$B$26+Inputs!$B$29,IF(Skills!C23=3,120+Inputs!$B$27+Inputs!$B$29,MAX(0,(Inputs!$B$3-100)*3)+Inputs!$B$28+Inputs!$B$29)))</f>
        <v/>
      </c>
      <c r="E1317">
        <f>INDEX(FactorTable!$B$2:$Y$301, MATCH(ROUND(MIN(300,MAX(1,D1317)),0), FactorTable!$A$2:$A$301,0), Skills!M23+1)</f>
        <v/>
      </c>
      <c r="F1317">
        <f>IF(Skills!N23=TRUE,(Skills!L23/10)*(E1317/1000),Skills!L23/10)+Skills!O23</f>
        <v/>
      </c>
      <c r="G1317">
        <f>Skills!G23*IF(Skills!H23&gt;0,Skills!I23/Skills!H23,1)</f>
        <v/>
      </c>
      <c r="H1317">
        <f>1-(1-Skills!J23/100)^Skills!K23</f>
        <v/>
      </c>
      <c r="I1317" t="inlineStr">
        <is>
          <t>1</t>
        </is>
      </c>
      <c r="J1317" t="inlineStr"/>
      <c r="K1317" t="inlineStr"/>
      <c r="L1317" t="inlineStr"/>
      <c r="M1317" t="inlineStr"/>
      <c r="N1317" t="inlineStr"/>
      <c r="O1317">
        <f>(1-Summary!$B$55)*T1317+Summary!$B$55*V1317</f>
        <v/>
      </c>
      <c r="P1317">
        <f>IF(B1334=0,0,O1317/B1334)</f>
        <v/>
      </c>
      <c r="Q1317" t="n">
        <v>0</v>
      </c>
      <c r="R1317" t="n">
        <v>0</v>
      </c>
      <c r="S1317">
        <f>IFERROR(O1317/N1317,0)</f>
        <v/>
      </c>
      <c r="T1317" t="n">
        <v>0</v>
      </c>
      <c r="V1317" t="n">
        <v>0</v>
      </c>
    </row>
    <row r="1318">
      <c r="A1318">
        <f>Skills!A24</f>
        <v/>
      </c>
      <c r="B1318">
        <f>Skills!B24</f>
        <v/>
      </c>
      <c r="C1318">
        <f>Inputs!$B$3&gt;=40</f>
        <v/>
      </c>
      <c r="D1318">
        <f>IF(Skills!C24=1,60+Inputs!$B$25+Inputs!$B$29,IF(Skills!C24=2,90+Inputs!$B$26+Inputs!$B$29,IF(Skills!C24=3,120+Inputs!$B$27+Inputs!$B$29,MAX(0,(Inputs!$B$3-100)*3)+Inputs!$B$28+Inputs!$B$29)))</f>
        <v/>
      </c>
      <c r="E1318">
        <f>INDEX(FactorTable!$B$2:$Y$301, MATCH(ROUND(MIN(300,MAX(1,D1318)),0), FactorTable!$A$2:$A$301,0), Skills!M24+1)</f>
        <v/>
      </c>
      <c r="F1318">
        <f>IF(Skills!N24=TRUE,(Skills!L24/10)*(E1318/1000),Skills!L24/10)+Skills!O24</f>
        <v/>
      </c>
      <c r="G1318">
        <f>Skills!G24*IF(Skills!H24&gt;0,Skills!I24/Skills!H24,1)</f>
        <v/>
      </c>
      <c r="H1318">
        <f>1-(1-Skills!J24/100)^Skills!K24</f>
        <v/>
      </c>
      <c r="I1318" t="inlineStr">
        <is>
          <t>1</t>
        </is>
      </c>
      <c r="J1318" t="inlineStr"/>
      <c r="K1318" t="inlineStr"/>
      <c r="L1318" t="inlineStr"/>
      <c r="M1318" t="inlineStr"/>
      <c r="N1318" t="inlineStr"/>
      <c r="O1318">
        <f>(1-Summary!$B$55)*T1318+Summary!$B$55*V1318</f>
        <v/>
      </c>
      <c r="P1318">
        <f>IF(B1334=0,0,O1318/B1334)</f>
        <v/>
      </c>
      <c r="Q1318" t="n">
        <v>0</v>
      </c>
      <c r="R1318" t="n">
        <v>0</v>
      </c>
      <c r="S1318">
        <f>IFERROR(O1318/N1318,0)</f>
        <v/>
      </c>
      <c r="T1318" t="n">
        <v>0</v>
      </c>
      <c r="V1318" t="n">
        <v>0</v>
      </c>
    </row>
    <row r="1319">
      <c r="A1319">
        <f>Skills!A25</f>
        <v/>
      </c>
      <c r="B1319">
        <f>Skills!B25</f>
        <v/>
      </c>
      <c r="C1319">
        <f>Inputs!$B$3&gt;=72</f>
        <v/>
      </c>
      <c r="D1319">
        <f>IF(Skills!C25=1,60+Inputs!$B$25+Inputs!$B$29,IF(Skills!C25=2,90+Inputs!$B$26+Inputs!$B$29,IF(Skills!C25=3,120+Inputs!$B$27+Inputs!$B$29,MAX(0,(Inputs!$B$3-100)*3)+Inputs!$B$28+Inputs!$B$29)))</f>
        <v/>
      </c>
      <c r="E1319">
        <f>INDEX(FactorTable!$B$2:$Y$301, MATCH(ROUND(MIN(300,MAX(1,D1319)),0), FactorTable!$A$2:$A$301,0), Skills!M25+1)</f>
        <v/>
      </c>
      <c r="F1319">
        <f>IF(Skills!N25=TRUE,(Skills!L25/10)*(E1319/1000),Skills!L25/10)+Skills!O25</f>
        <v/>
      </c>
      <c r="G1319">
        <f>Skills!G25*IF(Skills!H25&gt;0,Skills!I25/Skills!H25,1)</f>
        <v/>
      </c>
      <c r="H1319">
        <f>1-(1-Skills!J25/100)^Skills!K25</f>
        <v/>
      </c>
      <c r="I1319" t="inlineStr">
        <is>
          <t>1</t>
        </is>
      </c>
      <c r="J1319" t="inlineStr"/>
      <c r="K1319" t="inlineStr"/>
      <c r="L1319" t="inlineStr"/>
      <c r="M1319" t="inlineStr"/>
      <c r="N1319" t="inlineStr"/>
      <c r="O1319">
        <f>(1-Summary!$B$55)*T1319+Summary!$B$55*V1319</f>
        <v/>
      </c>
      <c r="P1319">
        <f>IF(B1334=0,0,O1319/B1334)</f>
        <v/>
      </c>
      <c r="Q1319" t="n">
        <v>0</v>
      </c>
      <c r="R1319" t="n">
        <v>0</v>
      </c>
      <c r="S1319">
        <f>IFERROR(O1319/N1319,0)</f>
        <v/>
      </c>
      <c r="T1319" t="n">
        <v>0</v>
      </c>
      <c r="V1319" t="n">
        <v>0</v>
      </c>
    </row>
    <row r="1320">
      <c r="A1320">
        <f>Skills!A26</f>
        <v/>
      </c>
      <c r="B1320">
        <f>Skills!B26</f>
        <v/>
      </c>
      <c r="C1320">
        <f>Inputs!$B$3&gt;=75</f>
        <v/>
      </c>
      <c r="D1320">
        <f>IF(Skills!C26=1,60+Inputs!$B$25+Inputs!$B$29,IF(Skills!C26=2,90+Inputs!$B$26+Inputs!$B$29,IF(Skills!C26=3,120+Inputs!$B$27+Inputs!$B$29,MAX(0,(Inputs!$B$3-100)*3)+Inputs!$B$28+Inputs!$B$29)))</f>
        <v/>
      </c>
      <c r="E1320">
        <f>INDEX(FactorTable!$B$2:$Y$301, MATCH(ROUND(MIN(300,MAX(1,D1320)),0), FactorTable!$A$2:$A$301,0), Skills!M26+1)</f>
        <v/>
      </c>
      <c r="F1320">
        <f>IF(Skills!N26=TRUE,(Skills!L26/10)*(E1320/1000),Skills!L26/10)+Skills!O26</f>
        <v/>
      </c>
      <c r="G1320">
        <f>Skills!G26*IF(Skills!H26&gt;0,Skills!I26/Skills!H26,1)</f>
        <v/>
      </c>
      <c r="H1320">
        <f>1-(1-Skills!J26/100)^Skills!K26</f>
        <v/>
      </c>
      <c r="I1320" t="inlineStr">
        <is>
          <t>1</t>
        </is>
      </c>
      <c r="J1320" t="inlineStr"/>
      <c r="K1320" t="inlineStr"/>
      <c r="L1320" t="inlineStr"/>
      <c r="M1320" t="inlineStr"/>
      <c r="N1320" t="inlineStr"/>
      <c r="O1320">
        <f>(1-Summary!$B$55)*T1320+Summary!$B$55*V1320</f>
        <v/>
      </c>
      <c r="P1320">
        <f>IF(B1334=0,0,O1320/B1334)</f>
        <v/>
      </c>
      <c r="Q1320" t="n">
        <v>0</v>
      </c>
      <c r="R1320" t="n">
        <v>0</v>
      </c>
      <c r="S1320">
        <f>IFERROR(O1320/N1320,0)</f>
        <v/>
      </c>
      <c r="T1320" t="n">
        <v>0</v>
      </c>
      <c r="V1320" t="n">
        <v>0</v>
      </c>
    </row>
    <row r="1321">
      <c r="A1321">
        <f>Skills!A27</f>
        <v/>
      </c>
      <c r="B1321">
        <f>Skills!B27</f>
        <v/>
      </c>
      <c r="C1321">
        <f>Inputs!$B$3&gt;=117</f>
        <v/>
      </c>
      <c r="D1321">
        <f>IF(Skills!C27=1,60+Inputs!$B$25+Inputs!$B$29,IF(Skills!C27=2,90+Inputs!$B$26+Inputs!$B$29,IF(Skills!C27=3,120+Inputs!$B$27+Inputs!$B$29,MAX(0,(Inputs!$B$3-100)*3)+Inputs!$B$28+Inputs!$B$29)))</f>
        <v/>
      </c>
      <c r="E1321">
        <f>INDEX(FactorTable!$B$2:$Y$301, MATCH(ROUND(MIN(300,MAX(1,D1321)),0), FactorTable!$A$2:$A$301,0), Skills!M27+1)</f>
        <v/>
      </c>
      <c r="F1321">
        <f>IF(Skills!N27=TRUE,(Skills!L27/10)*(E1321/1000),Skills!L27/10)+Skills!O27</f>
        <v/>
      </c>
      <c r="G1321">
        <f>Skills!G27*IF(Skills!H27&gt;0,Skills!I27/Skills!H27,1)</f>
        <v/>
      </c>
      <c r="H1321">
        <f>1-(1-Skills!J27/100)^Skills!K27</f>
        <v/>
      </c>
      <c r="I1321" t="inlineStr">
        <is>
          <t>1</t>
        </is>
      </c>
      <c r="J1321" t="inlineStr"/>
      <c r="K1321" t="inlineStr"/>
      <c r="L1321" t="inlineStr"/>
      <c r="M1321" t="inlineStr"/>
      <c r="N1321" t="inlineStr"/>
      <c r="O1321">
        <f>(1-Summary!$B$55)*T1321+Summary!$B$55*V1321</f>
        <v/>
      </c>
      <c r="P1321">
        <f>IF(B1334=0,0,O1321/B1334)</f>
        <v/>
      </c>
      <c r="Q1321" t="n">
        <v>0</v>
      </c>
      <c r="R1321" t="n">
        <v>0</v>
      </c>
      <c r="S1321">
        <f>IFERROR(O1321/N1321,0)</f>
        <v/>
      </c>
      <c r="T1321" t="n">
        <v>0</v>
      </c>
      <c r="V1321" t="n">
        <v>0</v>
      </c>
    </row>
    <row r="1323">
      <c r="A1323" t="inlineStr">
        <is>
          <t>Attack% Bucket Multiplier</t>
        </is>
      </c>
      <c r="B1323">
        <f>(1+(((C1311=TRUE)*F1311)+((C1318=TRUE)*(F1318-Calc!F24)))/100)</f>
        <v/>
      </c>
    </row>
    <row r="1324">
      <c r="A1324" t="inlineStr">
        <is>
          <t>Global Crit Rate Bonus %</t>
        </is>
      </c>
      <c r="B1324" t="n">
        <v>0</v>
      </c>
    </row>
    <row r="1325">
      <c r="A1325" t="inlineStr">
        <is>
          <t>Attack Speed Buff Bonus % (unused)</t>
        </is>
      </c>
      <c r="B1325" t="n">
        <v>0</v>
      </c>
    </row>
    <row r="1326">
      <c r="A1326" t="inlineStr">
        <is>
          <t>Actions Per Second</t>
        </is>
      </c>
      <c r="B1326">
        <f>1+MIN(150,150*(1-(1-(Inputs!$B$11+((C1314=TRUE)*(F1314-Calc!F20))+((C1315=TRUE)*(F1315-Calc!F21)))/150)*(1-B1325/150)))/100</f>
        <v/>
      </c>
    </row>
    <row r="1327">
      <c r="A1327" t="inlineStr">
        <is>
          <t>Skill + Buff Cast Rate</t>
        </is>
      </c>
      <c r="B1327">
        <f>IF(AND(Inputs!$B$38&lt;&gt;"pvp",Inputs!$B$43&gt;0),SUMPRODUCT((Skills!E2:E27=TRUE)*(C1296:C1321=TRUE)*R1296:R1321*Skills!F2:F27)/Inputs!$B$43,SUMPRODUCT((Skills!E2:E27=TRUE)*(C1296:C1321=TRUE)*Q1296:Q1321*Skills!F2:F27))</f>
        <v/>
      </c>
    </row>
    <row r="1328">
      <c r="A1328" t="inlineStr">
        <is>
          <t>Eight-Legs Easton Casts Per Second</t>
        </is>
      </c>
      <c r="B1328">
        <f>MAX(0,B1326-B1327)</f>
        <v/>
      </c>
    </row>
    <row r="1329">
      <c r="A1329" t="inlineStr">
        <is>
          <t>Global Critical Damage Bonus % (unused)</t>
        </is>
      </c>
      <c r="B1329" t="n">
        <v>0</v>
      </c>
    </row>
    <row r="1330">
      <c r="A1330" t="inlineStr">
        <is>
          <t>Global Final Damage Bonus % (Jolly Roger only)</t>
        </is>
      </c>
      <c r="B1330">
        <f>((C1312=TRUE)*F1312)</f>
        <v/>
      </c>
    </row>
    <row r="1331">
      <c r="A1331" t="inlineStr">
        <is>
          <t>Buff-Casting Startup Delay (s, fixed-duration only)</t>
        </is>
      </c>
      <c r="B1331">
        <f>IF(AND(Inputs!$B$38&lt;&gt;"pvp",Inputs!$B$43&gt;0),SUMPRODUCT((Skills!T2:T27&gt;0)*(Skills!E2:E27=TRUE)*(C1296:C1321=TRUE))/B1326,0)</f>
        <v/>
      </c>
    </row>
    <row r="1332">
      <c r="A1332" t="inlineStr">
        <is>
          <t>Boss-Only Total DPS (this block's swept value)</t>
        </is>
      </c>
      <c r="B1332">
        <f>SUM(T1296:T1321)</f>
        <v/>
      </c>
    </row>
    <row r="1333">
      <c r="A1333" t="inlineStr">
        <is>
          <t>Normal-Only Total DPS (this block's swept value)</t>
        </is>
      </c>
      <c r="B1333">
        <f>SUM(V1296:V1321)</f>
        <v/>
      </c>
    </row>
    <row r="1334">
      <c r="A1334" s="5" t="inlineStr">
        <is>
          <t>TOTAL DPS</t>
        </is>
      </c>
      <c r="B1334" s="5">
        <f>SUM(O1296:O1321)</f>
        <v/>
      </c>
    </row>
    <row r="1337">
      <c r="A1337" s="5" t="inlineStr">
        <is>
          <t>Stat: CDR = 2.5s</t>
        </is>
      </c>
    </row>
    <row r="1338">
      <c r="A1338" s="9" t="inlineStr">
        <is>
          <t>Key</t>
        </is>
      </c>
      <c r="B1338" s="9" t="inlineStr">
        <is>
          <t>Name</t>
        </is>
      </c>
      <c r="C1338" s="9" t="inlineStr">
        <is>
          <t>Unlocked</t>
        </is>
      </c>
      <c r="D1338" s="9" t="inlineStr">
        <is>
          <t>InputLevel</t>
        </is>
      </c>
      <c r="E1338" s="9" t="inlineStr">
        <is>
          <t>Factor</t>
        </is>
      </c>
      <c r="F1338" s="9" t="inlineStr">
        <is>
          <t>CoefficientPercent</t>
        </is>
      </c>
      <c r="G1338" s="9" t="inlineStr">
        <is>
          <t>EffectiveHits</t>
        </is>
      </c>
      <c r="H1338" s="9" t="inlineStr">
        <is>
          <t>ProcProbability</t>
        </is>
      </c>
      <c r="I1338" s="9" t="inlineStr">
        <is>
          <t>MapleHeroMultiplier</t>
        </is>
      </c>
      <c r="J1338" s="9" t="inlineStr">
        <is>
          <t>BaseDamage</t>
        </is>
      </c>
      <c r="K1338" s="9" t="inlineStr">
        <is>
          <t>BaseHitDamage</t>
        </is>
      </c>
      <c r="L1338" s="9" t="inlineStr">
        <is>
          <t>NonCritAvg</t>
        </is>
      </c>
      <c r="M1338" s="9" t="inlineStr">
        <is>
          <t>CritAvg</t>
        </is>
      </c>
      <c r="N1338" s="9" t="inlineStr">
        <is>
          <t>ExpectedDamage(perHit)</t>
        </is>
      </c>
      <c r="O1338" s="9" t="inlineStr">
        <is>
          <t>DPS</t>
        </is>
      </c>
      <c r="P1338" s="9" t="inlineStr">
        <is>
          <t>% of Total</t>
        </is>
      </c>
      <c r="Q1338" s="9" t="inlineStr">
        <is>
          <t>InvCooldown</t>
        </is>
      </c>
      <c r="R1338" s="9" t="inlineStr">
        <is>
          <t>CastsInFight</t>
        </is>
      </c>
      <c r="S1338" s="9" t="inlineStr">
        <is>
          <t>HitRate(perSec)</t>
        </is>
      </c>
      <c r="U1338" t="inlineStr">
        <is>
          <t>helpers</t>
        </is>
      </c>
    </row>
    <row r="1339">
      <c r="A1339">
        <f>Skills!A2</f>
        <v/>
      </c>
      <c r="B1339">
        <f>Skills!B2</f>
        <v/>
      </c>
      <c r="C1339">
        <f>Inputs!$B$3&gt;=100</f>
        <v/>
      </c>
      <c r="D1339" t="inlineStr"/>
      <c r="E1339" t="inlineStr"/>
      <c r="F1339">
        <f>U1341+Skills!O2</f>
        <v/>
      </c>
      <c r="G1339">
        <f>Skills!G2*IF(Skills!H2&gt;0,Skills!I2/Skills!H2,1)</f>
        <v/>
      </c>
      <c r="H1339">
        <f>1-(1-Skills!J2/100)^Skills!K2</f>
        <v/>
      </c>
      <c r="I1339" t="inlineStr">
        <is>
          <t>1</t>
        </is>
      </c>
      <c r="J1339">
        <f>((Inputs!$B$6*(1+Inputs!$B$7/100))+(((Inputs!$B$12*(1+Inputs!$B$13/100))-(Inputs!$B$12*(1+Inputs!$B$13/100)))+0.25*(Inputs!$B$14-Inputs!$B$14))*(1+Inputs!$B$7/100))*(F1339/100)</f>
        <v/>
      </c>
      <c r="K1339">
        <f>J1339*(1+((Inputs!$B$12*(1+Inputs!$B$13/100))*0.01+Inputs!$B$14*0.0025)/100)*(1+Inputs!$B$15/100)*(1+Inputs!$B$16/100)*(5000/(6000+Inputs!$B$42*(1-(Inputs!$B$19+0)/100)))*(1+(Inputs!$B$24+((C1363=TRUE)*(F1363-Calc!F26))+B1373)/100)*(1+(IF(Skills!A2="EIGHT_LEGS_EASTON",Inputs!$B$17+((C1360=TRUE)*(F1360-Calc!F23))+((C1364=TRUE)*(F1364-Calc!F27)),Inputs!$B$18+0))/100)*((1+(((C1354=TRUE)*F1354)+((C1361=TRUE)*(F1361-Calc!F24)))/100)*I1339)</f>
        <v/>
      </c>
      <c r="L1339">
        <f>K1339*(MIN(Inputs!$B$22+((C1359=TRUE)*(F1359-Calc!F22)),Inputs!$B$23+0)/100+(Inputs!$B$23+0)/100)/2</f>
        <v/>
      </c>
      <c r="M1339">
        <f>L1339*(1+(Inputs!$B$10+((C1362=TRUE)*(F1362-Calc!F25))+B1372)/100)</f>
        <v/>
      </c>
      <c r="N1339">
        <f>L1339*(1-MIN((Inputs!$B$9+((C1356=TRUE)*(F1356-Calc!F19))+B1367),100)/100)+M1339*(MIN((Inputs!$B$9+((C1356=TRUE)*(F1356-Calc!F19))+B1367),100)/100)</f>
        <v/>
      </c>
      <c r="O1339">
        <f>(1-Summary!$B$55)*T1339+Summary!$B$55*V1339</f>
        <v/>
      </c>
      <c r="P1339">
        <f>IF(B1377=0,0,O1339/B1377)</f>
        <v/>
      </c>
      <c r="Q1339" t="n">
        <v>0</v>
      </c>
      <c r="R1339" t="n">
        <v>0</v>
      </c>
      <c r="S1339">
        <f>IFERROR(O1339/N1339,0)</f>
        <v/>
      </c>
      <c r="T1339">
        <f>IF(C1339,(Skills!G2*N1339*B1371)*IF(Inputs!$B$38="pvp",1,1+(Inputs!$B$20+0+Skills!P2)/100),0)</f>
        <v/>
      </c>
      <c r="U1339">
        <f>MAX(0,(Inputs!$B$3-100)*3)+Inputs!$B$28+Inputs!$B$29</f>
        <v/>
      </c>
      <c r="V1339">
        <f>IF(C1339,(Skills!G2*N1339*B1371)*IF(Inputs!$B$38="pvp",1,(1+(Inputs!$B$21+Skills!Q2)/100)*(MIN((6+Inputs!$B$33),Inputs!$B$37))),0)</f>
        <v/>
      </c>
    </row>
    <row r="1340">
      <c r="A1340">
        <f>Skills!A3</f>
        <v/>
      </c>
      <c r="B1340">
        <f>Skills!B3</f>
        <v/>
      </c>
      <c r="C1340">
        <f>Inputs!$B$3&gt;=35</f>
        <v/>
      </c>
      <c r="D1340">
        <f>IF(Skills!C3=1,60+Inputs!$B$25+Inputs!$B$29,IF(Skills!C3=2,90+Inputs!$B$26+Inputs!$B$29,IF(Skills!C3=3,120+Inputs!$B$27+Inputs!$B$29,MAX(0,(Inputs!$B$3-100)*3)+Inputs!$B$28+Inputs!$B$29)))</f>
        <v/>
      </c>
      <c r="E1340">
        <f>INDEX(FactorTable!$B$2:$Y$301, MATCH(ROUND(MIN(300,MAX(1,D1340)),0), FactorTable!$A$2:$A$301,0), Skills!M3+1)</f>
        <v/>
      </c>
      <c r="F1340">
        <f>IF(Skills!N3=TRUE,(Skills!L3/10)*(E1340/1000),Skills!L3/10)+Skills!O3</f>
        <v/>
      </c>
      <c r="G1340">
        <f>Skills!G3*IF(Skills!H3&gt;0,Skills!I3/Skills!H3,1)</f>
        <v/>
      </c>
      <c r="H1340">
        <f>1-(1-Skills!J3/100)^Skills!K3</f>
        <v/>
      </c>
      <c r="I1340" t="inlineStr">
        <is>
          <t>1</t>
        </is>
      </c>
      <c r="J1340">
        <f>((Inputs!$B$6*(1+Inputs!$B$7/100))+(((Inputs!$B$12*(1+Inputs!$B$13/100))-(Inputs!$B$12*(1+Inputs!$B$13/100)))+0.25*(Inputs!$B$14-Inputs!$B$14))*(1+Inputs!$B$7/100))*(F1340/100)</f>
        <v/>
      </c>
      <c r="K1340">
        <f>J1340*(1+((Inputs!$B$12*(1+Inputs!$B$13/100))*0.01+Inputs!$B$14*0.0025)/100)*(1+Inputs!$B$15/100)*(1+Inputs!$B$16/100)*(5000/(6000+Inputs!$B$42*(1-(Inputs!$B$19+0)/100)))*(1+(Inputs!$B$24+((C1363=TRUE)*(F1363-Calc!F26))+B1373)/100)*(1+4.0*IF(C1352=TRUE,F1352,0)/100)*(1+(IF(Skills!A3="EIGHT_LEGS_EASTON",Inputs!$B$17+((C1360=TRUE)*(F1360-Calc!F23))+((C1364=TRUE)*(F1364-Calc!F27)),Inputs!$B$18+0))/100)*((1+(((C1354=TRUE)*F1354)+((C1361=TRUE)*(F1361-Calc!F24)))/100)*I1340)</f>
        <v/>
      </c>
      <c r="L1340">
        <f>K1340*(MIN(Inputs!$B$22+((C1359=TRUE)*(F1359-Calc!F22)),Inputs!$B$23+0)/100+(Inputs!$B$23+0)/100)/2</f>
        <v/>
      </c>
      <c r="M1340">
        <f>L1340*(1+(Inputs!$B$10+((C1362=TRUE)*(F1362-Calc!F25))+B1372)/100)</f>
        <v/>
      </c>
      <c r="N1340">
        <f>L1340*(1-MIN((Inputs!$B$9+((C1356=TRUE)*(F1356-Calc!F19))+B1367),100)/100)+M1340*(MIN((Inputs!$B$9+((C1356=TRUE)*(F1356-Calc!F19))+B1367),100)/100)</f>
        <v/>
      </c>
      <c r="O1340">
        <f>(1-Summary!$B$55)*T1340+Summary!$B$55*V1340</f>
        <v/>
      </c>
      <c r="P1340">
        <f>IF(B1377=0,0,O1340/B1377)</f>
        <v/>
      </c>
      <c r="Q1340">
        <f>IFERROR(1/IF(Inputs!$B$38="pvp",15,MAX(0.1,Skills!D3-IF(Skills!E3=TRUE,2.5,0))),0)</f>
        <v/>
      </c>
      <c r="R1340">
        <f>IF(AND(Inputs!$B$38&lt;&gt;"pvp",Inputs!$B$43&gt;0),IF(MAX(0,Inputs!$B$43-B1374)&lt;=0,0,(INT(MAX(0,Inputs!$B$43-B1374)/IF(Inputs!$B$38="pvp",15,MAX(0.1,Skills!D3-IF(Skills!E3=TRUE,2.5,0))))+1)),0)</f>
        <v/>
      </c>
      <c r="S1340">
        <f>IFERROR(O1340/N1340,0)</f>
        <v/>
      </c>
      <c r="T1340">
        <f>IF(C1340,(H1340*N1340*IF(AND(Inputs!$B$38&lt;&gt;"pvp",Inputs!$B$43&gt;0),((Skills!G3*((R1340-1)*IF(Skills!H3&gt;0,Skills!I3/Skills!H3,1)+IF(Skills!H3&gt;0,MIN(Skills!I3,MAX(0,MAX(0,Inputs!$B$43-B1374)-((R1340-1)*IF(Inputs!$B$38="pvp",15,MAX(0.1,Skills!D3-IF(Skills!E3=TRUE,2.5,0))))))/Skills!H3,1)))/Inputs!$B$43),G1340*Q1340))*IF(Inputs!$B$38="pvp",1,1+(Inputs!$B$20+0+Skills!P3)/100),0)</f>
        <v/>
      </c>
      <c r="U1340">
        <f>INDEX(FactorTable!$B$2:$Y$301, MATCH(ROUND(MIN(300,MAX(1,U1339)),0), FactorTable!$A$2:$A$301,0), 22)</f>
        <v/>
      </c>
      <c r="V1340">
        <f>IF(C1340,(H1340*N1340*IF(AND(Inputs!$B$38&lt;&gt;"pvp",Inputs!$B$43&gt;0),((Skills!G3*((R1340-1)*IF(Skills!H3&gt;0,Skills!I3/Skills!H3,1)+IF(Skills!H3&gt;0,MIN(Skills!I3,MAX(0,MAX(0,Inputs!$B$43-B1374)-((R1340-1)*IF(Inputs!$B$38="pvp",15,MAX(0.1,Skills!D3-IF(Skills!E3=TRUE,2.5,0))))))/Skills!H3,1)))/Inputs!$B$43),G1340*Q1340))*IF(Inputs!$B$38="pvp",1,(1+(Inputs!$B$21+Skills!Q3)/100)*(MIN(Skills!R3,Inputs!$B$37))),0)</f>
        <v/>
      </c>
    </row>
    <row r="1341">
      <c r="A1341">
        <f>Skills!A4</f>
        <v/>
      </c>
      <c r="B1341">
        <f>Skills!B4</f>
        <v/>
      </c>
      <c r="C1341">
        <f>Inputs!$B$3&gt;=40</f>
        <v/>
      </c>
      <c r="D1341">
        <f>IF(Skills!C4=1,60+Inputs!$B$25+Inputs!$B$29,IF(Skills!C4=2,90+Inputs!$B$26+Inputs!$B$29,IF(Skills!C4=3,120+Inputs!$B$27+Inputs!$B$29,MAX(0,(Inputs!$B$3-100)*3)+Inputs!$B$28+Inputs!$B$29)))</f>
        <v/>
      </c>
      <c r="E1341">
        <f>INDEX(FactorTable!$B$2:$Y$301, MATCH(ROUND(MIN(300,MAX(1,D1341)),0), FactorTable!$A$2:$A$301,0), Skills!M4+1)</f>
        <v/>
      </c>
      <c r="F1341">
        <f>IF(Skills!N4=TRUE,(Skills!L4/10)*(E1341/1000),Skills!L4/10)+Skills!O4</f>
        <v/>
      </c>
      <c r="G1341">
        <f>Skills!G4*IF(Skills!H4&gt;0,Skills!I4/Skills!H4,1)</f>
        <v/>
      </c>
      <c r="H1341">
        <f>1-(1-Skills!J4/100)^Skills!K4</f>
        <v/>
      </c>
      <c r="I1341" t="inlineStr">
        <is>
          <t>1</t>
        </is>
      </c>
      <c r="J1341">
        <f>((Inputs!$B$6*(1+Inputs!$B$7/100))+(((Inputs!$B$12*(1+Inputs!$B$13/100))-(Inputs!$B$12*(1+Inputs!$B$13/100)))+0.25*(Inputs!$B$14-Inputs!$B$14))*(1+Inputs!$B$7/100))*(F1341/100)</f>
        <v/>
      </c>
      <c r="K1341">
        <f>J1341*(1+((Inputs!$B$12*(1+Inputs!$B$13/100))*0.01+Inputs!$B$14*0.0025)/100)*(1+Inputs!$B$15/100)*(1+Inputs!$B$16/100)*(5000/(6000+Inputs!$B$42*(1-(Inputs!$B$19+0)/100)))*(1+(Inputs!$B$24+((C1363=TRUE)*(F1363-Calc!F26))+B1373)/100)*(1+1.0*IF(C1353=TRUE,F1353,0)/100)*(1+(IF(Skills!A4="EIGHT_LEGS_EASTON",Inputs!$B$17+((C1360=TRUE)*(F1360-Calc!F23))+((C1364=TRUE)*(F1364-Calc!F27)),Inputs!$B$18+0))/100)*((1+(((C1354=TRUE)*F1354)+((C1361=TRUE)*(F1361-Calc!F24)))/100)*I1341)</f>
        <v/>
      </c>
      <c r="L1341">
        <f>K1341*(MIN(Inputs!$B$22+((C1359=TRUE)*(F1359-Calc!F22)),Inputs!$B$23+0)/100+(Inputs!$B$23+0)/100)/2</f>
        <v/>
      </c>
      <c r="M1341">
        <f>L1341*(1+(Inputs!$B$10+((C1362=TRUE)*(F1362-Calc!F25))+B1372)/100)</f>
        <v/>
      </c>
      <c r="N1341">
        <f>L1341*(1-MIN((Inputs!$B$9+((C1356=TRUE)*(F1356-Calc!F19))+B1367),100)/100)+M1341*(MIN((Inputs!$B$9+((C1356=TRUE)*(F1356-Calc!F19))+B1367),100)/100)</f>
        <v/>
      </c>
      <c r="O1341">
        <f>(1-Summary!$B$55)*T1341+Summary!$B$55*V1341</f>
        <v/>
      </c>
      <c r="P1341">
        <f>IF(B1377=0,0,O1341/B1377)</f>
        <v/>
      </c>
      <c r="Q1341">
        <f>IFERROR(1/IF(Inputs!$B$38="pvp",15,MAX(0.1,Skills!D4-IF(Skills!E4=TRUE,2.5,0))),0)</f>
        <v/>
      </c>
      <c r="R1341">
        <f>IF(AND(Inputs!$B$38&lt;&gt;"pvp",Inputs!$B$43&gt;0),IF(MAX(0,Inputs!$B$43-B1374)&lt;=0,0,(INT(MAX(0,Inputs!$B$43-B1374)/IF(Inputs!$B$38="pvp",15,MAX(0.1,Skills!D4-IF(Skills!E4=TRUE,2.5,0))))+1)),0)</f>
        <v/>
      </c>
      <c r="S1341">
        <f>IFERROR(O1341/N1341,0)</f>
        <v/>
      </c>
      <c r="T1341">
        <f>IF(C1341,(H1341*N1341*IF(AND(Inputs!$B$38&lt;&gt;"pvp",Inputs!$B$43&gt;0),((Skills!G4*((R1341-1)*IF(Skills!H4&gt;0,Skills!I4/Skills!H4,1)+IF(Skills!H4&gt;0,MIN(Skills!I4,MAX(0,MAX(0,Inputs!$B$43-B1374)-((R1341-1)*IF(Inputs!$B$38="pvp",15,MAX(0.1,Skills!D4-IF(Skills!E4=TRUE,2.5,0))))))/Skills!H4,1)))/Inputs!$B$43),G1341*Q1341))*IF(Inputs!$B$38="pvp",1,1+(Inputs!$B$20+0+Skills!P4)/100),0)</f>
        <v/>
      </c>
      <c r="U1341">
        <f>290*U1340/1000</f>
        <v/>
      </c>
      <c r="V1341">
        <f>IF(C1341,(H1341*N1341*IF(AND(Inputs!$B$38&lt;&gt;"pvp",Inputs!$B$43&gt;0),((Skills!G4*((R1341-1)*IF(Skills!H4&gt;0,Skills!I4/Skills!H4,1)+IF(Skills!H4&gt;0,MIN(Skills!I4,MAX(0,MAX(0,Inputs!$B$43-B1374)-((R1341-1)*IF(Inputs!$B$38="pvp",15,MAX(0.1,Skills!D4-IF(Skills!E4=TRUE,2.5,0))))))/Skills!H4,1)))/Inputs!$B$43),G1341*Q1341))*IF(Inputs!$B$38="pvp",1,(1+(Inputs!$B$21+Skills!Q4)/100)*(MIN(Skills!R4,Inputs!$B$37))),0)</f>
        <v/>
      </c>
    </row>
    <row r="1342">
      <c r="A1342">
        <f>Skills!A5</f>
        <v/>
      </c>
      <c r="B1342">
        <f>Skills!B5</f>
        <v/>
      </c>
      <c r="C1342">
        <f>Inputs!$B$3&gt;=45</f>
        <v/>
      </c>
      <c r="D1342">
        <f>IF(Skills!C5=1,60+Inputs!$B$25+Inputs!$B$29,IF(Skills!C5=2,90+Inputs!$B$26+Inputs!$B$29,IF(Skills!C5=3,120+Inputs!$B$27+Inputs!$B$29,MAX(0,(Inputs!$B$3-100)*3)+Inputs!$B$28+Inputs!$B$29)))</f>
        <v/>
      </c>
      <c r="E1342">
        <f>INDEX(FactorTable!$B$2:$Y$301, MATCH(ROUND(MIN(300,MAX(1,D1342)),0), FactorTable!$A$2:$A$301,0), Skills!M5+1)</f>
        <v/>
      </c>
      <c r="F1342">
        <f>IF(Skills!N5=TRUE,(Skills!L5/10)*(E1342/1000),Skills!L5/10)+Skills!O5</f>
        <v/>
      </c>
      <c r="G1342">
        <f>Skills!G5*IF(Skills!H5&gt;0,Skills!I5/Skills!H5,1)</f>
        <v/>
      </c>
      <c r="H1342">
        <f>1-(1-Skills!J5/100)^Skills!K5</f>
        <v/>
      </c>
      <c r="I1342" t="inlineStr">
        <is>
          <t>1</t>
        </is>
      </c>
      <c r="J1342">
        <f>((Inputs!$B$6*(1+Inputs!$B$7/100))+(((Inputs!$B$12*(1+Inputs!$B$13/100))-(Inputs!$B$12*(1+Inputs!$B$13/100)))+0.25*(Inputs!$B$14-Inputs!$B$14))*(1+Inputs!$B$7/100))*(F1342/100)</f>
        <v/>
      </c>
      <c r="K1342">
        <f>J1342*(1+((Inputs!$B$12*(1+Inputs!$B$13/100))*0.01+Inputs!$B$14*0.0025)/100)*(1+Inputs!$B$15/100)*(1+Inputs!$B$16/100)*(5000/(6000+Inputs!$B$42*(1-(Inputs!$B$19+0)/100)))*(1+(Inputs!$B$24+((C1363=TRUE)*(F1363-Calc!F26))+B1373)/100)*(1+0.4*IF(C1353=TRUE,F1353,0)/100)*(1+(IF(Skills!A5="EIGHT_LEGS_EASTON",Inputs!$B$17+((C1360=TRUE)*(F1360-Calc!F23))+((C1364=TRUE)*(F1364-Calc!F27)),Inputs!$B$18+0))/100)*((1+(((C1354=TRUE)*F1354)+((C1361=TRUE)*(F1361-Calc!F24)))/100)*I1342)</f>
        <v/>
      </c>
      <c r="L1342">
        <f>K1342*(MIN(Inputs!$B$22+((C1359=TRUE)*(F1359-Calc!F22)),Inputs!$B$23+0)/100+(Inputs!$B$23+0)/100)/2</f>
        <v/>
      </c>
      <c r="M1342">
        <f>L1342*(1+(Inputs!$B$10+((C1362=TRUE)*(F1362-Calc!F25))+B1372)/100)</f>
        <v/>
      </c>
      <c r="N1342">
        <f>L1342*(1-MIN((Inputs!$B$9+((C1356=TRUE)*(F1356-Calc!F19))+B1367),100)/100)+M1342*(MIN((Inputs!$B$9+((C1356=TRUE)*(F1356-Calc!F19))+B1367),100)/100)</f>
        <v/>
      </c>
      <c r="O1342">
        <f>(1-Summary!$B$55)*T1342+Summary!$B$55*V1342</f>
        <v/>
      </c>
      <c r="P1342">
        <f>IF(B1377=0,0,O1342/B1377)</f>
        <v/>
      </c>
      <c r="Q1342">
        <f>IFERROR(1/IF(Inputs!$B$38="pvp",15,MAX(0.1,Skills!D5-IF(Skills!E5=TRUE,2.5,0))),0)</f>
        <v/>
      </c>
      <c r="R1342">
        <f>IF(AND(Inputs!$B$38&lt;&gt;"pvp",Inputs!$B$43&gt;0),IF(MAX(0,Inputs!$B$43-B1374)&lt;=0,0,(INT(MAX(0,Inputs!$B$43-B1374)/IF(Inputs!$B$38="pvp",15,MAX(0.1,Skills!D5-IF(Skills!E5=TRUE,2.5,0))))+1)),0)</f>
        <v/>
      </c>
      <c r="S1342">
        <f>IFERROR(O1342/N1342,0)</f>
        <v/>
      </c>
      <c r="T1342">
        <f>IF(C1342,(H1342*N1342*IF(AND(Inputs!$B$38&lt;&gt;"pvp",Inputs!$B$43&gt;0),((Skills!G5*((R1342-1)*IF(Skills!H5&gt;0,Skills!I5/Skills!H5,1)+IF(Skills!H5&gt;0,MIN(Skills!I5,MAX(0,MAX(0,Inputs!$B$43-B1374)-((R1342-1)*IF(Inputs!$B$38="pvp",15,MAX(0.1,Skills!D5-IF(Skills!E5=TRUE,2.5,0))))))/Skills!H5,1)))/Inputs!$B$43),G1342*Q1342))*IF(Inputs!$B$38="pvp",1,1+(Inputs!$B$20+0+Skills!P5)/100),0)</f>
        <v/>
      </c>
      <c r="V1342">
        <f>IF(C1342,(H1342*N1342*IF(AND(Inputs!$B$38&lt;&gt;"pvp",Inputs!$B$43&gt;0),((Skills!G5*((R1342-1)*IF(Skills!H5&gt;0,Skills!I5/Skills!H5,1)+IF(Skills!H5&gt;0,MIN(Skills!I5,MAX(0,MAX(0,Inputs!$B$43-B1374)-((R1342-1)*IF(Inputs!$B$38="pvp",15,MAX(0.1,Skills!D5-IF(Skills!E5=TRUE,2.5,0))))))/Skills!H5,1)))/Inputs!$B$43),G1342*Q1342))*IF(Inputs!$B$38="pvp",1,(1+(Inputs!$B$21+Skills!Q5)/100)*(MIN(Skills!R5,Inputs!$B$37))),0)</f>
        <v/>
      </c>
    </row>
    <row r="1343">
      <c r="A1343">
        <f>Skills!A6</f>
        <v/>
      </c>
      <c r="B1343">
        <f>Skills!B6</f>
        <v/>
      </c>
      <c r="C1343">
        <f>Inputs!$B$3&gt;=63</f>
        <v/>
      </c>
      <c r="D1343">
        <f>IF(Skills!C6=1,60+Inputs!$B$25+Inputs!$B$29,IF(Skills!C6=2,90+Inputs!$B$26+Inputs!$B$29,IF(Skills!C6=3,120+Inputs!$B$27+Inputs!$B$29,MAX(0,(Inputs!$B$3-100)*3)+Inputs!$B$28+Inputs!$B$29)))</f>
        <v/>
      </c>
      <c r="E1343">
        <f>INDEX(FactorTable!$B$2:$Y$301, MATCH(ROUND(MIN(300,MAX(1,D1343)),0), FactorTable!$A$2:$A$301,0), Skills!M6+1)</f>
        <v/>
      </c>
      <c r="F1343">
        <f>IF(Skills!N6=TRUE,(Skills!L6/10)*(E1343/1000),Skills!L6/10)+Skills!O6</f>
        <v/>
      </c>
      <c r="G1343">
        <f>Skills!G6*IF(Skills!H6&gt;0,Skills!I6/Skills!H6,1)</f>
        <v/>
      </c>
      <c r="H1343">
        <f>1-(1-Skills!J6/100)^Skills!K6</f>
        <v/>
      </c>
      <c r="I1343" t="inlineStr">
        <is>
          <t>1</t>
        </is>
      </c>
      <c r="J1343">
        <f>((Inputs!$B$6*(1+Inputs!$B$7/100))+(((Inputs!$B$12*(1+Inputs!$B$13/100))-(Inputs!$B$12*(1+Inputs!$B$13/100)))+0.25*(Inputs!$B$14-Inputs!$B$14))*(1+Inputs!$B$7/100))*(F1343/100)</f>
        <v/>
      </c>
      <c r="K1343">
        <f>J1343*(1+((Inputs!$B$12*(1+Inputs!$B$13/100))*0.01+Inputs!$B$14*0.0025)/100)*(1+Inputs!$B$15/100)*(1+Inputs!$B$16/100)*(5000/(6000+Inputs!$B$42*(1-(Inputs!$B$19+0)/100)))*(1+(Inputs!$B$24+((C1363=TRUE)*(F1363-Calc!F26))+B1373)/100)*(1+2.0*IF(C1352=TRUE,F1352,0)/100)*(1+(IF(Skills!A6="EIGHT_LEGS_EASTON",Inputs!$B$17+((C1360=TRUE)*(F1360-Calc!F23))+((C1364=TRUE)*(F1364-Calc!F27)),Inputs!$B$18+0))/100)*((1+(((C1354=TRUE)*F1354)+((C1361=TRUE)*(F1361-Calc!F24)))/100)*I1343)</f>
        <v/>
      </c>
      <c r="L1343">
        <f>K1343*(MIN(Inputs!$B$22+((C1359=TRUE)*(F1359-Calc!F22)),Inputs!$B$23+0)/100+(Inputs!$B$23+0)/100)/2</f>
        <v/>
      </c>
      <c r="M1343">
        <f>L1343*(1+(Inputs!$B$10+((C1362=TRUE)*(F1362-Calc!F25))+B1372)/100)</f>
        <v/>
      </c>
      <c r="N1343">
        <f>L1343*(1-MIN((Inputs!$B$9+((C1356=TRUE)*(F1356-Calc!F19))+B1367),100)/100)+M1343*(MIN((Inputs!$B$9+((C1356=TRUE)*(F1356-Calc!F19))+B1367),100)/100)</f>
        <v/>
      </c>
      <c r="O1343">
        <f>(1-Summary!$B$55)*T1343+Summary!$B$55*V1343</f>
        <v/>
      </c>
      <c r="P1343">
        <f>IF(B1377=0,0,O1343/B1377)</f>
        <v/>
      </c>
      <c r="Q1343">
        <f>IFERROR(1/IF(Inputs!$B$38="pvp",15,MAX(0.1,Skills!D6-IF(Skills!E6=TRUE,2.5,0))),0)</f>
        <v/>
      </c>
      <c r="R1343">
        <f>IF(AND(Inputs!$B$38&lt;&gt;"pvp",Inputs!$B$43&gt;0),IF(MAX(0,Inputs!$B$43-B1374)&lt;=0,0,(INT(MAX(0,Inputs!$B$43-B1374)/IF(Inputs!$B$38="pvp",15,MAX(0.1,Skills!D6-IF(Skills!E6=TRUE,2.5,0))))+1)),0)</f>
        <v/>
      </c>
      <c r="S1343">
        <f>IFERROR(O1343/N1343,0)</f>
        <v/>
      </c>
      <c r="T1343">
        <f>IF(C1343,(H1343*N1343*IF(AND(Inputs!$B$38&lt;&gt;"pvp",Inputs!$B$43&gt;0),((Skills!G6*((R1343-1)*IF(Skills!H6&gt;0,Skills!I6/Skills!H6,1)+IF(Skills!H6&gt;0,MIN(Skills!I6,MAX(0,MAX(0,Inputs!$B$43-B1374)-((R1343-1)*IF(Inputs!$B$38="pvp",15,MAX(0.1,Skills!D6-IF(Skills!E6=TRUE,2.5,0))))))/Skills!H6,1)))/Inputs!$B$43),G1343*Q1343))*IF(Inputs!$B$38="pvp",1,1+(Inputs!$B$20+0+Skills!P6)/100),0)</f>
        <v/>
      </c>
      <c r="V1343">
        <f>IF(C1343,(H1343*N1343*IF(AND(Inputs!$B$38&lt;&gt;"pvp",Inputs!$B$43&gt;0),((Skills!G6*((R1343-1)*IF(Skills!H6&gt;0,Skills!I6/Skills!H6,1)+IF(Skills!H6&gt;0,MIN(Skills!I6,MAX(0,MAX(0,Inputs!$B$43-B1374)-((R1343-1)*IF(Inputs!$B$38="pvp",15,MAX(0.1,Skills!D6-IF(Skills!E6=TRUE,2.5,0))))))/Skills!H6,1)))/Inputs!$B$43),G1343*Q1343))*IF(Inputs!$B$38="pvp",1,(1+(Inputs!$B$21+Skills!Q6)/100)*(MIN(Skills!R6,Inputs!$B$37))),0)</f>
        <v/>
      </c>
    </row>
    <row r="1344">
      <c r="A1344">
        <f>Skills!A7</f>
        <v/>
      </c>
      <c r="B1344">
        <f>Skills!B7</f>
        <v/>
      </c>
      <c r="C1344">
        <f>Inputs!$B$3&gt;=66</f>
        <v/>
      </c>
      <c r="D1344">
        <f>IF(Skills!C7=1,60+Inputs!$B$25+Inputs!$B$29,IF(Skills!C7=2,90+Inputs!$B$26+Inputs!$B$29,IF(Skills!C7=3,120+Inputs!$B$27+Inputs!$B$29,MAX(0,(Inputs!$B$3-100)*3)+Inputs!$B$28+Inputs!$B$29)))</f>
        <v/>
      </c>
      <c r="E1344">
        <f>INDEX(FactorTable!$B$2:$Y$301, MATCH(ROUND(MIN(300,MAX(1,D1344)),0), FactorTable!$A$2:$A$301,0), Skills!M7+1)</f>
        <v/>
      </c>
      <c r="F1344">
        <f>IF(Skills!N7=TRUE,(Skills!L7/10)*(E1344/1000),Skills!L7/10)+Skills!O7</f>
        <v/>
      </c>
      <c r="G1344">
        <f>Skills!G7*IF(Skills!H7&gt;0,Skills!I7/Skills!H7,1)</f>
        <v/>
      </c>
      <c r="H1344">
        <f>1-(1-Skills!J7/100)^Skills!K7</f>
        <v/>
      </c>
      <c r="I1344" t="inlineStr">
        <is>
          <t>1</t>
        </is>
      </c>
      <c r="J1344">
        <f>((Inputs!$B$6*(1+Inputs!$B$7/100))+(((Inputs!$B$12*(1+Inputs!$B$13/100))-(Inputs!$B$12*(1+Inputs!$B$13/100)))+0.25*(Inputs!$B$14-Inputs!$B$14))*(1+Inputs!$B$7/100))*(F1344/100)</f>
        <v/>
      </c>
      <c r="K1344">
        <f>J1344*(1+((Inputs!$B$12*(1+Inputs!$B$13/100))*0.01+Inputs!$B$14*0.0025)/100)*(1+Inputs!$B$15/100)*(1+Inputs!$B$16/100)*(5000/(6000+Inputs!$B$42*(1-(Inputs!$B$19+0)/100)))*(1+(Inputs!$B$24+((C1363=TRUE)*(F1363-Calc!F26))+B1373)/100)*(1+1.0*IF(C1352=TRUE,F1352,0)/100)*(1+(IF(Skills!A7="EIGHT_LEGS_EASTON",Inputs!$B$17+((C1360=TRUE)*(F1360-Calc!F23))+((C1364=TRUE)*(F1364-Calc!F27)),Inputs!$B$18+0))/100)*((1+(((C1354=TRUE)*F1354)+((C1361=TRUE)*(F1361-Calc!F24)))/100)*I1344)</f>
        <v/>
      </c>
      <c r="L1344">
        <f>K1344*(MIN(Inputs!$B$22+((C1359=TRUE)*(F1359-Calc!F22)),Inputs!$B$23+0)/100+(Inputs!$B$23+0)/100)/2</f>
        <v/>
      </c>
      <c r="M1344">
        <f>L1344*(1+(Inputs!$B$10+((C1362=TRUE)*(F1362-Calc!F25))+B1372)/100)</f>
        <v/>
      </c>
      <c r="N1344">
        <f>L1344*(1-MIN((Inputs!$B$9+((C1356=TRUE)*(F1356-Calc!F19))+B1367),100)/100)+M1344*(MIN((Inputs!$B$9+((C1356=TRUE)*(F1356-Calc!F19))+B1367),100)/100)</f>
        <v/>
      </c>
      <c r="O1344">
        <f>(1-Summary!$B$55)*T1344+Summary!$B$55*V1344</f>
        <v/>
      </c>
      <c r="P1344">
        <f>IF(B1377=0,0,O1344/B1377)</f>
        <v/>
      </c>
      <c r="Q1344">
        <f>IFERROR(1/IF(Inputs!$B$38="pvp",15,MAX(0.1,Skills!D7-IF(Skills!E7=TRUE,2.5,0))),0)</f>
        <v/>
      </c>
      <c r="R1344">
        <f>IF(AND(Inputs!$B$38&lt;&gt;"pvp",Inputs!$B$43&gt;0),IF(MAX(0,Inputs!$B$43-B1374)&lt;=0,0,(INT(MAX(0,Inputs!$B$43-B1374)/IF(Inputs!$B$38="pvp",15,MAX(0.1,Skills!D7-IF(Skills!E7=TRUE,2.5,0))))+1)),0)</f>
        <v/>
      </c>
      <c r="S1344">
        <f>IFERROR(O1344/N1344,0)</f>
        <v/>
      </c>
      <c r="T1344">
        <f>IF(C1344,(H1344*N1344*IF(AND(Inputs!$B$38&lt;&gt;"pvp",Inputs!$B$43&gt;0),((Skills!G7*((R1344-1)*IF(Skills!H7&gt;0,Skills!I7/Skills!H7,1)+IF(Skills!H7&gt;0,MIN(Skills!I7,MAX(0,MAX(0,Inputs!$B$43-B1374)-((R1344-1)*IF(Inputs!$B$38="pvp",15,MAX(0.1,Skills!D7-IF(Skills!E7=TRUE,2.5,0))))))/Skills!H7,1)))/Inputs!$B$43),G1344*Q1344))*IF(Inputs!$B$38="pvp",1,1+(Inputs!$B$20+0+Skills!P7)/100),0)</f>
        <v/>
      </c>
      <c r="V1344">
        <f>IF(C1344,(H1344*N1344*IF(AND(Inputs!$B$38&lt;&gt;"pvp",Inputs!$B$43&gt;0),((Skills!G7*((R1344-1)*IF(Skills!H7&gt;0,Skills!I7/Skills!H7,1)+IF(Skills!H7&gt;0,MIN(Skills!I7,MAX(0,MAX(0,Inputs!$B$43-B1374)-((R1344-1)*IF(Inputs!$B$38="pvp",15,MAX(0.1,Skills!D7-IF(Skills!E7=TRUE,2.5,0))))))/Skills!H7,1)))/Inputs!$B$43),G1344*Q1344))*IF(Inputs!$B$38="pvp",1,(1+(Inputs!$B$21+Skills!Q7)/100)*(MIN(Skills!R7,Inputs!$B$37))),0)</f>
        <v/>
      </c>
    </row>
    <row r="1345">
      <c r="A1345">
        <f>Skills!A8</f>
        <v/>
      </c>
      <c r="B1345">
        <f>Skills!B8</f>
        <v/>
      </c>
      <c r="C1345">
        <f>Inputs!$B$3&gt;=100</f>
        <v/>
      </c>
      <c r="D1345">
        <f>IF(Skills!C8=1,60+Inputs!$B$25+Inputs!$B$29,IF(Skills!C8=2,90+Inputs!$B$26+Inputs!$B$29,IF(Skills!C8=3,120+Inputs!$B$27+Inputs!$B$29,MAX(0,(Inputs!$B$3-100)*3)+Inputs!$B$28+Inputs!$B$29)))</f>
        <v/>
      </c>
      <c r="E1345">
        <f>INDEX(FactorTable!$B$2:$Y$301, MATCH(ROUND(MIN(300,MAX(1,D1345)),0), FactorTable!$A$2:$A$301,0), Skills!M8+1)</f>
        <v/>
      </c>
      <c r="F1345">
        <f>IF(Skills!N8=TRUE,(Skills!L8/10)*(E1345/1000),Skills!L8/10)+Skills!O8</f>
        <v/>
      </c>
      <c r="G1345">
        <f>Skills!G8*IF(Skills!H8&gt;0,Skills!I8/Skills!H8,1)</f>
        <v/>
      </c>
      <c r="H1345">
        <f>1-(1-Skills!J8/100)^Skills!K8</f>
        <v/>
      </c>
      <c r="I1345" t="inlineStr">
        <is>
          <t>1</t>
        </is>
      </c>
      <c r="J1345">
        <f>((Inputs!$B$6*(1+Inputs!$B$7/100))+(((Inputs!$B$12*(1+Inputs!$B$13/100))-(Inputs!$B$12*(1+Inputs!$B$13/100)))+0.25*(Inputs!$B$14-Inputs!$B$14))*(1+Inputs!$B$7/100))*(F1345/100)</f>
        <v/>
      </c>
      <c r="K1345">
        <f>J1345*(1+((Inputs!$B$12*(1+Inputs!$B$13/100))*0.01+Inputs!$B$14*0.0025)/100)*(1+Inputs!$B$15/100)*(1+Inputs!$B$16/100)*(5000/(6000+Inputs!$B$42*(1-(Inputs!$B$19+0)/100)))*(1+(Inputs!$B$24+((C1363=TRUE)*(F1363-Calc!F26))+B1373)/100)*(1+(IF(Skills!A8="EIGHT_LEGS_EASTON",Inputs!$B$17+((C1360=TRUE)*(F1360-Calc!F23))+((C1364=TRUE)*(F1364-Calc!F27)),Inputs!$B$18+0))/100)*((1+(((C1354=TRUE)*F1354)+((C1361=TRUE)*(F1361-Calc!F24)))/100)*I1345)</f>
        <v/>
      </c>
      <c r="L1345">
        <f>K1345*(MIN(Inputs!$B$22+((C1359=TRUE)*(F1359-Calc!F22)),Inputs!$B$23+0)/100+(Inputs!$B$23+0)/100)/2</f>
        <v/>
      </c>
      <c r="M1345">
        <f>L1345*(1+(Inputs!$B$10+((C1362=TRUE)*(F1362-Calc!F25))+B1372)/100)</f>
        <v/>
      </c>
      <c r="N1345">
        <f>L1345*(1-MIN((Inputs!$B$9+((C1356=TRUE)*(F1356-Calc!F19))+B1367),100)/100)+M1345*(MIN((Inputs!$B$9+((C1356=TRUE)*(F1356-Calc!F19))+B1367),100)/100)</f>
        <v/>
      </c>
      <c r="O1345">
        <f>(1-Summary!$B$55)*T1345+Summary!$B$55*V1345</f>
        <v/>
      </c>
      <c r="P1345">
        <f>IF(B1377=0,0,O1345/B1377)</f>
        <v/>
      </c>
      <c r="Q1345">
        <f>IFERROR(1/IF(Inputs!$B$38="pvp",15,MAX(0.1,Skills!D8-IF(Skills!E8=TRUE,2.5,0))),0)</f>
        <v/>
      </c>
      <c r="R1345">
        <f>IF(AND(Inputs!$B$38&lt;&gt;"pvp",Inputs!$B$43&gt;0),IF(MAX(0,Inputs!$B$43-B1374)&lt;=0,0,(INT(MAX(0,Inputs!$B$43-B1374)/IF(Inputs!$B$38="pvp",15,MAX(0.1,Skills!D8-IF(Skills!E8=TRUE,2.5,0))))+1)),0)</f>
        <v/>
      </c>
      <c r="S1345">
        <f>IFERROR(O1345/N1345,0)</f>
        <v/>
      </c>
      <c r="T1345">
        <f>IF(C1345,(H1345*N1345*IF(AND(Inputs!$B$38&lt;&gt;"pvp",Inputs!$B$43&gt;0),((Skills!G8*((R1345-1)*IF(Skills!H8&gt;0,Skills!I8/Skills!H8,1)+IF(Skills!H8&gt;0,MIN(Skills!I8,MAX(0,MAX(0,Inputs!$B$43-B1374)-((R1345-1)*IF(Inputs!$B$38="pvp",15,MAX(0.1,Skills!D8-IF(Skills!E8=TRUE,2.5,0))))))/Skills!H8,1)))/Inputs!$B$43),G1345*Q1345))*IF(Inputs!$B$38="pvp",1,1+(Inputs!$B$20+0+Skills!P8)/100),0)</f>
        <v/>
      </c>
      <c r="V1345">
        <f>IF(C1345,(H1345*N1345*IF(AND(Inputs!$B$38&lt;&gt;"pvp",Inputs!$B$43&gt;0),((Skills!G8*((R1345-1)*IF(Skills!H8&gt;0,Skills!I8/Skills!H8,1)+IF(Skills!H8&gt;0,MIN(Skills!I8,MAX(0,MAX(0,Inputs!$B$43-B1374)-((R1345-1)*IF(Inputs!$B$38="pvp",15,MAX(0.1,Skills!D8-IF(Skills!E8=TRUE,2.5,0))))))/Skills!H8,1)))/Inputs!$B$43),G1345*Q1345))*IF(Inputs!$B$38="pvp",1,(1+(Inputs!$B$21+Skills!Q8)/100)*(MIN(Skills!R8,Inputs!$B$37))),0)</f>
        <v/>
      </c>
    </row>
    <row r="1346">
      <c r="A1346">
        <f>Skills!A9</f>
        <v/>
      </c>
      <c r="B1346">
        <f>Skills!B9</f>
        <v/>
      </c>
      <c r="C1346">
        <f>Inputs!$B$3&gt;=103</f>
        <v/>
      </c>
      <c r="D1346">
        <f>IF(Skills!C9=1,60+Inputs!$B$25+Inputs!$B$29,IF(Skills!C9=2,90+Inputs!$B$26+Inputs!$B$29,IF(Skills!C9=3,120+Inputs!$B$27+Inputs!$B$29,MAX(0,(Inputs!$B$3-100)*3)+Inputs!$B$28+Inputs!$B$29)))</f>
        <v/>
      </c>
      <c r="E1346">
        <f>INDEX(FactorTable!$B$2:$Y$301, MATCH(ROUND(MIN(300,MAX(1,D1346)),0), FactorTable!$A$2:$A$301,0), Skills!M9+1)</f>
        <v/>
      </c>
      <c r="F1346">
        <f>IF(Skills!N9=TRUE,(Skills!L9/10)*(E1346/1000),Skills!L9/10)+Skills!O9</f>
        <v/>
      </c>
      <c r="G1346">
        <f>Skills!G9*IF(Skills!H9&gt;0,Skills!I9/Skills!H9,1)</f>
        <v/>
      </c>
      <c r="H1346">
        <f>1-(1-Skills!J9/100)^Skills!K9</f>
        <v/>
      </c>
      <c r="I1346" t="inlineStr">
        <is>
          <t>1</t>
        </is>
      </c>
      <c r="J1346">
        <f>((Inputs!$B$6*(1+Inputs!$B$7/100))+(((Inputs!$B$12*(1+Inputs!$B$13/100))-(Inputs!$B$12*(1+Inputs!$B$13/100)))+0.25*(Inputs!$B$14-Inputs!$B$14))*(1+Inputs!$B$7/100))*(F1346/100)</f>
        <v/>
      </c>
      <c r="K1346">
        <f>J1346*(1+((Inputs!$B$12*(1+Inputs!$B$13/100))*0.01+Inputs!$B$14*0.0025)/100)*(1+Inputs!$B$15/100)*(1+Inputs!$B$16/100)*(5000/(6000+Inputs!$B$42*(1-(Inputs!$B$19+0)/100)))*(1+(Inputs!$B$24+((C1363=TRUE)*(F1363-Calc!F26))+B1373)/100)*(1+(IF(Skills!A9="EIGHT_LEGS_EASTON",Inputs!$B$17+((C1360=TRUE)*(F1360-Calc!F23))+((C1364=TRUE)*(F1364-Calc!F27)),Inputs!$B$18+0))/100)*((1+(((C1354=TRUE)*F1354)+((C1361=TRUE)*(F1361-Calc!F24)))/100)*I1346)</f>
        <v/>
      </c>
      <c r="L1346">
        <f>K1346*(MIN(Inputs!$B$22+((C1359=TRUE)*(F1359-Calc!F22)),Inputs!$B$23+0)/100+(Inputs!$B$23+0)/100)/2</f>
        <v/>
      </c>
      <c r="M1346">
        <f>L1346*(1+(Inputs!$B$10+((C1362=TRUE)*(F1362-Calc!F25))+B1372)/100)</f>
        <v/>
      </c>
      <c r="N1346">
        <f>L1346*(1-MIN((Inputs!$B$9+((C1356=TRUE)*(F1356-Calc!F19))+B1367),100)/100)+M1346*(MIN((Inputs!$B$9+((C1356=TRUE)*(F1356-Calc!F19))+B1367),100)/100)</f>
        <v/>
      </c>
      <c r="O1346">
        <f>(1-Summary!$B$55)*T1346+Summary!$B$55*V1346</f>
        <v/>
      </c>
      <c r="P1346">
        <f>IF(B1377=0,0,O1346/B1377)</f>
        <v/>
      </c>
      <c r="Q1346">
        <f>IFERROR(1/IF(Inputs!$B$38="pvp",15,MAX(0.1,Skills!D9-IF(Skills!E9=TRUE,2.5,0))),0)</f>
        <v/>
      </c>
      <c r="R1346">
        <f>IF(AND(Inputs!$B$38&lt;&gt;"pvp",Inputs!$B$43&gt;0),IF(MAX(0,Inputs!$B$43-B1374)&lt;=0,0,(INT(MAX(0,Inputs!$B$43-B1374)/IF(Inputs!$B$38="pvp",15,MAX(0.1,Skills!D9-IF(Skills!E9=TRUE,2.5,0))))+1)),0)</f>
        <v/>
      </c>
      <c r="S1346">
        <f>IFERROR(O1346/N1346,0)</f>
        <v/>
      </c>
      <c r="T1346">
        <f>IF(C1346,(H1346*N1346*IF(AND(Inputs!$B$38&lt;&gt;"pvp",Inputs!$B$43&gt;0),((Skills!G9*((R1346-1)*IF(Skills!H9&gt;0,Skills!I9/Skills!H9,1)+IF(Skills!H9&gt;0,MIN(Skills!I9,MAX(0,MAX(0,Inputs!$B$43-B1374)-((R1346-1)*IF(Inputs!$B$38="pvp",15,MAX(0.1,Skills!D9-IF(Skills!E9=TRUE,2.5,0))))))/Skills!H9,1)))/Inputs!$B$43),G1346*Q1346))*IF(Inputs!$B$38="pvp",1,1+(Inputs!$B$20+0+Skills!P9)/100),0)</f>
        <v/>
      </c>
      <c r="V1346">
        <f>IF(C1346,(H1346*N1346*IF(AND(Inputs!$B$38&lt;&gt;"pvp",Inputs!$B$43&gt;0),((Skills!G9*((R1346-1)*IF(Skills!H9&gt;0,Skills!I9/Skills!H9,1)+IF(Skills!H9&gt;0,MIN(Skills!I9,MAX(0,MAX(0,Inputs!$B$43-B1374)-((R1346-1)*IF(Inputs!$B$38="pvp",15,MAX(0.1,Skills!D9-IF(Skills!E9=TRUE,2.5,0))))))/Skills!H9,1)))/Inputs!$B$43),G1346*Q1346))*IF(Inputs!$B$38="pvp",1,(1+(Inputs!$B$21+Skills!Q9)/100)*(MIN(Skills!R9,Inputs!$B$37))),0)</f>
        <v/>
      </c>
    </row>
    <row r="1347">
      <c r="A1347">
        <f>Skills!A10</f>
        <v/>
      </c>
      <c r="B1347">
        <f>Skills!B10</f>
        <v/>
      </c>
      <c r="C1347">
        <f>Inputs!$B$3&gt;=113</f>
        <v/>
      </c>
      <c r="D1347">
        <f>IF(Skills!C10=1,60+Inputs!$B$25+Inputs!$B$29,IF(Skills!C10=2,90+Inputs!$B$26+Inputs!$B$29,IF(Skills!C10=3,120+Inputs!$B$27+Inputs!$B$29,MAX(0,(Inputs!$B$3-100)*3)+Inputs!$B$28+Inputs!$B$29)))</f>
        <v/>
      </c>
      <c r="E1347">
        <f>INDEX(FactorTable!$B$2:$Y$301, MATCH(ROUND(MIN(300,MAX(1,D1347)),0), FactorTable!$A$2:$A$301,0), Skills!M10+1)</f>
        <v/>
      </c>
      <c r="F1347">
        <f>IF(Skills!N10=TRUE,(Skills!L10/10)*(E1347/1000),Skills!L10/10)+Skills!O10</f>
        <v/>
      </c>
      <c r="G1347">
        <f>Skills!G10*IF(Skills!H10&gt;0,Skills!I10/Skills!H10,1)</f>
        <v/>
      </c>
      <c r="H1347">
        <f>1-(1-Skills!J10/100)^Skills!K10</f>
        <v/>
      </c>
      <c r="I1347" t="inlineStr">
        <is>
          <t>1</t>
        </is>
      </c>
      <c r="J1347">
        <f>((Inputs!$B$6*(1+Inputs!$B$7/100))+(((Inputs!$B$12*(1+Inputs!$B$13/100))-(Inputs!$B$12*(1+Inputs!$B$13/100)))+0.25*(Inputs!$B$14-Inputs!$B$14))*(1+Inputs!$B$7/100))*(F1347/100)</f>
        <v/>
      </c>
      <c r="K1347">
        <f>J1347*(1+((Inputs!$B$12*(1+Inputs!$B$13/100))*0.01+Inputs!$B$14*0.0025)/100)*(1+Inputs!$B$15/100)*(1+Inputs!$B$16/100)*(5000/(6000+Inputs!$B$42*(1-(Inputs!$B$19+0)/100)))*(1+(Inputs!$B$24+((C1363=TRUE)*(F1363-Calc!F26))+B1373)/100)*(1+(IF(Skills!A10="EIGHT_LEGS_EASTON",Inputs!$B$17+((C1360=TRUE)*(F1360-Calc!F23))+((C1364=TRUE)*(F1364-Calc!F27)),Inputs!$B$18+0))/100)*((1+(((C1354=TRUE)*F1354)+((C1361=TRUE)*(F1361-Calc!F24)))/100)*I1347)</f>
        <v/>
      </c>
      <c r="L1347">
        <f>K1347*(MIN(Inputs!$B$22+((C1359=TRUE)*(F1359-Calc!F22)),Inputs!$B$23+0)/100+(Inputs!$B$23+0)/100)/2</f>
        <v/>
      </c>
      <c r="M1347">
        <f>L1347*(1+(Inputs!$B$10+((C1362=TRUE)*(F1362-Calc!F25))+B1372)/100)</f>
        <v/>
      </c>
      <c r="N1347">
        <f>L1347*(1-MIN((Inputs!$B$9+((C1356=TRUE)*(F1356-Calc!F19))+B1367),100)/100)+M1347*(MIN((Inputs!$B$9+((C1356=TRUE)*(F1356-Calc!F19))+B1367),100)/100)</f>
        <v/>
      </c>
      <c r="O1347">
        <f>(1-Summary!$B$55)*T1347+Summary!$B$55*V1347</f>
        <v/>
      </c>
      <c r="P1347">
        <f>IF(B1377=0,0,O1347/B1377)</f>
        <v/>
      </c>
      <c r="Q1347">
        <f>IFERROR(1/IF(Inputs!$B$38="pvp",15,MAX(0.1,Skills!D10-IF(Skills!E10=TRUE,2.5,0))),0)</f>
        <v/>
      </c>
      <c r="R1347">
        <f>IF(AND(Inputs!$B$38&lt;&gt;"pvp",Inputs!$B$43&gt;0),IF(MAX(0,Inputs!$B$43-B1374)&lt;=0,0,(INT(MAX(0,Inputs!$B$43-B1374)/IF(Inputs!$B$38="pvp",15,MAX(0.1,Skills!D10-IF(Skills!E10=TRUE,2.5,0))))+1)),0)</f>
        <v/>
      </c>
      <c r="S1347">
        <f>IFERROR(O1347/N1347,0)</f>
        <v/>
      </c>
      <c r="T1347">
        <f>IF(C1347,(H1347*N1347*IF(AND(Inputs!$B$38&lt;&gt;"pvp",Inputs!$B$43&gt;0),((Skills!G10*((R1347-1)*IF(Skills!H10&gt;0,Skills!I10/Skills!H10,1)+IF(Skills!H10&gt;0,MIN(Skills!I10,MAX(0,MAX(0,Inputs!$B$43-B1374)-((R1347-1)*IF(Inputs!$B$38="pvp",15,MAX(0.1,Skills!D10-IF(Skills!E10=TRUE,2.5,0))))))/Skills!H10,1)))/Inputs!$B$43),G1347*Q1347))*IF(Inputs!$B$38="pvp",1,1+(Inputs!$B$20+0+Skills!P10)/100),0)</f>
        <v/>
      </c>
      <c r="V1347">
        <f>IF(C1347,(H1347*N1347*IF(AND(Inputs!$B$38&lt;&gt;"pvp",Inputs!$B$43&gt;0),((Skills!G10*((R1347-1)*IF(Skills!H10&gt;0,Skills!I10/Skills!H10,1)+IF(Skills!H10&gt;0,MIN(Skills!I10,MAX(0,MAX(0,Inputs!$B$43-B1374)-((R1347-1)*IF(Inputs!$B$38="pvp",15,MAX(0.1,Skills!D10-IF(Skills!E10=TRUE,2.5,0))))))/Skills!H10,1)))/Inputs!$B$43),G1347*Q1347))*IF(Inputs!$B$38="pvp",1,(1+(Inputs!$B$21+Skills!Q10)/100)*(MIN(Skills!R10,Inputs!$B$37))),0)</f>
        <v/>
      </c>
    </row>
    <row r="1348">
      <c r="A1348">
        <f>Skills!A11</f>
        <v/>
      </c>
      <c r="B1348">
        <f>Skills!B11</f>
        <v/>
      </c>
      <c r="C1348">
        <f>Inputs!$B$3&gt;=107</f>
        <v/>
      </c>
      <c r="D1348">
        <f>IF(Skills!C11=1,60+Inputs!$B$25+Inputs!$B$29,IF(Skills!C11=2,90+Inputs!$B$26+Inputs!$B$29,IF(Skills!C11=3,120+Inputs!$B$27+Inputs!$B$29,MAX(0,(Inputs!$B$3-100)*3)+Inputs!$B$28+Inputs!$B$29)))</f>
        <v/>
      </c>
      <c r="E1348">
        <f>INDEX(FactorTable!$B$2:$Y$301, MATCH(ROUND(MIN(300,MAX(1,D1348)),0), FactorTable!$A$2:$A$301,0), Skills!M11+1)</f>
        <v/>
      </c>
      <c r="F1348">
        <f>IF(Skills!N11=TRUE,(Skills!L11/10)*(E1348/1000),Skills!L11/10)+Skills!O11</f>
        <v/>
      </c>
      <c r="G1348">
        <f>Skills!G11*IF(Skills!H11&gt;0,Skills!I11/Skills!H11,1)</f>
        <v/>
      </c>
      <c r="H1348">
        <f>1-(1-Skills!J11/100)^Skills!K11</f>
        <v/>
      </c>
      <c r="I1348" t="inlineStr">
        <is>
          <t>1</t>
        </is>
      </c>
      <c r="J1348">
        <f>((Inputs!$B$6*(1+Inputs!$B$7/100))+(((Inputs!$B$12*(1+Inputs!$B$13/100))-(Inputs!$B$12*(1+Inputs!$B$13/100)))+0.25*(Inputs!$B$14-Inputs!$B$14))*(1+Inputs!$B$7/100))*(F1348/100)</f>
        <v/>
      </c>
      <c r="K1348">
        <f>J1348*(1+((Inputs!$B$12*(1+Inputs!$B$13/100))*0.01+Inputs!$B$14*0.0025)/100)*(1+Inputs!$B$15/100)*(1+Inputs!$B$16/100)*(5000/(6000+Inputs!$B$42*(1-(Inputs!$B$19+0)/100)))*(1+(Inputs!$B$24+((C1363=TRUE)*(F1363-Calc!F26))+B1373)/100)*(1+(IF(Skills!A11="EIGHT_LEGS_EASTON",Inputs!$B$17+((C1360=TRUE)*(F1360-Calc!F23))+((C1364=TRUE)*(F1364-Calc!F27)),Inputs!$B$18+0))/100)*((1+(((C1354=TRUE)*F1354)+((C1361=TRUE)*(F1361-Calc!F24)))/100)*I1348)</f>
        <v/>
      </c>
      <c r="L1348">
        <f>K1348*(MIN(Inputs!$B$22+((C1359=TRUE)*(F1359-Calc!F22)),Inputs!$B$23+0)/100+(Inputs!$B$23+0)/100)/2</f>
        <v/>
      </c>
      <c r="M1348">
        <f>L1348*(1+(Inputs!$B$10+((C1362=TRUE)*(F1362-Calc!F25))+B1372)/100)</f>
        <v/>
      </c>
      <c r="N1348">
        <f>L1348*(1-MIN((Inputs!$B$9+((C1356=TRUE)*(F1356-Calc!F19))+B1367),100)/100)+M1348*(MIN((Inputs!$B$9+((C1356=TRUE)*(F1356-Calc!F19))+B1367),100)/100)</f>
        <v/>
      </c>
      <c r="O1348">
        <f>(1-Summary!$B$55)*T1348+Summary!$B$55*V1348</f>
        <v/>
      </c>
      <c r="P1348">
        <f>IF(B1377=0,0,O1348/B1377)</f>
        <v/>
      </c>
      <c r="Q1348">
        <f>IFERROR(1/IF(Inputs!$B$38="pvp",15,MAX(0.1,Skills!D11-IF(Skills!E11=TRUE,2.5,0))),0)</f>
        <v/>
      </c>
      <c r="R1348">
        <f>IF(AND(Inputs!$B$38&lt;&gt;"pvp",Inputs!$B$43&gt;0),IF(MAX(0,Inputs!$B$43-B1374)&lt;=0,0,(INT(MAX(0,Inputs!$B$43-B1374)/IF(Inputs!$B$38="pvp",15,MAX(0.1,Skills!D11-IF(Skills!E11=TRUE,2.5,0))))+1)),0)</f>
        <v/>
      </c>
      <c r="S1348">
        <f>IFERROR(O1348/N1348,0)</f>
        <v/>
      </c>
      <c r="T1348">
        <f>IF(C1348,(H1348*N1348*IF(AND(Inputs!$B$38&lt;&gt;"pvp",Inputs!$B$43&gt;0),((Skills!G11*((R1348-1)*IF(Skills!H11&gt;0,Skills!I11/Skills!H11,1)+IF(Skills!H11&gt;0,MIN(Skills!I11,MAX(0,MAX(0,Inputs!$B$43-B1374)-((R1348-1)*IF(Inputs!$B$38="pvp",15,MAX(0.1,Skills!D11-IF(Skills!E11=TRUE,2.5,0))))))/Skills!H11,1)))/Inputs!$B$43),G1348*Q1348))*IF(Inputs!$B$38="pvp",1,1+(Inputs!$B$20+0+Skills!P11)/100),0)</f>
        <v/>
      </c>
      <c r="V1348">
        <f>IF(C1348,(H1348*N1348*IF(AND(Inputs!$B$38&lt;&gt;"pvp",Inputs!$B$43&gt;0),((Skills!G11*((R1348-1)*IF(Skills!H11&gt;0,Skills!I11/Skills!H11,1)+IF(Skills!H11&gt;0,MIN(Skills!I11,MAX(0,MAX(0,Inputs!$B$43-B1374)-((R1348-1)*IF(Inputs!$B$38="pvp",15,MAX(0.1,Skills!D11-IF(Skills!E11=TRUE,2.5,0))))))/Skills!H11,1)))/Inputs!$B$43),G1348*Q1348))*IF(Inputs!$B$38="pvp",1,(1+(Inputs!$B$21+Skills!Q11)/100)*(MIN(Skills!R11,Inputs!$B$37))),0)</f>
        <v/>
      </c>
    </row>
    <row r="1349">
      <c r="A1349">
        <f>Skills!A12</f>
        <v/>
      </c>
      <c r="B1349">
        <f>Skills!B12</f>
        <v/>
      </c>
      <c r="C1349">
        <f>Inputs!$B$3&gt;=110</f>
        <v/>
      </c>
      <c r="D1349">
        <f>IF(Skills!C12=1,60+Inputs!$B$25+Inputs!$B$29,IF(Skills!C12=2,90+Inputs!$B$26+Inputs!$B$29,IF(Skills!C12=3,120+Inputs!$B$27+Inputs!$B$29,MAX(0,(Inputs!$B$3-100)*3)+Inputs!$B$28+Inputs!$B$29)))</f>
        <v/>
      </c>
      <c r="E1349">
        <f>INDEX(FactorTable!$B$2:$Y$301, MATCH(ROUND(MIN(300,MAX(1,D1349)),0), FactorTable!$A$2:$A$301,0), Skills!M12+1)</f>
        <v/>
      </c>
      <c r="F1349">
        <f>IF(Skills!N12=TRUE,(Skills!L12/10)*(E1349/1000),Skills!L12/10)+Skills!O12</f>
        <v/>
      </c>
      <c r="G1349">
        <f>Skills!G12*IF(Skills!H12&gt;0,Skills!I12/Skills!H12,1)</f>
        <v/>
      </c>
      <c r="H1349">
        <f>1-(1-Skills!J12/100)^Skills!K12</f>
        <v/>
      </c>
      <c r="I1349" t="inlineStr">
        <is>
          <t>1</t>
        </is>
      </c>
      <c r="J1349">
        <f>((Inputs!$B$6*(1+Inputs!$B$7/100))+(((Inputs!$B$12*(1+Inputs!$B$13/100))-(Inputs!$B$12*(1+Inputs!$B$13/100)))+0.25*(Inputs!$B$14-Inputs!$B$14))*(1+Inputs!$B$7/100))*(F1349/100)</f>
        <v/>
      </c>
      <c r="K1349">
        <f>J1349*(1+((Inputs!$B$12*(1+Inputs!$B$13/100))*0.01+Inputs!$B$14*0.0025)/100)*(1+Inputs!$B$15/100)*(1+Inputs!$B$16/100)*(5000/(6000+Inputs!$B$42*(1-(Inputs!$B$19+0)/100)))*(1+(Inputs!$B$24+((C1363=TRUE)*(F1363-Calc!F26))+B1373)/100)*(1+(IF(Skills!A12="EIGHT_LEGS_EASTON",Inputs!$B$17+((C1360=TRUE)*(F1360-Calc!F23))+((C1364=TRUE)*(F1364-Calc!F27)),Inputs!$B$18+0))/100)*((1+(((C1354=TRUE)*F1354)+((C1361=TRUE)*(F1361-Calc!F24)))/100)*I1349)</f>
        <v/>
      </c>
      <c r="L1349">
        <f>K1349*(MIN(Inputs!$B$22+((C1359=TRUE)*(F1359-Calc!F22)),Inputs!$B$23+0)/100+(Inputs!$B$23+0)/100)/2</f>
        <v/>
      </c>
      <c r="M1349">
        <f>L1349*(1+(Inputs!$B$10+((C1362=TRUE)*(F1362-Calc!F25))+B1372)/100)</f>
        <v/>
      </c>
      <c r="N1349">
        <f>L1349*(1-MIN((Inputs!$B$9+((C1356=TRUE)*(F1356-Calc!F19))+B1367),100)/100)+M1349*(MIN((Inputs!$B$9+((C1356=TRUE)*(F1356-Calc!F19))+B1367),100)/100)</f>
        <v/>
      </c>
      <c r="O1349">
        <f>(1-Summary!$B$55)*T1349+Summary!$B$55*V1349</f>
        <v/>
      </c>
      <c r="P1349">
        <f>IF(B1377=0,0,O1349/B1377)</f>
        <v/>
      </c>
      <c r="Q1349">
        <f>IFERROR(1/IF(Inputs!$B$38="pvp",15,MAX(0.1,Skills!D12-IF(Skills!E12=TRUE,2.5,0))),0)</f>
        <v/>
      </c>
      <c r="R1349">
        <f>IF(AND(Inputs!$B$38&lt;&gt;"pvp",Inputs!$B$43&gt;0),IF(MAX(0,Inputs!$B$43-B1374)&lt;=0,0,(INT(MAX(0,Inputs!$B$43-B1374)/IF(Inputs!$B$38="pvp",15,MAX(0.1,Skills!D12-IF(Skills!E12=TRUE,2.5,0))))+1)),0)</f>
        <v/>
      </c>
      <c r="S1349">
        <f>IFERROR(O1349/N1349,0)</f>
        <v/>
      </c>
      <c r="T1349">
        <f>IF(C1349,(H1349*N1349*IF(AND(Inputs!$B$38&lt;&gt;"pvp",Inputs!$B$43&gt;0),((Skills!G12*((R1349-1)*IF(Skills!H12&gt;0,Skills!I12/Skills!H12,1)+IF(Skills!H12&gt;0,MIN(Skills!I12,MAX(0,MAX(0,Inputs!$B$43-B1374)-((R1349-1)*IF(Inputs!$B$38="pvp",15,MAX(0.1,Skills!D12-IF(Skills!E12=TRUE,2.5,0))))))/Skills!H12,1)))/Inputs!$B$43),G1349*Q1349))*IF(Inputs!$B$38="pvp",1,1+(Inputs!$B$20+0+Skills!P12)/100),0)</f>
        <v/>
      </c>
      <c r="V1349">
        <f>IF(C1349,(H1349*N1349*IF(AND(Inputs!$B$38&lt;&gt;"pvp",Inputs!$B$43&gt;0),((Skills!G12*((R1349-1)*IF(Skills!H12&gt;0,Skills!I12/Skills!H12,1)+IF(Skills!H12&gt;0,MIN(Skills!I12,MAX(0,MAX(0,Inputs!$B$43-B1374)-((R1349-1)*IF(Inputs!$B$38="pvp",15,MAX(0.1,Skills!D12-IF(Skills!E12=TRUE,2.5,0))))))/Skills!H12,1)))/Inputs!$B$43),G1349*Q1349))*IF(Inputs!$B$38="pvp",1,(1+(Inputs!$B$21+Skills!Q12)/100)*(MIN(Skills!R12,Inputs!$B$37))),0)</f>
        <v/>
      </c>
    </row>
    <row r="1350">
      <c r="A1350">
        <f>Skills!A13</f>
        <v/>
      </c>
      <c r="B1350">
        <f>Skills!B13</f>
        <v/>
      </c>
      <c r="C1350">
        <f>Inputs!$B$3&gt;=110</f>
        <v/>
      </c>
      <c r="D1350">
        <f>IF(Skills!C13=1,60+Inputs!$B$25+Inputs!$B$29,IF(Skills!C13=2,90+Inputs!$B$26+Inputs!$B$29,IF(Skills!C13=3,120+Inputs!$B$27+Inputs!$B$29,MAX(0,(Inputs!$B$3-100)*3)+Inputs!$B$28+Inputs!$B$29)))</f>
        <v/>
      </c>
      <c r="E1350">
        <f>INDEX(FactorTable!$B$2:$Y$301, MATCH(ROUND(MIN(300,MAX(1,D1350)),0), FactorTable!$A$2:$A$301,0), Skills!M13+1)</f>
        <v/>
      </c>
      <c r="F1350">
        <f>IF(Skills!N13=TRUE,(Skills!L13/10)*(E1350/1000),Skills!L13/10)+Skills!O13</f>
        <v/>
      </c>
      <c r="G1350">
        <f>Skills!G13*IF(Skills!H13&gt;0,Skills!I13/Skills!H13,1)</f>
        <v/>
      </c>
      <c r="H1350">
        <f>1-(1-Skills!J13/100)^Skills!K13</f>
        <v/>
      </c>
      <c r="I1350" t="inlineStr">
        <is>
          <t>1</t>
        </is>
      </c>
      <c r="J1350">
        <f>((Inputs!$B$6*(1+Inputs!$B$7/100))+(((Inputs!$B$12*(1+Inputs!$B$13/100))-(Inputs!$B$12*(1+Inputs!$B$13/100)))+0.25*(Inputs!$B$14-Inputs!$B$14))*(1+Inputs!$B$7/100))*(F1350/100)</f>
        <v/>
      </c>
      <c r="K1350">
        <f>J1350*(1+((Inputs!$B$12*(1+Inputs!$B$13/100))*0.01+Inputs!$B$14*0.0025)/100)*(1+Inputs!$B$15/100)*(1+Inputs!$B$16/100)*(5000/(6000+Inputs!$B$42*(1-(Inputs!$B$19+0)/100)))*(1+(Inputs!$B$24+((C1363=TRUE)*(F1363-Calc!F26))+B1373)/100)*(1+(IF(Skills!A13="EIGHT_LEGS_EASTON",Inputs!$B$17+((C1360=TRUE)*(F1360-Calc!F23))+((C1364=TRUE)*(F1364-Calc!F27)),Inputs!$B$18+0))/100)*((1+(((C1354=TRUE)*F1354)+((C1361=TRUE)*(F1361-Calc!F24)))/100)*I1350)</f>
        <v/>
      </c>
      <c r="L1350">
        <f>K1350*(MIN(Inputs!$B$22+((C1359=TRUE)*(F1359-Calc!F22)),Inputs!$B$23+0)/100+(Inputs!$B$23+0)/100)/2</f>
        <v/>
      </c>
      <c r="M1350">
        <f>L1350*(1+(Inputs!$B$10+((C1362=TRUE)*(F1362-Calc!F25))+B1372)/100)</f>
        <v/>
      </c>
      <c r="N1350">
        <f>L1350*(1-MIN((Inputs!$B$9+((C1356=TRUE)*(F1356-Calc!F19))+B1367),100)/100)+M1350*(MIN((Inputs!$B$9+((C1356=TRUE)*(F1356-Calc!F19))+B1367),100)/100)</f>
        <v/>
      </c>
      <c r="O1350">
        <f>(1-Summary!$B$55)*T1350+Summary!$B$55*V1350</f>
        <v/>
      </c>
      <c r="P1350">
        <f>IF(B1377=0,0,O1350/B1377)</f>
        <v/>
      </c>
      <c r="Q1350">
        <f>IFERROR(1/IF(Inputs!$B$38="pvp",15,MAX(0.1,Skills!D13-IF(Skills!E13=TRUE,2.5,0))),0)</f>
        <v/>
      </c>
      <c r="R1350">
        <f>IF(AND(Inputs!$B$38&lt;&gt;"pvp",Inputs!$B$43&gt;0),IF(MAX(0,Inputs!$B$43-B1374)&lt;=0,0,(INT(MAX(0,Inputs!$B$43-B1374)/IF(Inputs!$B$38="pvp",15,MAX(0.1,Skills!D13-IF(Skills!E13=TRUE,2.5,0))))+1)),0)</f>
        <v/>
      </c>
      <c r="S1350">
        <f>IFERROR(O1350/N1350,0)</f>
        <v/>
      </c>
      <c r="T1350">
        <f>IF(C1350,(H1350*N1350*IF(AND(Inputs!$B$38&lt;&gt;"pvp",Inputs!$B$43&gt;0),((Skills!G13*((R1350-1)*IF(Skills!H13&gt;0,Skills!I13/Skills!H13,1)+IF(Skills!H13&gt;0,MIN(Skills!I13,MAX(0,MAX(0,Inputs!$B$43-B1374)-((R1350-1)*IF(Inputs!$B$38="pvp",15,MAX(0.1,Skills!D13-IF(Skills!E13=TRUE,2.5,0))))))/Skills!H13,1)))/Inputs!$B$43),G1350*Q1350))*IF(Inputs!$B$38="pvp",1,1+(Inputs!$B$20+0+Skills!P13)/100),0)</f>
        <v/>
      </c>
      <c r="V1350">
        <f>IF(C1350,(H1350*N1350*IF(AND(Inputs!$B$38&lt;&gt;"pvp",Inputs!$B$43&gt;0),((Skills!G13*((R1350-1)*IF(Skills!H13&gt;0,Skills!I13/Skills!H13,1)+IF(Skills!H13&gt;0,MIN(Skills!I13,MAX(0,MAX(0,Inputs!$B$43-B1374)-((R1350-1)*IF(Inputs!$B$38="pvp",15,MAX(0.1,Skills!D13-IF(Skills!E13=TRUE,2.5,0))))))/Skills!H13,1)))/Inputs!$B$43),G1350*Q1350))*IF(Inputs!$B$38="pvp",1,(1+(Inputs!$B$21+Skills!Q13)/100)*(MIN(Skills!R13,Inputs!$B$37))),0)</f>
        <v/>
      </c>
    </row>
    <row r="1351">
      <c r="A1351">
        <f>Skills!A14</f>
        <v/>
      </c>
      <c r="B1351">
        <f>Skills!B14</f>
        <v/>
      </c>
      <c r="C1351">
        <f>Inputs!$B$3&gt;=125</f>
        <v/>
      </c>
      <c r="D1351">
        <f>IF(Skills!C14=1,60+Inputs!$B$25+Inputs!$B$29,IF(Skills!C14=2,90+Inputs!$B$26+Inputs!$B$29,IF(Skills!C14=3,120+Inputs!$B$27+Inputs!$B$29,MAX(0,(Inputs!$B$3-100)*3)+Inputs!$B$28+Inputs!$B$29)))</f>
        <v/>
      </c>
      <c r="E1351">
        <f>INDEX(FactorTable!$B$2:$Y$301, MATCH(ROUND(MIN(300,MAX(1,D1351)),0), FactorTable!$A$2:$A$301,0), Skills!M14+1)</f>
        <v/>
      </c>
      <c r="F1351">
        <f>IF(Skills!N14=TRUE,(Skills!L14/10)*(E1351/1000),Skills!L14/10)+Skills!O14</f>
        <v/>
      </c>
      <c r="G1351">
        <f>Skills!G14*IF(Skills!H14&gt;0,Skills!I14/Skills!H14,1)</f>
        <v/>
      </c>
      <c r="H1351">
        <f>1-(1-Skills!J14/100)^Skills!K14</f>
        <v/>
      </c>
      <c r="I1351" t="inlineStr">
        <is>
          <t>1</t>
        </is>
      </c>
      <c r="J1351">
        <f>((Inputs!$B$6*(1+Inputs!$B$7/100))+(((Inputs!$B$12*(1+Inputs!$B$13/100))-(Inputs!$B$12*(1+Inputs!$B$13/100)))+0.25*(Inputs!$B$14-Inputs!$B$14))*(1+Inputs!$B$7/100))*(F1351/100)</f>
        <v/>
      </c>
      <c r="K1351">
        <f>J1351*(1+((Inputs!$B$12*(1+Inputs!$B$13/100))*0.01+Inputs!$B$14*0.0025)/100)*(1+Inputs!$B$15/100)*(1+Inputs!$B$16/100)*(5000/(6000+Inputs!$B$42*(1-(Inputs!$B$19+0)/100)))*(1+(Inputs!$B$24+((C1363=TRUE)*(F1363-Calc!F26))+B1373)/100)*(1+(IF(Skills!A14="EIGHT_LEGS_EASTON",Inputs!$B$17+((C1360=TRUE)*(F1360-Calc!F23))+((C1364=TRUE)*(F1364-Calc!F27)),Inputs!$B$18+0))/100)*((1+(((C1354=TRUE)*F1354)+((C1361=TRUE)*(F1361-Calc!F24)))/100)*I1351)</f>
        <v/>
      </c>
      <c r="L1351">
        <f>K1351*(MIN(Inputs!$B$22+((C1359=TRUE)*(F1359-Calc!F22)),Inputs!$B$23+0)/100+(Inputs!$B$23+0)/100)/2</f>
        <v/>
      </c>
      <c r="M1351">
        <f>L1351*(1+(Inputs!$B$10+((C1362=TRUE)*(F1362-Calc!F25))+B1372)/100)</f>
        <v/>
      </c>
      <c r="N1351">
        <f>L1351*(1-MIN((Inputs!$B$9+((C1356=TRUE)*(F1356-Calc!F19))+B1367),100)/100)+M1351*(MIN((Inputs!$B$9+((C1356=TRUE)*(F1356-Calc!F19))+B1367),100)/100)</f>
        <v/>
      </c>
      <c r="O1351">
        <f>(1-Summary!$B$55)*T1351+Summary!$B$55*V1351</f>
        <v/>
      </c>
      <c r="P1351">
        <f>IF(B1377=0,0,O1351/B1377)</f>
        <v/>
      </c>
      <c r="Q1351" t="n">
        <v>0</v>
      </c>
      <c r="R1351" t="n">
        <v>0</v>
      </c>
      <c r="S1351">
        <f>IFERROR(O1351/N1351,0)</f>
        <v/>
      </c>
      <c r="T1351">
        <f>IF(C1351,(H1351*N1351*(B1371+IF(AND(Inputs!$B$38&lt;&gt;"pvp",Inputs!$B$43&gt;0),((Skills!G8*((R1345-1)*IF(Skills!H8&gt;0,Skills!I8/Skills!H8,1)+IF(Skills!H8&gt;0,MIN(Skills!I8,MAX(0,MAX(0,Inputs!$B$43-B1374)-((R1345-1)*IF(Inputs!$B$38="pvp",15,MAX(0.1,Skills!D8-IF(Skills!E8=TRUE,2.5,0))))))/Skills!H8,1)))/Inputs!$B$43),G1345*Q1345)+IF(AND(Inputs!$B$38&lt;&gt;"pvp",Inputs!$B$43&gt;0),((Skills!G11*((R1348-1)*IF(Skills!H11&gt;0,Skills!I11/Skills!H11,1)+IF(Skills!H11&gt;0,MIN(Skills!I11,MAX(0,MAX(0,Inputs!$B$43-B1374)-((R1348-1)*IF(Inputs!$B$38="pvp",15,MAX(0.1,Skills!D11-IF(Skills!E11=TRUE,2.5,0))))))/Skills!H11,1)))/Inputs!$B$43),G1348*Q1348)))*IF(Inputs!$B$38="pvp",1,1+(Inputs!$B$20+0+Skills!P14)/100),0)</f>
        <v/>
      </c>
      <c r="V1351">
        <f>IF(C1351,(H1351*N1351*(B1371+IF(AND(Inputs!$B$38&lt;&gt;"pvp",Inputs!$B$43&gt;0),((Skills!G8*((R1345-1)*IF(Skills!H8&gt;0,Skills!I8/Skills!H8,1)+IF(Skills!H8&gt;0,MIN(Skills!I8,MAX(0,MAX(0,Inputs!$B$43-B1374)-((R1345-1)*IF(Inputs!$B$38="pvp",15,MAX(0.1,Skills!D8-IF(Skills!E8=TRUE,2.5,0))))))/Skills!H8,1)))/Inputs!$B$43),G1345*Q1345)+IF(AND(Inputs!$B$38&lt;&gt;"pvp",Inputs!$B$43&gt;0),((Skills!G11*((R1348-1)*IF(Skills!H11&gt;0,Skills!I11/Skills!H11,1)+IF(Skills!H11&gt;0,MIN(Skills!I11,MAX(0,MAX(0,Inputs!$B$43-B1374)-((R1348-1)*IF(Inputs!$B$38="pvp",15,MAX(0.1,Skills!D11-IF(Skills!E11=TRUE,2.5,0))))))/Skills!H11,1)))/Inputs!$B$43),G1348*Q1348)))*IF(Inputs!$B$38="pvp",1,(1+(Inputs!$B$21+Skills!Q14)/100)*(MIN(Skills!R14,Inputs!$B$37))),0)</f>
        <v/>
      </c>
    </row>
    <row r="1352">
      <c r="A1352">
        <f>Skills!A15</f>
        <v/>
      </c>
      <c r="B1352">
        <f>Skills!B15</f>
        <v/>
      </c>
      <c r="C1352">
        <f>Inputs!$B$3&gt;=100</f>
        <v/>
      </c>
      <c r="D1352">
        <f>IF(Skills!C15=1,60+Inputs!$B$25+Inputs!$B$29,IF(Skills!C15=2,90+Inputs!$B$26+Inputs!$B$29,IF(Skills!C15=3,120+Inputs!$B$27+Inputs!$B$29,MAX(0,(Inputs!$B$3-100)*3)+Inputs!$B$28+Inputs!$B$29)))</f>
        <v/>
      </c>
      <c r="E1352">
        <f>INDEX(FactorTable!$B$2:$Y$301, MATCH(ROUND(MIN(300,MAX(1,D1352)),0), FactorTable!$A$2:$A$301,0), Skills!M15+1)</f>
        <v/>
      </c>
      <c r="F1352">
        <f>IF(Skills!N15=TRUE,(Skills!L15/10)*(E1352/1000),Skills!L15/10)+Skills!O15</f>
        <v/>
      </c>
      <c r="G1352" t="inlineStr"/>
      <c r="H1352" t="inlineStr"/>
      <c r="I1352" t="inlineStr">
        <is>
          <t>1</t>
        </is>
      </c>
      <c r="J1352" t="inlineStr"/>
      <c r="K1352" t="inlineStr"/>
      <c r="L1352" t="inlineStr"/>
      <c r="M1352" t="inlineStr"/>
      <c r="N1352" t="inlineStr"/>
      <c r="O1352" t="inlineStr"/>
      <c r="P1352" t="inlineStr"/>
      <c r="Q1352" t="inlineStr"/>
      <c r="R1352" t="inlineStr"/>
      <c r="S1352" t="inlineStr"/>
    </row>
    <row r="1353">
      <c r="A1353">
        <f>Skills!A16</f>
        <v/>
      </c>
      <c r="B1353">
        <f>Skills!B16</f>
        <v/>
      </c>
      <c r="C1353">
        <f>Inputs!$B$3&gt;=120</f>
        <v/>
      </c>
      <c r="D1353">
        <f>IF(Skills!C16=1,60+Inputs!$B$25+Inputs!$B$29,IF(Skills!C16=2,90+Inputs!$B$26+Inputs!$B$29,IF(Skills!C16=3,120+Inputs!$B$27+Inputs!$B$29,MAX(0,(Inputs!$B$3-100)*3)+Inputs!$B$28+Inputs!$B$29)))</f>
        <v/>
      </c>
      <c r="E1353">
        <f>INDEX(FactorTable!$B$2:$Y$301, MATCH(ROUND(MIN(300,MAX(1,D1353)),0), FactorTable!$A$2:$A$301,0), Skills!M16+1)</f>
        <v/>
      </c>
      <c r="F1353">
        <f>IF(Skills!N16=TRUE,(Skills!L16/10)*(E1353/1000),Skills!L16/10)+Skills!O16</f>
        <v/>
      </c>
      <c r="G1353" t="inlineStr"/>
      <c r="H1353" t="inlineStr"/>
      <c r="I1353" t="inlineStr">
        <is>
          <t>1</t>
        </is>
      </c>
      <c r="J1353" t="inlineStr"/>
      <c r="K1353" t="inlineStr"/>
      <c r="L1353" t="inlineStr"/>
      <c r="M1353" t="inlineStr"/>
      <c r="N1353" t="inlineStr"/>
      <c r="O1353" t="inlineStr"/>
      <c r="P1353" t="inlineStr"/>
      <c r="Q1353" t="inlineStr"/>
      <c r="R1353" t="inlineStr"/>
      <c r="S1353" t="inlineStr"/>
    </row>
    <row r="1354">
      <c r="A1354">
        <f>Skills!A17</f>
        <v/>
      </c>
      <c r="B1354">
        <f>Skills!B17</f>
        <v/>
      </c>
      <c r="C1354">
        <f>Inputs!$B$3&gt;=66</f>
        <v/>
      </c>
      <c r="D1354">
        <f>IF(Skills!C17=1,60+Inputs!$B$25+Inputs!$B$29,IF(Skills!C17=2,90+Inputs!$B$26+Inputs!$B$29,IF(Skills!C17=3,120+Inputs!$B$27+Inputs!$B$29,MAX(0,(Inputs!$B$3-100)*3)+Inputs!$B$28+Inputs!$B$29)))</f>
        <v/>
      </c>
      <c r="E1354">
        <f>INDEX(FactorTable!$B$2:$Y$301, MATCH(ROUND(MIN(300,MAX(1,D1354)),0), FactorTable!$A$2:$A$301,0), Skills!M17+1)</f>
        <v/>
      </c>
      <c r="F1354">
        <f>IF(Skills!N17=TRUE,(Skills!L17/10)*(E1354/1000),Skills!L17/10)+Skills!O17</f>
        <v/>
      </c>
      <c r="G1354">
        <f>Skills!G17*IF(Skills!H17&gt;0,Skills!I17/Skills!H17,1)</f>
        <v/>
      </c>
      <c r="H1354">
        <f>1-(1-Skills!J17/100)^Skills!K17</f>
        <v/>
      </c>
      <c r="I1354" t="inlineStr">
        <is>
          <t>1</t>
        </is>
      </c>
      <c r="J1354" t="inlineStr"/>
      <c r="K1354" t="inlineStr"/>
      <c r="L1354" t="inlineStr"/>
      <c r="M1354" t="inlineStr"/>
      <c r="N1354" t="inlineStr"/>
      <c r="O1354">
        <f>(1-Summary!$B$55)*T1354+Summary!$B$55*V1354</f>
        <v/>
      </c>
      <c r="P1354">
        <f>IF(B1377=0,0,O1354/B1377)</f>
        <v/>
      </c>
      <c r="Q1354" t="n">
        <v>0</v>
      </c>
      <c r="R1354" t="n">
        <v>0</v>
      </c>
      <c r="S1354">
        <f>IFERROR(O1354/N1354,0)</f>
        <v/>
      </c>
      <c r="T1354" t="n">
        <v>0</v>
      </c>
      <c r="V1354" t="n">
        <v>0</v>
      </c>
    </row>
    <row r="1355">
      <c r="A1355">
        <f>Skills!A18</f>
        <v/>
      </c>
      <c r="B1355">
        <f>Skills!B18</f>
        <v/>
      </c>
      <c r="C1355">
        <f>Inputs!$B$3&gt;=115</f>
        <v/>
      </c>
      <c r="D1355">
        <f>IF(Skills!C18=1,60+Inputs!$B$25+Inputs!$B$29,IF(Skills!C18=2,90+Inputs!$B$26+Inputs!$B$29,IF(Skills!C18=3,120+Inputs!$B$27+Inputs!$B$29,MAX(0,(Inputs!$B$3-100)*3)+Inputs!$B$28+Inputs!$B$29)))</f>
        <v/>
      </c>
      <c r="E1355">
        <f>INDEX(FactorTable!$B$2:$Y$301, MATCH(ROUND(MIN(300,MAX(1,D1355)),0), FactorTable!$A$2:$A$301,0), Skills!M18+1)</f>
        <v/>
      </c>
      <c r="F1355">
        <f>IF(Skills!N18=TRUE,(Skills!L18/10)*(E1355/1000),Skills!L18/10)+Skills!O18</f>
        <v/>
      </c>
      <c r="G1355">
        <f>Skills!G18*IF(Skills!H18&gt;0,Skills!I18/Skills!H18,1)</f>
        <v/>
      </c>
      <c r="H1355">
        <f>1-(1-Skills!J18/100)^Skills!K18</f>
        <v/>
      </c>
      <c r="I1355" t="inlineStr">
        <is>
          <t>1</t>
        </is>
      </c>
      <c r="J1355" t="inlineStr"/>
      <c r="K1355" t="inlineStr"/>
      <c r="L1355" t="inlineStr"/>
      <c r="M1355" t="inlineStr"/>
      <c r="N1355" t="inlineStr"/>
      <c r="O1355">
        <f>(1-Summary!$B$55)*T1355+Summary!$B$55*V1355</f>
        <v/>
      </c>
      <c r="P1355">
        <f>IF(B1377=0,0,O1355/B1377)</f>
        <v/>
      </c>
      <c r="Q1355" t="n">
        <v>0</v>
      </c>
      <c r="R1355" t="n">
        <v>0</v>
      </c>
      <c r="S1355">
        <f>IFERROR(O1355/N1355,0)</f>
        <v/>
      </c>
      <c r="T1355" t="n">
        <v>0</v>
      </c>
      <c r="V1355" t="n">
        <v>0</v>
      </c>
    </row>
    <row r="1356">
      <c r="A1356">
        <f>Skills!A19</f>
        <v/>
      </c>
      <c r="B1356">
        <f>Skills!B19</f>
        <v/>
      </c>
      <c r="C1356">
        <f>Inputs!$B$3&gt;=15</f>
        <v/>
      </c>
      <c r="D1356">
        <f>IF(Skills!C19=1,60+Inputs!$B$25+Inputs!$B$29,IF(Skills!C19=2,90+Inputs!$B$26+Inputs!$B$29,IF(Skills!C19=3,120+Inputs!$B$27+Inputs!$B$29,MAX(0,(Inputs!$B$3-100)*3)+Inputs!$B$28+Inputs!$B$29)))</f>
        <v/>
      </c>
      <c r="E1356">
        <f>INDEX(FactorTable!$B$2:$Y$301, MATCH(ROUND(MIN(300,MAX(1,D1356)),0), FactorTable!$A$2:$A$301,0), Skills!M19+1)</f>
        <v/>
      </c>
      <c r="F1356">
        <f>IF(Skills!N19=TRUE,(Skills!L19/10)*(E1356/1000),Skills!L19/10)+Skills!O19</f>
        <v/>
      </c>
      <c r="G1356">
        <f>Skills!G19*IF(Skills!H19&gt;0,Skills!I19/Skills!H19,1)</f>
        <v/>
      </c>
      <c r="H1356">
        <f>1-(1-Skills!J19/100)^Skills!K19</f>
        <v/>
      </c>
      <c r="I1356" t="inlineStr">
        <is>
          <t>1</t>
        </is>
      </c>
      <c r="J1356" t="inlineStr"/>
      <c r="K1356" t="inlineStr"/>
      <c r="L1356" t="inlineStr"/>
      <c r="M1356" t="inlineStr"/>
      <c r="N1356" t="inlineStr"/>
      <c r="O1356">
        <f>(1-Summary!$B$55)*T1356+Summary!$B$55*V1356</f>
        <v/>
      </c>
      <c r="P1356">
        <f>IF(B1377=0,0,O1356/B1377)</f>
        <v/>
      </c>
      <c r="Q1356" t="n">
        <v>0</v>
      </c>
      <c r="R1356" t="n">
        <v>0</v>
      </c>
      <c r="S1356">
        <f>IFERROR(O1356/N1356,0)</f>
        <v/>
      </c>
      <c r="T1356" t="n">
        <v>0</v>
      </c>
      <c r="V1356" t="n">
        <v>0</v>
      </c>
    </row>
    <row r="1357">
      <c r="A1357">
        <f>Skills!A20</f>
        <v/>
      </c>
      <c r="B1357">
        <f>Skills!B20</f>
        <v/>
      </c>
      <c r="C1357">
        <f>Inputs!$B$3&gt;=10</f>
        <v/>
      </c>
      <c r="D1357">
        <f>IF(Skills!C20=1,60+Inputs!$B$25+Inputs!$B$29,IF(Skills!C20=2,90+Inputs!$B$26+Inputs!$B$29,IF(Skills!C20=3,120+Inputs!$B$27+Inputs!$B$29,MAX(0,(Inputs!$B$3-100)*3)+Inputs!$B$28+Inputs!$B$29)))</f>
        <v/>
      </c>
      <c r="E1357">
        <f>INDEX(FactorTable!$B$2:$Y$301, MATCH(ROUND(MIN(300,MAX(1,D1357)),0), FactorTable!$A$2:$A$301,0), Skills!M20+1)</f>
        <v/>
      </c>
      <c r="F1357">
        <f>IF(Skills!N20=TRUE,(Skills!L20/10)*(E1357/1000),Skills!L20/10)+Skills!O20</f>
        <v/>
      </c>
      <c r="G1357">
        <f>Skills!G20*IF(Skills!H20&gt;0,Skills!I20/Skills!H20,1)</f>
        <v/>
      </c>
      <c r="H1357">
        <f>1-(1-Skills!J20/100)^Skills!K20</f>
        <v/>
      </c>
      <c r="I1357" t="inlineStr">
        <is>
          <t>1</t>
        </is>
      </c>
      <c r="J1357" t="inlineStr"/>
      <c r="K1357" t="inlineStr"/>
      <c r="L1357" t="inlineStr"/>
      <c r="M1357" t="inlineStr"/>
      <c r="N1357" t="inlineStr"/>
      <c r="O1357">
        <f>(1-Summary!$B$55)*T1357+Summary!$B$55*V1357</f>
        <v/>
      </c>
      <c r="P1357">
        <f>IF(B1377=0,0,O1357/B1377)</f>
        <v/>
      </c>
      <c r="Q1357" t="n">
        <v>0</v>
      </c>
      <c r="R1357" t="n">
        <v>0</v>
      </c>
      <c r="S1357">
        <f>IFERROR(O1357/N1357,0)</f>
        <v/>
      </c>
      <c r="T1357" t="n">
        <v>0</v>
      </c>
      <c r="V1357" t="n">
        <v>0</v>
      </c>
    </row>
    <row r="1358">
      <c r="A1358">
        <f>Skills!A21</f>
        <v/>
      </c>
      <c r="B1358">
        <f>Skills!B21</f>
        <v/>
      </c>
      <c r="C1358">
        <f>Inputs!$B$3&gt;=33</f>
        <v/>
      </c>
      <c r="D1358">
        <f>IF(Skills!C21=1,60+Inputs!$B$25+Inputs!$B$29,IF(Skills!C21=2,90+Inputs!$B$26+Inputs!$B$29,IF(Skills!C21=3,120+Inputs!$B$27+Inputs!$B$29,MAX(0,(Inputs!$B$3-100)*3)+Inputs!$B$28+Inputs!$B$29)))</f>
        <v/>
      </c>
      <c r="E1358">
        <f>INDEX(FactorTable!$B$2:$Y$301, MATCH(ROUND(MIN(300,MAX(1,D1358)),0), FactorTable!$A$2:$A$301,0), Skills!M21+1)</f>
        <v/>
      </c>
      <c r="F1358">
        <f>IF(Skills!N21=TRUE,(Skills!L21/10)*(E1358/1000),Skills!L21/10)+Skills!O21</f>
        <v/>
      </c>
      <c r="G1358">
        <f>Skills!G21*IF(Skills!H21&gt;0,Skills!I21/Skills!H21,1)</f>
        <v/>
      </c>
      <c r="H1358">
        <f>1-(1-Skills!J21/100)^Skills!K21</f>
        <v/>
      </c>
      <c r="I1358" t="inlineStr">
        <is>
          <t>1</t>
        </is>
      </c>
      <c r="J1358" t="inlineStr"/>
      <c r="K1358" t="inlineStr"/>
      <c r="L1358" t="inlineStr"/>
      <c r="M1358" t="inlineStr"/>
      <c r="N1358" t="inlineStr"/>
      <c r="O1358">
        <f>(1-Summary!$B$55)*T1358+Summary!$B$55*V1358</f>
        <v/>
      </c>
      <c r="P1358">
        <f>IF(B1377=0,0,O1358/B1377)</f>
        <v/>
      </c>
      <c r="Q1358" t="n">
        <v>0</v>
      </c>
      <c r="R1358" t="n">
        <v>0</v>
      </c>
      <c r="S1358">
        <f>IFERROR(O1358/N1358,0)</f>
        <v/>
      </c>
      <c r="T1358" t="n">
        <v>0</v>
      </c>
      <c r="V1358" t="n">
        <v>0</v>
      </c>
    </row>
    <row r="1359">
      <c r="A1359">
        <f>Skills!A22</f>
        <v/>
      </c>
      <c r="B1359">
        <f>Skills!B22</f>
        <v/>
      </c>
      <c r="C1359">
        <f>Inputs!$B$3&gt;=43</f>
        <v/>
      </c>
      <c r="D1359">
        <f>IF(Skills!C22=1,60+Inputs!$B$25+Inputs!$B$29,IF(Skills!C22=2,90+Inputs!$B$26+Inputs!$B$29,IF(Skills!C22=3,120+Inputs!$B$27+Inputs!$B$29,MAX(0,(Inputs!$B$3-100)*3)+Inputs!$B$28+Inputs!$B$29)))</f>
        <v/>
      </c>
      <c r="E1359">
        <f>INDEX(FactorTable!$B$2:$Y$301, MATCH(ROUND(MIN(300,MAX(1,D1359)),0), FactorTable!$A$2:$A$301,0), Skills!M22+1)</f>
        <v/>
      </c>
      <c r="F1359">
        <f>IF(Skills!N22=TRUE,(Skills!L22/10)*(E1359/1000),Skills!L22/10)+Skills!O22</f>
        <v/>
      </c>
      <c r="G1359">
        <f>Skills!G22*IF(Skills!H22&gt;0,Skills!I22/Skills!H22,1)</f>
        <v/>
      </c>
      <c r="H1359">
        <f>1-(1-Skills!J22/100)^Skills!K22</f>
        <v/>
      </c>
      <c r="I1359" t="inlineStr">
        <is>
          <t>1</t>
        </is>
      </c>
      <c r="J1359" t="inlineStr"/>
      <c r="K1359" t="inlineStr"/>
      <c r="L1359" t="inlineStr"/>
      <c r="M1359" t="inlineStr"/>
      <c r="N1359" t="inlineStr"/>
      <c r="O1359">
        <f>(1-Summary!$B$55)*T1359+Summary!$B$55*V1359</f>
        <v/>
      </c>
      <c r="P1359">
        <f>IF(B1377=0,0,O1359/B1377)</f>
        <v/>
      </c>
      <c r="Q1359" t="n">
        <v>0</v>
      </c>
      <c r="R1359" t="n">
        <v>0</v>
      </c>
      <c r="S1359">
        <f>IFERROR(O1359/N1359,0)</f>
        <v/>
      </c>
      <c r="T1359" t="n">
        <v>0</v>
      </c>
      <c r="V1359" t="n">
        <v>0</v>
      </c>
    </row>
    <row r="1360">
      <c r="A1360">
        <f>Skills!A23</f>
        <v/>
      </c>
      <c r="B1360">
        <f>Skills!B23</f>
        <v/>
      </c>
      <c r="C1360">
        <f>Inputs!$B$3&gt;=38</f>
        <v/>
      </c>
      <c r="D1360">
        <f>IF(Skills!C23=1,60+Inputs!$B$25+Inputs!$B$29,IF(Skills!C23=2,90+Inputs!$B$26+Inputs!$B$29,IF(Skills!C23=3,120+Inputs!$B$27+Inputs!$B$29,MAX(0,(Inputs!$B$3-100)*3)+Inputs!$B$28+Inputs!$B$29)))</f>
        <v/>
      </c>
      <c r="E1360">
        <f>INDEX(FactorTable!$B$2:$Y$301, MATCH(ROUND(MIN(300,MAX(1,D1360)),0), FactorTable!$A$2:$A$301,0), Skills!M23+1)</f>
        <v/>
      </c>
      <c r="F1360">
        <f>IF(Skills!N23=TRUE,(Skills!L23/10)*(E1360/1000),Skills!L23/10)+Skills!O23</f>
        <v/>
      </c>
      <c r="G1360">
        <f>Skills!G23*IF(Skills!H23&gt;0,Skills!I23/Skills!H23,1)</f>
        <v/>
      </c>
      <c r="H1360">
        <f>1-(1-Skills!J23/100)^Skills!K23</f>
        <v/>
      </c>
      <c r="I1360" t="inlineStr">
        <is>
          <t>1</t>
        </is>
      </c>
      <c r="J1360" t="inlineStr"/>
      <c r="K1360" t="inlineStr"/>
      <c r="L1360" t="inlineStr"/>
      <c r="M1360" t="inlineStr"/>
      <c r="N1360" t="inlineStr"/>
      <c r="O1360">
        <f>(1-Summary!$B$55)*T1360+Summary!$B$55*V1360</f>
        <v/>
      </c>
      <c r="P1360">
        <f>IF(B1377=0,0,O1360/B1377)</f>
        <v/>
      </c>
      <c r="Q1360" t="n">
        <v>0</v>
      </c>
      <c r="R1360" t="n">
        <v>0</v>
      </c>
      <c r="S1360">
        <f>IFERROR(O1360/N1360,0)</f>
        <v/>
      </c>
      <c r="T1360" t="n">
        <v>0</v>
      </c>
      <c r="V1360" t="n">
        <v>0</v>
      </c>
    </row>
    <row r="1361">
      <c r="A1361">
        <f>Skills!A24</f>
        <v/>
      </c>
      <c r="B1361">
        <f>Skills!B24</f>
        <v/>
      </c>
      <c r="C1361">
        <f>Inputs!$B$3&gt;=40</f>
        <v/>
      </c>
      <c r="D1361">
        <f>IF(Skills!C24=1,60+Inputs!$B$25+Inputs!$B$29,IF(Skills!C24=2,90+Inputs!$B$26+Inputs!$B$29,IF(Skills!C24=3,120+Inputs!$B$27+Inputs!$B$29,MAX(0,(Inputs!$B$3-100)*3)+Inputs!$B$28+Inputs!$B$29)))</f>
        <v/>
      </c>
      <c r="E1361">
        <f>INDEX(FactorTable!$B$2:$Y$301, MATCH(ROUND(MIN(300,MAX(1,D1361)),0), FactorTable!$A$2:$A$301,0), Skills!M24+1)</f>
        <v/>
      </c>
      <c r="F1361">
        <f>IF(Skills!N24=TRUE,(Skills!L24/10)*(E1361/1000),Skills!L24/10)+Skills!O24</f>
        <v/>
      </c>
      <c r="G1361">
        <f>Skills!G24*IF(Skills!H24&gt;0,Skills!I24/Skills!H24,1)</f>
        <v/>
      </c>
      <c r="H1361">
        <f>1-(1-Skills!J24/100)^Skills!K24</f>
        <v/>
      </c>
      <c r="I1361" t="inlineStr">
        <is>
          <t>1</t>
        </is>
      </c>
      <c r="J1361" t="inlineStr"/>
      <c r="K1361" t="inlineStr"/>
      <c r="L1361" t="inlineStr"/>
      <c r="M1361" t="inlineStr"/>
      <c r="N1361" t="inlineStr"/>
      <c r="O1361">
        <f>(1-Summary!$B$55)*T1361+Summary!$B$55*V1361</f>
        <v/>
      </c>
      <c r="P1361">
        <f>IF(B1377=0,0,O1361/B1377)</f>
        <v/>
      </c>
      <c r="Q1361" t="n">
        <v>0</v>
      </c>
      <c r="R1361" t="n">
        <v>0</v>
      </c>
      <c r="S1361">
        <f>IFERROR(O1361/N1361,0)</f>
        <v/>
      </c>
      <c r="T1361" t="n">
        <v>0</v>
      </c>
      <c r="V1361" t="n">
        <v>0</v>
      </c>
    </row>
    <row r="1362">
      <c r="A1362">
        <f>Skills!A25</f>
        <v/>
      </c>
      <c r="B1362">
        <f>Skills!B25</f>
        <v/>
      </c>
      <c r="C1362">
        <f>Inputs!$B$3&gt;=72</f>
        <v/>
      </c>
      <c r="D1362">
        <f>IF(Skills!C25=1,60+Inputs!$B$25+Inputs!$B$29,IF(Skills!C25=2,90+Inputs!$B$26+Inputs!$B$29,IF(Skills!C25=3,120+Inputs!$B$27+Inputs!$B$29,MAX(0,(Inputs!$B$3-100)*3)+Inputs!$B$28+Inputs!$B$29)))</f>
        <v/>
      </c>
      <c r="E1362">
        <f>INDEX(FactorTable!$B$2:$Y$301, MATCH(ROUND(MIN(300,MAX(1,D1362)),0), FactorTable!$A$2:$A$301,0), Skills!M25+1)</f>
        <v/>
      </c>
      <c r="F1362">
        <f>IF(Skills!N25=TRUE,(Skills!L25/10)*(E1362/1000),Skills!L25/10)+Skills!O25</f>
        <v/>
      </c>
      <c r="G1362">
        <f>Skills!G25*IF(Skills!H25&gt;0,Skills!I25/Skills!H25,1)</f>
        <v/>
      </c>
      <c r="H1362">
        <f>1-(1-Skills!J25/100)^Skills!K25</f>
        <v/>
      </c>
      <c r="I1362" t="inlineStr">
        <is>
          <t>1</t>
        </is>
      </c>
      <c r="J1362" t="inlineStr"/>
      <c r="K1362" t="inlineStr"/>
      <c r="L1362" t="inlineStr"/>
      <c r="M1362" t="inlineStr"/>
      <c r="N1362" t="inlineStr"/>
      <c r="O1362">
        <f>(1-Summary!$B$55)*T1362+Summary!$B$55*V1362</f>
        <v/>
      </c>
      <c r="P1362">
        <f>IF(B1377=0,0,O1362/B1377)</f>
        <v/>
      </c>
      <c r="Q1362" t="n">
        <v>0</v>
      </c>
      <c r="R1362" t="n">
        <v>0</v>
      </c>
      <c r="S1362">
        <f>IFERROR(O1362/N1362,0)</f>
        <v/>
      </c>
      <c r="T1362" t="n">
        <v>0</v>
      </c>
      <c r="V1362" t="n">
        <v>0</v>
      </c>
    </row>
    <row r="1363">
      <c r="A1363">
        <f>Skills!A26</f>
        <v/>
      </c>
      <c r="B1363">
        <f>Skills!B26</f>
        <v/>
      </c>
      <c r="C1363">
        <f>Inputs!$B$3&gt;=75</f>
        <v/>
      </c>
      <c r="D1363">
        <f>IF(Skills!C26=1,60+Inputs!$B$25+Inputs!$B$29,IF(Skills!C26=2,90+Inputs!$B$26+Inputs!$B$29,IF(Skills!C26=3,120+Inputs!$B$27+Inputs!$B$29,MAX(0,(Inputs!$B$3-100)*3)+Inputs!$B$28+Inputs!$B$29)))</f>
        <v/>
      </c>
      <c r="E1363">
        <f>INDEX(FactorTable!$B$2:$Y$301, MATCH(ROUND(MIN(300,MAX(1,D1363)),0), FactorTable!$A$2:$A$301,0), Skills!M26+1)</f>
        <v/>
      </c>
      <c r="F1363">
        <f>IF(Skills!N26=TRUE,(Skills!L26/10)*(E1363/1000),Skills!L26/10)+Skills!O26</f>
        <v/>
      </c>
      <c r="G1363">
        <f>Skills!G26*IF(Skills!H26&gt;0,Skills!I26/Skills!H26,1)</f>
        <v/>
      </c>
      <c r="H1363">
        <f>1-(1-Skills!J26/100)^Skills!K26</f>
        <v/>
      </c>
      <c r="I1363" t="inlineStr">
        <is>
          <t>1</t>
        </is>
      </c>
      <c r="J1363" t="inlineStr"/>
      <c r="K1363" t="inlineStr"/>
      <c r="L1363" t="inlineStr"/>
      <c r="M1363" t="inlineStr"/>
      <c r="N1363" t="inlineStr"/>
      <c r="O1363">
        <f>(1-Summary!$B$55)*T1363+Summary!$B$55*V1363</f>
        <v/>
      </c>
      <c r="P1363">
        <f>IF(B1377=0,0,O1363/B1377)</f>
        <v/>
      </c>
      <c r="Q1363" t="n">
        <v>0</v>
      </c>
      <c r="R1363" t="n">
        <v>0</v>
      </c>
      <c r="S1363">
        <f>IFERROR(O1363/N1363,0)</f>
        <v/>
      </c>
      <c r="T1363" t="n">
        <v>0</v>
      </c>
      <c r="V1363" t="n">
        <v>0</v>
      </c>
    </row>
    <row r="1364">
      <c r="A1364">
        <f>Skills!A27</f>
        <v/>
      </c>
      <c r="B1364">
        <f>Skills!B27</f>
        <v/>
      </c>
      <c r="C1364">
        <f>Inputs!$B$3&gt;=117</f>
        <v/>
      </c>
      <c r="D1364">
        <f>IF(Skills!C27=1,60+Inputs!$B$25+Inputs!$B$29,IF(Skills!C27=2,90+Inputs!$B$26+Inputs!$B$29,IF(Skills!C27=3,120+Inputs!$B$27+Inputs!$B$29,MAX(0,(Inputs!$B$3-100)*3)+Inputs!$B$28+Inputs!$B$29)))</f>
        <v/>
      </c>
      <c r="E1364">
        <f>INDEX(FactorTable!$B$2:$Y$301, MATCH(ROUND(MIN(300,MAX(1,D1364)),0), FactorTable!$A$2:$A$301,0), Skills!M27+1)</f>
        <v/>
      </c>
      <c r="F1364">
        <f>IF(Skills!N27=TRUE,(Skills!L27/10)*(E1364/1000),Skills!L27/10)+Skills!O27</f>
        <v/>
      </c>
      <c r="G1364">
        <f>Skills!G27*IF(Skills!H27&gt;0,Skills!I27/Skills!H27,1)</f>
        <v/>
      </c>
      <c r="H1364">
        <f>1-(1-Skills!J27/100)^Skills!K27</f>
        <v/>
      </c>
      <c r="I1364" t="inlineStr">
        <is>
          <t>1</t>
        </is>
      </c>
      <c r="J1364" t="inlineStr"/>
      <c r="K1364" t="inlineStr"/>
      <c r="L1364" t="inlineStr"/>
      <c r="M1364" t="inlineStr"/>
      <c r="N1364" t="inlineStr"/>
      <c r="O1364">
        <f>(1-Summary!$B$55)*T1364+Summary!$B$55*V1364</f>
        <v/>
      </c>
      <c r="P1364">
        <f>IF(B1377=0,0,O1364/B1377)</f>
        <v/>
      </c>
      <c r="Q1364" t="n">
        <v>0</v>
      </c>
      <c r="R1364" t="n">
        <v>0</v>
      </c>
      <c r="S1364">
        <f>IFERROR(O1364/N1364,0)</f>
        <v/>
      </c>
      <c r="T1364" t="n">
        <v>0</v>
      </c>
      <c r="V1364" t="n">
        <v>0</v>
      </c>
    </row>
    <row r="1366">
      <c r="A1366" t="inlineStr">
        <is>
          <t>Attack% Bucket Multiplier</t>
        </is>
      </c>
      <c r="B1366">
        <f>(1+(((C1354=TRUE)*F1354)+((C1361=TRUE)*(F1361-Calc!F24)))/100)</f>
        <v/>
      </c>
    </row>
    <row r="1367">
      <c r="A1367" t="inlineStr">
        <is>
          <t>Global Crit Rate Bonus %</t>
        </is>
      </c>
      <c r="B1367" t="n">
        <v>0</v>
      </c>
    </row>
    <row r="1368">
      <c r="A1368" t="inlineStr">
        <is>
          <t>Attack Speed Buff Bonus % (unused)</t>
        </is>
      </c>
      <c r="B1368" t="n">
        <v>0</v>
      </c>
    </row>
    <row r="1369">
      <c r="A1369" t="inlineStr">
        <is>
          <t>Actions Per Second</t>
        </is>
      </c>
      <c r="B1369">
        <f>1+MIN(150,150*(1-(1-(Inputs!$B$11+((C1357=TRUE)*(F1357-Calc!F20))+((C1358=TRUE)*(F1358-Calc!F21)))/150)*(1-B1368/150)))/100</f>
        <v/>
      </c>
    </row>
    <row r="1370">
      <c r="A1370" t="inlineStr">
        <is>
          <t>Skill + Buff Cast Rate</t>
        </is>
      </c>
      <c r="B1370">
        <f>IF(AND(Inputs!$B$38&lt;&gt;"pvp",Inputs!$B$43&gt;0),SUMPRODUCT((Skills!E2:E27=TRUE)*(C1339:C1364=TRUE)*R1339:R1364*Skills!F2:F27)/Inputs!$B$43,SUMPRODUCT((Skills!E2:E27=TRUE)*(C1339:C1364=TRUE)*Q1339:Q1364*Skills!F2:F27))</f>
        <v/>
      </c>
    </row>
    <row r="1371">
      <c r="A1371" t="inlineStr">
        <is>
          <t>Eight-Legs Easton Casts Per Second</t>
        </is>
      </c>
      <c r="B1371">
        <f>MAX(0,B1369-B1370)</f>
        <v/>
      </c>
    </row>
    <row r="1372">
      <c r="A1372" t="inlineStr">
        <is>
          <t>Global Critical Damage Bonus % (unused)</t>
        </is>
      </c>
      <c r="B1372" t="n">
        <v>0</v>
      </c>
    </row>
    <row r="1373">
      <c r="A1373" t="inlineStr">
        <is>
          <t>Global Final Damage Bonus % (Jolly Roger only)</t>
        </is>
      </c>
      <c r="B1373">
        <f>((C1355=TRUE)*F1355)</f>
        <v/>
      </c>
    </row>
    <row r="1374">
      <c r="A1374" t="inlineStr">
        <is>
          <t>Buff-Casting Startup Delay (s, fixed-duration only)</t>
        </is>
      </c>
      <c r="B1374">
        <f>IF(AND(Inputs!$B$38&lt;&gt;"pvp",Inputs!$B$43&gt;0),SUMPRODUCT((Skills!T2:T27&gt;0)*(Skills!E2:E27=TRUE)*(C1339:C1364=TRUE))/B1369,0)</f>
        <v/>
      </c>
    </row>
    <row r="1375">
      <c r="A1375" t="inlineStr">
        <is>
          <t>Boss-Only Total DPS (this block's swept value)</t>
        </is>
      </c>
      <c r="B1375">
        <f>SUM(T1339:T1364)</f>
        <v/>
      </c>
    </row>
    <row r="1376">
      <c r="A1376" t="inlineStr">
        <is>
          <t>Normal-Only Total DPS (this block's swept value)</t>
        </is>
      </c>
      <c r="B1376">
        <f>SUM(V1339:V1364)</f>
        <v/>
      </c>
    </row>
    <row r="1377">
      <c r="A1377" s="5" t="inlineStr">
        <is>
          <t>TOTAL DPS</t>
        </is>
      </c>
      <c r="B1377" s="5">
        <f>SUM(O1339:O1364)</f>
        <v/>
      </c>
    </row>
    <row r="1380">
      <c r="A1380" s="5" t="inlineStr">
        <is>
          <t>Stat: CDR = 3.0s</t>
        </is>
      </c>
    </row>
    <row r="1381">
      <c r="A1381" s="9" t="inlineStr">
        <is>
          <t>Key</t>
        </is>
      </c>
      <c r="B1381" s="9" t="inlineStr">
        <is>
          <t>Name</t>
        </is>
      </c>
      <c r="C1381" s="9" t="inlineStr">
        <is>
          <t>Unlocked</t>
        </is>
      </c>
      <c r="D1381" s="9" t="inlineStr">
        <is>
          <t>InputLevel</t>
        </is>
      </c>
      <c r="E1381" s="9" t="inlineStr">
        <is>
          <t>Factor</t>
        </is>
      </c>
      <c r="F1381" s="9" t="inlineStr">
        <is>
          <t>CoefficientPercent</t>
        </is>
      </c>
      <c r="G1381" s="9" t="inlineStr">
        <is>
          <t>EffectiveHits</t>
        </is>
      </c>
      <c r="H1381" s="9" t="inlineStr">
        <is>
          <t>ProcProbability</t>
        </is>
      </c>
      <c r="I1381" s="9" t="inlineStr">
        <is>
          <t>MapleHeroMultiplier</t>
        </is>
      </c>
      <c r="J1381" s="9" t="inlineStr">
        <is>
          <t>BaseDamage</t>
        </is>
      </c>
      <c r="K1381" s="9" t="inlineStr">
        <is>
          <t>BaseHitDamage</t>
        </is>
      </c>
      <c r="L1381" s="9" t="inlineStr">
        <is>
          <t>NonCritAvg</t>
        </is>
      </c>
      <c r="M1381" s="9" t="inlineStr">
        <is>
          <t>CritAvg</t>
        </is>
      </c>
      <c r="N1381" s="9" t="inlineStr">
        <is>
          <t>ExpectedDamage(perHit)</t>
        </is>
      </c>
      <c r="O1381" s="9" t="inlineStr">
        <is>
          <t>DPS</t>
        </is>
      </c>
      <c r="P1381" s="9" t="inlineStr">
        <is>
          <t>% of Total</t>
        </is>
      </c>
      <c r="Q1381" s="9" t="inlineStr">
        <is>
          <t>InvCooldown</t>
        </is>
      </c>
      <c r="R1381" s="9" t="inlineStr">
        <is>
          <t>CastsInFight</t>
        </is>
      </c>
      <c r="S1381" s="9" t="inlineStr">
        <is>
          <t>HitRate(perSec)</t>
        </is>
      </c>
      <c r="U1381" t="inlineStr">
        <is>
          <t>helpers</t>
        </is>
      </c>
    </row>
    <row r="1382">
      <c r="A1382">
        <f>Skills!A2</f>
        <v/>
      </c>
      <c r="B1382">
        <f>Skills!B2</f>
        <v/>
      </c>
      <c r="C1382">
        <f>Inputs!$B$3&gt;=100</f>
        <v/>
      </c>
      <c r="D1382" t="inlineStr"/>
      <c r="E1382" t="inlineStr"/>
      <c r="F1382">
        <f>U1384+Skills!O2</f>
        <v/>
      </c>
      <c r="G1382">
        <f>Skills!G2*IF(Skills!H2&gt;0,Skills!I2/Skills!H2,1)</f>
        <v/>
      </c>
      <c r="H1382">
        <f>1-(1-Skills!J2/100)^Skills!K2</f>
        <v/>
      </c>
      <c r="I1382" t="inlineStr">
        <is>
          <t>1</t>
        </is>
      </c>
      <c r="J1382">
        <f>((Inputs!$B$6*(1+Inputs!$B$7/100))+(((Inputs!$B$12*(1+Inputs!$B$13/100))-(Inputs!$B$12*(1+Inputs!$B$13/100)))+0.25*(Inputs!$B$14-Inputs!$B$14))*(1+Inputs!$B$7/100))*(F1382/100)</f>
        <v/>
      </c>
      <c r="K1382">
        <f>J1382*(1+((Inputs!$B$12*(1+Inputs!$B$13/100))*0.01+Inputs!$B$14*0.0025)/100)*(1+Inputs!$B$15/100)*(1+Inputs!$B$16/100)*(5000/(6000+Inputs!$B$42*(1-(Inputs!$B$19+0)/100)))*(1+(Inputs!$B$24+((C1406=TRUE)*(F1406-Calc!F26))+B1416)/100)*(1+(IF(Skills!A2="EIGHT_LEGS_EASTON",Inputs!$B$17+((C1403=TRUE)*(F1403-Calc!F23))+((C1407=TRUE)*(F1407-Calc!F27)),Inputs!$B$18+0))/100)*((1+(((C1397=TRUE)*F1397)+((C1404=TRUE)*(F1404-Calc!F24)))/100)*I1382)</f>
        <v/>
      </c>
      <c r="L1382">
        <f>K1382*(MIN(Inputs!$B$22+((C1402=TRUE)*(F1402-Calc!F22)),Inputs!$B$23+0)/100+(Inputs!$B$23+0)/100)/2</f>
        <v/>
      </c>
      <c r="M1382">
        <f>L1382*(1+(Inputs!$B$10+((C1405=TRUE)*(F1405-Calc!F25))+B1415)/100)</f>
        <v/>
      </c>
      <c r="N1382">
        <f>L1382*(1-MIN((Inputs!$B$9+((C1399=TRUE)*(F1399-Calc!F19))+B1410),100)/100)+M1382*(MIN((Inputs!$B$9+((C1399=TRUE)*(F1399-Calc!F19))+B1410),100)/100)</f>
        <v/>
      </c>
      <c r="O1382">
        <f>(1-Summary!$B$55)*T1382+Summary!$B$55*V1382</f>
        <v/>
      </c>
      <c r="P1382">
        <f>IF(B1420=0,0,O1382/B1420)</f>
        <v/>
      </c>
      <c r="Q1382" t="n">
        <v>0</v>
      </c>
      <c r="R1382" t="n">
        <v>0</v>
      </c>
      <c r="S1382">
        <f>IFERROR(O1382/N1382,0)</f>
        <v/>
      </c>
      <c r="T1382">
        <f>IF(C1382,(Skills!G2*N1382*B1414)*IF(Inputs!$B$38="pvp",1,1+(Inputs!$B$20+0+Skills!P2)/100),0)</f>
        <v/>
      </c>
      <c r="U1382">
        <f>MAX(0,(Inputs!$B$3-100)*3)+Inputs!$B$28+Inputs!$B$29</f>
        <v/>
      </c>
      <c r="V1382">
        <f>IF(C1382,(Skills!G2*N1382*B1414)*IF(Inputs!$B$38="pvp",1,(1+(Inputs!$B$21+Skills!Q2)/100)*(MIN((6+Inputs!$B$33),Inputs!$B$37))),0)</f>
        <v/>
      </c>
    </row>
    <row r="1383">
      <c r="A1383">
        <f>Skills!A3</f>
        <v/>
      </c>
      <c r="B1383">
        <f>Skills!B3</f>
        <v/>
      </c>
      <c r="C1383">
        <f>Inputs!$B$3&gt;=35</f>
        <v/>
      </c>
      <c r="D1383">
        <f>IF(Skills!C3=1,60+Inputs!$B$25+Inputs!$B$29,IF(Skills!C3=2,90+Inputs!$B$26+Inputs!$B$29,IF(Skills!C3=3,120+Inputs!$B$27+Inputs!$B$29,MAX(0,(Inputs!$B$3-100)*3)+Inputs!$B$28+Inputs!$B$29)))</f>
        <v/>
      </c>
      <c r="E1383">
        <f>INDEX(FactorTable!$B$2:$Y$301, MATCH(ROUND(MIN(300,MAX(1,D1383)),0), FactorTable!$A$2:$A$301,0), Skills!M3+1)</f>
        <v/>
      </c>
      <c r="F1383">
        <f>IF(Skills!N3=TRUE,(Skills!L3/10)*(E1383/1000),Skills!L3/10)+Skills!O3</f>
        <v/>
      </c>
      <c r="G1383">
        <f>Skills!G3*IF(Skills!H3&gt;0,Skills!I3/Skills!H3,1)</f>
        <v/>
      </c>
      <c r="H1383">
        <f>1-(1-Skills!J3/100)^Skills!K3</f>
        <v/>
      </c>
      <c r="I1383" t="inlineStr">
        <is>
          <t>1</t>
        </is>
      </c>
      <c r="J1383">
        <f>((Inputs!$B$6*(1+Inputs!$B$7/100))+(((Inputs!$B$12*(1+Inputs!$B$13/100))-(Inputs!$B$12*(1+Inputs!$B$13/100)))+0.25*(Inputs!$B$14-Inputs!$B$14))*(1+Inputs!$B$7/100))*(F1383/100)</f>
        <v/>
      </c>
      <c r="K1383">
        <f>J1383*(1+((Inputs!$B$12*(1+Inputs!$B$13/100))*0.01+Inputs!$B$14*0.0025)/100)*(1+Inputs!$B$15/100)*(1+Inputs!$B$16/100)*(5000/(6000+Inputs!$B$42*(1-(Inputs!$B$19+0)/100)))*(1+(Inputs!$B$24+((C1406=TRUE)*(F1406-Calc!F26))+B1416)/100)*(1+4.0*IF(C1395=TRUE,F1395,0)/100)*(1+(IF(Skills!A3="EIGHT_LEGS_EASTON",Inputs!$B$17+((C1403=TRUE)*(F1403-Calc!F23))+((C1407=TRUE)*(F1407-Calc!F27)),Inputs!$B$18+0))/100)*((1+(((C1397=TRUE)*F1397)+((C1404=TRUE)*(F1404-Calc!F24)))/100)*I1383)</f>
        <v/>
      </c>
      <c r="L1383">
        <f>K1383*(MIN(Inputs!$B$22+((C1402=TRUE)*(F1402-Calc!F22)),Inputs!$B$23+0)/100+(Inputs!$B$23+0)/100)/2</f>
        <v/>
      </c>
      <c r="M1383">
        <f>L1383*(1+(Inputs!$B$10+((C1405=TRUE)*(F1405-Calc!F25))+B1415)/100)</f>
        <v/>
      </c>
      <c r="N1383">
        <f>L1383*(1-MIN((Inputs!$B$9+((C1399=TRUE)*(F1399-Calc!F19))+B1410),100)/100)+M1383*(MIN((Inputs!$B$9+((C1399=TRUE)*(F1399-Calc!F19))+B1410),100)/100)</f>
        <v/>
      </c>
      <c r="O1383">
        <f>(1-Summary!$B$55)*T1383+Summary!$B$55*V1383</f>
        <v/>
      </c>
      <c r="P1383">
        <f>IF(B1420=0,0,O1383/B1420)</f>
        <v/>
      </c>
      <c r="Q1383">
        <f>IFERROR(1/IF(Inputs!$B$38="pvp",15,MAX(0.1,Skills!D3-IF(Skills!E3=TRUE,3.0,0))),0)</f>
        <v/>
      </c>
      <c r="R1383">
        <f>IF(AND(Inputs!$B$38&lt;&gt;"pvp",Inputs!$B$43&gt;0),IF(MAX(0,Inputs!$B$43-B1417)&lt;=0,0,(INT(MAX(0,Inputs!$B$43-B1417)/IF(Inputs!$B$38="pvp",15,MAX(0.1,Skills!D3-IF(Skills!E3=TRUE,3.0,0))))+1)),0)</f>
        <v/>
      </c>
      <c r="S1383">
        <f>IFERROR(O1383/N1383,0)</f>
        <v/>
      </c>
      <c r="T1383">
        <f>IF(C1383,(H1383*N1383*IF(AND(Inputs!$B$38&lt;&gt;"pvp",Inputs!$B$43&gt;0),((Skills!G3*((R1383-1)*IF(Skills!H3&gt;0,Skills!I3/Skills!H3,1)+IF(Skills!H3&gt;0,MIN(Skills!I3,MAX(0,MAX(0,Inputs!$B$43-B1417)-((R1383-1)*IF(Inputs!$B$38="pvp",15,MAX(0.1,Skills!D3-IF(Skills!E3=TRUE,3.0,0))))))/Skills!H3,1)))/Inputs!$B$43),G1383*Q1383))*IF(Inputs!$B$38="pvp",1,1+(Inputs!$B$20+0+Skills!P3)/100),0)</f>
        <v/>
      </c>
      <c r="U1383">
        <f>INDEX(FactorTable!$B$2:$Y$301, MATCH(ROUND(MIN(300,MAX(1,U1382)),0), FactorTable!$A$2:$A$301,0), 22)</f>
        <v/>
      </c>
      <c r="V1383">
        <f>IF(C1383,(H1383*N1383*IF(AND(Inputs!$B$38&lt;&gt;"pvp",Inputs!$B$43&gt;0),((Skills!G3*((R1383-1)*IF(Skills!H3&gt;0,Skills!I3/Skills!H3,1)+IF(Skills!H3&gt;0,MIN(Skills!I3,MAX(0,MAX(0,Inputs!$B$43-B1417)-((R1383-1)*IF(Inputs!$B$38="pvp",15,MAX(0.1,Skills!D3-IF(Skills!E3=TRUE,3.0,0))))))/Skills!H3,1)))/Inputs!$B$43),G1383*Q1383))*IF(Inputs!$B$38="pvp",1,(1+(Inputs!$B$21+Skills!Q3)/100)*(MIN(Skills!R3,Inputs!$B$37))),0)</f>
        <v/>
      </c>
    </row>
    <row r="1384">
      <c r="A1384">
        <f>Skills!A4</f>
        <v/>
      </c>
      <c r="B1384">
        <f>Skills!B4</f>
        <v/>
      </c>
      <c r="C1384">
        <f>Inputs!$B$3&gt;=40</f>
        <v/>
      </c>
      <c r="D1384">
        <f>IF(Skills!C4=1,60+Inputs!$B$25+Inputs!$B$29,IF(Skills!C4=2,90+Inputs!$B$26+Inputs!$B$29,IF(Skills!C4=3,120+Inputs!$B$27+Inputs!$B$29,MAX(0,(Inputs!$B$3-100)*3)+Inputs!$B$28+Inputs!$B$29)))</f>
        <v/>
      </c>
      <c r="E1384">
        <f>INDEX(FactorTable!$B$2:$Y$301, MATCH(ROUND(MIN(300,MAX(1,D1384)),0), FactorTable!$A$2:$A$301,0), Skills!M4+1)</f>
        <v/>
      </c>
      <c r="F1384">
        <f>IF(Skills!N4=TRUE,(Skills!L4/10)*(E1384/1000),Skills!L4/10)+Skills!O4</f>
        <v/>
      </c>
      <c r="G1384">
        <f>Skills!G4*IF(Skills!H4&gt;0,Skills!I4/Skills!H4,1)</f>
        <v/>
      </c>
      <c r="H1384">
        <f>1-(1-Skills!J4/100)^Skills!K4</f>
        <v/>
      </c>
      <c r="I1384" t="inlineStr">
        <is>
          <t>1</t>
        </is>
      </c>
      <c r="J1384">
        <f>((Inputs!$B$6*(1+Inputs!$B$7/100))+(((Inputs!$B$12*(1+Inputs!$B$13/100))-(Inputs!$B$12*(1+Inputs!$B$13/100)))+0.25*(Inputs!$B$14-Inputs!$B$14))*(1+Inputs!$B$7/100))*(F1384/100)</f>
        <v/>
      </c>
      <c r="K1384">
        <f>J1384*(1+((Inputs!$B$12*(1+Inputs!$B$13/100))*0.01+Inputs!$B$14*0.0025)/100)*(1+Inputs!$B$15/100)*(1+Inputs!$B$16/100)*(5000/(6000+Inputs!$B$42*(1-(Inputs!$B$19+0)/100)))*(1+(Inputs!$B$24+((C1406=TRUE)*(F1406-Calc!F26))+B1416)/100)*(1+1.0*IF(C1396=TRUE,F1396,0)/100)*(1+(IF(Skills!A4="EIGHT_LEGS_EASTON",Inputs!$B$17+((C1403=TRUE)*(F1403-Calc!F23))+((C1407=TRUE)*(F1407-Calc!F27)),Inputs!$B$18+0))/100)*((1+(((C1397=TRUE)*F1397)+((C1404=TRUE)*(F1404-Calc!F24)))/100)*I1384)</f>
        <v/>
      </c>
      <c r="L1384">
        <f>K1384*(MIN(Inputs!$B$22+((C1402=TRUE)*(F1402-Calc!F22)),Inputs!$B$23+0)/100+(Inputs!$B$23+0)/100)/2</f>
        <v/>
      </c>
      <c r="M1384">
        <f>L1384*(1+(Inputs!$B$10+((C1405=TRUE)*(F1405-Calc!F25))+B1415)/100)</f>
        <v/>
      </c>
      <c r="N1384">
        <f>L1384*(1-MIN((Inputs!$B$9+((C1399=TRUE)*(F1399-Calc!F19))+B1410),100)/100)+M1384*(MIN((Inputs!$B$9+((C1399=TRUE)*(F1399-Calc!F19))+B1410),100)/100)</f>
        <v/>
      </c>
      <c r="O1384">
        <f>(1-Summary!$B$55)*T1384+Summary!$B$55*V1384</f>
        <v/>
      </c>
      <c r="P1384">
        <f>IF(B1420=0,0,O1384/B1420)</f>
        <v/>
      </c>
      <c r="Q1384">
        <f>IFERROR(1/IF(Inputs!$B$38="pvp",15,MAX(0.1,Skills!D4-IF(Skills!E4=TRUE,3.0,0))),0)</f>
        <v/>
      </c>
      <c r="R1384">
        <f>IF(AND(Inputs!$B$38&lt;&gt;"pvp",Inputs!$B$43&gt;0),IF(MAX(0,Inputs!$B$43-B1417)&lt;=0,0,(INT(MAX(0,Inputs!$B$43-B1417)/IF(Inputs!$B$38="pvp",15,MAX(0.1,Skills!D4-IF(Skills!E4=TRUE,3.0,0))))+1)),0)</f>
        <v/>
      </c>
      <c r="S1384">
        <f>IFERROR(O1384/N1384,0)</f>
        <v/>
      </c>
      <c r="T1384">
        <f>IF(C1384,(H1384*N1384*IF(AND(Inputs!$B$38&lt;&gt;"pvp",Inputs!$B$43&gt;0),((Skills!G4*((R1384-1)*IF(Skills!H4&gt;0,Skills!I4/Skills!H4,1)+IF(Skills!H4&gt;0,MIN(Skills!I4,MAX(0,MAX(0,Inputs!$B$43-B1417)-((R1384-1)*IF(Inputs!$B$38="pvp",15,MAX(0.1,Skills!D4-IF(Skills!E4=TRUE,3.0,0))))))/Skills!H4,1)))/Inputs!$B$43),G1384*Q1384))*IF(Inputs!$B$38="pvp",1,1+(Inputs!$B$20+0+Skills!P4)/100),0)</f>
        <v/>
      </c>
      <c r="U1384">
        <f>290*U1383/1000</f>
        <v/>
      </c>
      <c r="V1384">
        <f>IF(C1384,(H1384*N1384*IF(AND(Inputs!$B$38&lt;&gt;"pvp",Inputs!$B$43&gt;0),((Skills!G4*((R1384-1)*IF(Skills!H4&gt;0,Skills!I4/Skills!H4,1)+IF(Skills!H4&gt;0,MIN(Skills!I4,MAX(0,MAX(0,Inputs!$B$43-B1417)-((R1384-1)*IF(Inputs!$B$38="pvp",15,MAX(0.1,Skills!D4-IF(Skills!E4=TRUE,3.0,0))))))/Skills!H4,1)))/Inputs!$B$43),G1384*Q1384))*IF(Inputs!$B$38="pvp",1,(1+(Inputs!$B$21+Skills!Q4)/100)*(MIN(Skills!R4,Inputs!$B$37))),0)</f>
        <v/>
      </c>
    </row>
    <row r="1385">
      <c r="A1385">
        <f>Skills!A5</f>
        <v/>
      </c>
      <c r="B1385">
        <f>Skills!B5</f>
        <v/>
      </c>
      <c r="C1385">
        <f>Inputs!$B$3&gt;=45</f>
        <v/>
      </c>
      <c r="D1385">
        <f>IF(Skills!C5=1,60+Inputs!$B$25+Inputs!$B$29,IF(Skills!C5=2,90+Inputs!$B$26+Inputs!$B$29,IF(Skills!C5=3,120+Inputs!$B$27+Inputs!$B$29,MAX(0,(Inputs!$B$3-100)*3)+Inputs!$B$28+Inputs!$B$29)))</f>
        <v/>
      </c>
      <c r="E1385">
        <f>INDEX(FactorTable!$B$2:$Y$301, MATCH(ROUND(MIN(300,MAX(1,D1385)),0), FactorTable!$A$2:$A$301,0), Skills!M5+1)</f>
        <v/>
      </c>
      <c r="F1385">
        <f>IF(Skills!N5=TRUE,(Skills!L5/10)*(E1385/1000),Skills!L5/10)+Skills!O5</f>
        <v/>
      </c>
      <c r="G1385">
        <f>Skills!G5*IF(Skills!H5&gt;0,Skills!I5/Skills!H5,1)</f>
        <v/>
      </c>
      <c r="H1385">
        <f>1-(1-Skills!J5/100)^Skills!K5</f>
        <v/>
      </c>
      <c r="I1385" t="inlineStr">
        <is>
          <t>1</t>
        </is>
      </c>
      <c r="J1385">
        <f>((Inputs!$B$6*(1+Inputs!$B$7/100))+(((Inputs!$B$12*(1+Inputs!$B$13/100))-(Inputs!$B$12*(1+Inputs!$B$13/100)))+0.25*(Inputs!$B$14-Inputs!$B$14))*(1+Inputs!$B$7/100))*(F1385/100)</f>
        <v/>
      </c>
      <c r="K1385">
        <f>J1385*(1+((Inputs!$B$12*(1+Inputs!$B$13/100))*0.01+Inputs!$B$14*0.0025)/100)*(1+Inputs!$B$15/100)*(1+Inputs!$B$16/100)*(5000/(6000+Inputs!$B$42*(1-(Inputs!$B$19+0)/100)))*(1+(Inputs!$B$24+((C1406=TRUE)*(F1406-Calc!F26))+B1416)/100)*(1+0.4*IF(C1396=TRUE,F1396,0)/100)*(1+(IF(Skills!A5="EIGHT_LEGS_EASTON",Inputs!$B$17+((C1403=TRUE)*(F1403-Calc!F23))+((C1407=TRUE)*(F1407-Calc!F27)),Inputs!$B$18+0))/100)*((1+(((C1397=TRUE)*F1397)+((C1404=TRUE)*(F1404-Calc!F24)))/100)*I1385)</f>
        <v/>
      </c>
      <c r="L1385">
        <f>K1385*(MIN(Inputs!$B$22+((C1402=TRUE)*(F1402-Calc!F22)),Inputs!$B$23+0)/100+(Inputs!$B$23+0)/100)/2</f>
        <v/>
      </c>
      <c r="M1385">
        <f>L1385*(1+(Inputs!$B$10+((C1405=TRUE)*(F1405-Calc!F25))+B1415)/100)</f>
        <v/>
      </c>
      <c r="N1385">
        <f>L1385*(1-MIN((Inputs!$B$9+((C1399=TRUE)*(F1399-Calc!F19))+B1410),100)/100)+M1385*(MIN((Inputs!$B$9+((C1399=TRUE)*(F1399-Calc!F19))+B1410),100)/100)</f>
        <v/>
      </c>
      <c r="O1385">
        <f>(1-Summary!$B$55)*T1385+Summary!$B$55*V1385</f>
        <v/>
      </c>
      <c r="P1385">
        <f>IF(B1420=0,0,O1385/B1420)</f>
        <v/>
      </c>
      <c r="Q1385">
        <f>IFERROR(1/IF(Inputs!$B$38="pvp",15,MAX(0.1,Skills!D5-IF(Skills!E5=TRUE,3.0,0))),0)</f>
        <v/>
      </c>
      <c r="R1385">
        <f>IF(AND(Inputs!$B$38&lt;&gt;"pvp",Inputs!$B$43&gt;0),IF(MAX(0,Inputs!$B$43-B1417)&lt;=0,0,(INT(MAX(0,Inputs!$B$43-B1417)/IF(Inputs!$B$38="pvp",15,MAX(0.1,Skills!D5-IF(Skills!E5=TRUE,3.0,0))))+1)),0)</f>
        <v/>
      </c>
      <c r="S1385">
        <f>IFERROR(O1385/N1385,0)</f>
        <v/>
      </c>
      <c r="T1385">
        <f>IF(C1385,(H1385*N1385*IF(AND(Inputs!$B$38&lt;&gt;"pvp",Inputs!$B$43&gt;0),((Skills!G5*((R1385-1)*IF(Skills!H5&gt;0,Skills!I5/Skills!H5,1)+IF(Skills!H5&gt;0,MIN(Skills!I5,MAX(0,MAX(0,Inputs!$B$43-B1417)-((R1385-1)*IF(Inputs!$B$38="pvp",15,MAX(0.1,Skills!D5-IF(Skills!E5=TRUE,3.0,0))))))/Skills!H5,1)))/Inputs!$B$43),G1385*Q1385))*IF(Inputs!$B$38="pvp",1,1+(Inputs!$B$20+0+Skills!P5)/100),0)</f>
        <v/>
      </c>
      <c r="V1385">
        <f>IF(C1385,(H1385*N1385*IF(AND(Inputs!$B$38&lt;&gt;"pvp",Inputs!$B$43&gt;0),((Skills!G5*((R1385-1)*IF(Skills!H5&gt;0,Skills!I5/Skills!H5,1)+IF(Skills!H5&gt;0,MIN(Skills!I5,MAX(0,MAX(0,Inputs!$B$43-B1417)-((R1385-1)*IF(Inputs!$B$38="pvp",15,MAX(0.1,Skills!D5-IF(Skills!E5=TRUE,3.0,0))))))/Skills!H5,1)))/Inputs!$B$43),G1385*Q1385))*IF(Inputs!$B$38="pvp",1,(1+(Inputs!$B$21+Skills!Q5)/100)*(MIN(Skills!R5,Inputs!$B$37))),0)</f>
        <v/>
      </c>
    </row>
    <row r="1386">
      <c r="A1386">
        <f>Skills!A6</f>
        <v/>
      </c>
      <c r="B1386">
        <f>Skills!B6</f>
        <v/>
      </c>
      <c r="C1386">
        <f>Inputs!$B$3&gt;=63</f>
        <v/>
      </c>
      <c r="D1386">
        <f>IF(Skills!C6=1,60+Inputs!$B$25+Inputs!$B$29,IF(Skills!C6=2,90+Inputs!$B$26+Inputs!$B$29,IF(Skills!C6=3,120+Inputs!$B$27+Inputs!$B$29,MAX(0,(Inputs!$B$3-100)*3)+Inputs!$B$28+Inputs!$B$29)))</f>
        <v/>
      </c>
      <c r="E1386">
        <f>INDEX(FactorTable!$B$2:$Y$301, MATCH(ROUND(MIN(300,MAX(1,D1386)),0), FactorTable!$A$2:$A$301,0), Skills!M6+1)</f>
        <v/>
      </c>
      <c r="F1386">
        <f>IF(Skills!N6=TRUE,(Skills!L6/10)*(E1386/1000),Skills!L6/10)+Skills!O6</f>
        <v/>
      </c>
      <c r="G1386">
        <f>Skills!G6*IF(Skills!H6&gt;0,Skills!I6/Skills!H6,1)</f>
        <v/>
      </c>
      <c r="H1386">
        <f>1-(1-Skills!J6/100)^Skills!K6</f>
        <v/>
      </c>
      <c r="I1386" t="inlineStr">
        <is>
          <t>1</t>
        </is>
      </c>
      <c r="J1386">
        <f>((Inputs!$B$6*(1+Inputs!$B$7/100))+(((Inputs!$B$12*(1+Inputs!$B$13/100))-(Inputs!$B$12*(1+Inputs!$B$13/100)))+0.25*(Inputs!$B$14-Inputs!$B$14))*(1+Inputs!$B$7/100))*(F1386/100)</f>
        <v/>
      </c>
      <c r="K1386">
        <f>J1386*(1+((Inputs!$B$12*(1+Inputs!$B$13/100))*0.01+Inputs!$B$14*0.0025)/100)*(1+Inputs!$B$15/100)*(1+Inputs!$B$16/100)*(5000/(6000+Inputs!$B$42*(1-(Inputs!$B$19+0)/100)))*(1+(Inputs!$B$24+((C1406=TRUE)*(F1406-Calc!F26))+B1416)/100)*(1+2.0*IF(C1395=TRUE,F1395,0)/100)*(1+(IF(Skills!A6="EIGHT_LEGS_EASTON",Inputs!$B$17+((C1403=TRUE)*(F1403-Calc!F23))+((C1407=TRUE)*(F1407-Calc!F27)),Inputs!$B$18+0))/100)*((1+(((C1397=TRUE)*F1397)+((C1404=TRUE)*(F1404-Calc!F24)))/100)*I1386)</f>
        <v/>
      </c>
      <c r="L1386">
        <f>K1386*(MIN(Inputs!$B$22+((C1402=TRUE)*(F1402-Calc!F22)),Inputs!$B$23+0)/100+(Inputs!$B$23+0)/100)/2</f>
        <v/>
      </c>
      <c r="M1386">
        <f>L1386*(1+(Inputs!$B$10+((C1405=TRUE)*(F1405-Calc!F25))+B1415)/100)</f>
        <v/>
      </c>
      <c r="N1386">
        <f>L1386*(1-MIN((Inputs!$B$9+((C1399=TRUE)*(F1399-Calc!F19))+B1410),100)/100)+M1386*(MIN((Inputs!$B$9+((C1399=TRUE)*(F1399-Calc!F19))+B1410),100)/100)</f>
        <v/>
      </c>
      <c r="O1386">
        <f>(1-Summary!$B$55)*T1386+Summary!$B$55*V1386</f>
        <v/>
      </c>
      <c r="P1386">
        <f>IF(B1420=0,0,O1386/B1420)</f>
        <v/>
      </c>
      <c r="Q1386">
        <f>IFERROR(1/IF(Inputs!$B$38="pvp",15,MAX(0.1,Skills!D6-IF(Skills!E6=TRUE,3.0,0))),0)</f>
        <v/>
      </c>
      <c r="R1386">
        <f>IF(AND(Inputs!$B$38&lt;&gt;"pvp",Inputs!$B$43&gt;0),IF(MAX(0,Inputs!$B$43-B1417)&lt;=0,0,(INT(MAX(0,Inputs!$B$43-B1417)/IF(Inputs!$B$38="pvp",15,MAX(0.1,Skills!D6-IF(Skills!E6=TRUE,3.0,0))))+1)),0)</f>
        <v/>
      </c>
      <c r="S1386">
        <f>IFERROR(O1386/N1386,0)</f>
        <v/>
      </c>
      <c r="T1386">
        <f>IF(C1386,(H1386*N1386*IF(AND(Inputs!$B$38&lt;&gt;"pvp",Inputs!$B$43&gt;0),((Skills!G6*((R1386-1)*IF(Skills!H6&gt;0,Skills!I6/Skills!H6,1)+IF(Skills!H6&gt;0,MIN(Skills!I6,MAX(0,MAX(0,Inputs!$B$43-B1417)-((R1386-1)*IF(Inputs!$B$38="pvp",15,MAX(0.1,Skills!D6-IF(Skills!E6=TRUE,3.0,0))))))/Skills!H6,1)))/Inputs!$B$43),G1386*Q1386))*IF(Inputs!$B$38="pvp",1,1+(Inputs!$B$20+0+Skills!P6)/100),0)</f>
        <v/>
      </c>
      <c r="V1386">
        <f>IF(C1386,(H1386*N1386*IF(AND(Inputs!$B$38&lt;&gt;"pvp",Inputs!$B$43&gt;0),((Skills!G6*((R1386-1)*IF(Skills!H6&gt;0,Skills!I6/Skills!H6,1)+IF(Skills!H6&gt;0,MIN(Skills!I6,MAX(0,MAX(0,Inputs!$B$43-B1417)-((R1386-1)*IF(Inputs!$B$38="pvp",15,MAX(0.1,Skills!D6-IF(Skills!E6=TRUE,3.0,0))))))/Skills!H6,1)))/Inputs!$B$43),G1386*Q1386))*IF(Inputs!$B$38="pvp",1,(1+(Inputs!$B$21+Skills!Q6)/100)*(MIN(Skills!R6,Inputs!$B$37))),0)</f>
        <v/>
      </c>
    </row>
    <row r="1387">
      <c r="A1387">
        <f>Skills!A7</f>
        <v/>
      </c>
      <c r="B1387">
        <f>Skills!B7</f>
        <v/>
      </c>
      <c r="C1387">
        <f>Inputs!$B$3&gt;=66</f>
        <v/>
      </c>
      <c r="D1387">
        <f>IF(Skills!C7=1,60+Inputs!$B$25+Inputs!$B$29,IF(Skills!C7=2,90+Inputs!$B$26+Inputs!$B$29,IF(Skills!C7=3,120+Inputs!$B$27+Inputs!$B$29,MAX(0,(Inputs!$B$3-100)*3)+Inputs!$B$28+Inputs!$B$29)))</f>
        <v/>
      </c>
      <c r="E1387">
        <f>INDEX(FactorTable!$B$2:$Y$301, MATCH(ROUND(MIN(300,MAX(1,D1387)),0), FactorTable!$A$2:$A$301,0), Skills!M7+1)</f>
        <v/>
      </c>
      <c r="F1387">
        <f>IF(Skills!N7=TRUE,(Skills!L7/10)*(E1387/1000),Skills!L7/10)+Skills!O7</f>
        <v/>
      </c>
      <c r="G1387">
        <f>Skills!G7*IF(Skills!H7&gt;0,Skills!I7/Skills!H7,1)</f>
        <v/>
      </c>
      <c r="H1387">
        <f>1-(1-Skills!J7/100)^Skills!K7</f>
        <v/>
      </c>
      <c r="I1387" t="inlineStr">
        <is>
          <t>1</t>
        </is>
      </c>
      <c r="J1387">
        <f>((Inputs!$B$6*(1+Inputs!$B$7/100))+(((Inputs!$B$12*(1+Inputs!$B$13/100))-(Inputs!$B$12*(1+Inputs!$B$13/100)))+0.25*(Inputs!$B$14-Inputs!$B$14))*(1+Inputs!$B$7/100))*(F1387/100)</f>
        <v/>
      </c>
      <c r="K1387">
        <f>J1387*(1+((Inputs!$B$12*(1+Inputs!$B$13/100))*0.01+Inputs!$B$14*0.0025)/100)*(1+Inputs!$B$15/100)*(1+Inputs!$B$16/100)*(5000/(6000+Inputs!$B$42*(1-(Inputs!$B$19+0)/100)))*(1+(Inputs!$B$24+((C1406=TRUE)*(F1406-Calc!F26))+B1416)/100)*(1+1.0*IF(C1395=TRUE,F1395,0)/100)*(1+(IF(Skills!A7="EIGHT_LEGS_EASTON",Inputs!$B$17+((C1403=TRUE)*(F1403-Calc!F23))+((C1407=TRUE)*(F1407-Calc!F27)),Inputs!$B$18+0))/100)*((1+(((C1397=TRUE)*F1397)+((C1404=TRUE)*(F1404-Calc!F24)))/100)*I1387)</f>
        <v/>
      </c>
      <c r="L1387">
        <f>K1387*(MIN(Inputs!$B$22+((C1402=TRUE)*(F1402-Calc!F22)),Inputs!$B$23+0)/100+(Inputs!$B$23+0)/100)/2</f>
        <v/>
      </c>
      <c r="M1387">
        <f>L1387*(1+(Inputs!$B$10+((C1405=TRUE)*(F1405-Calc!F25))+B1415)/100)</f>
        <v/>
      </c>
      <c r="N1387">
        <f>L1387*(1-MIN((Inputs!$B$9+((C1399=TRUE)*(F1399-Calc!F19))+B1410),100)/100)+M1387*(MIN((Inputs!$B$9+((C1399=TRUE)*(F1399-Calc!F19))+B1410),100)/100)</f>
        <v/>
      </c>
      <c r="O1387">
        <f>(1-Summary!$B$55)*T1387+Summary!$B$55*V1387</f>
        <v/>
      </c>
      <c r="P1387">
        <f>IF(B1420=0,0,O1387/B1420)</f>
        <v/>
      </c>
      <c r="Q1387">
        <f>IFERROR(1/IF(Inputs!$B$38="pvp",15,MAX(0.1,Skills!D7-IF(Skills!E7=TRUE,3.0,0))),0)</f>
        <v/>
      </c>
      <c r="R1387">
        <f>IF(AND(Inputs!$B$38&lt;&gt;"pvp",Inputs!$B$43&gt;0),IF(MAX(0,Inputs!$B$43-B1417)&lt;=0,0,(INT(MAX(0,Inputs!$B$43-B1417)/IF(Inputs!$B$38="pvp",15,MAX(0.1,Skills!D7-IF(Skills!E7=TRUE,3.0,0))))+1)),0)</f>
        <v/>
      </c>
      <c r="S1387">
        <f>IFERROR(O1387/N1387,0)</f>
        <v/>
      </c>
      <c r="T1387">
        <f>IF(C1387,(H1387*N1387*IF(AND(Inputs!$B$38&lt;&gt;"pvp",Inputs!$B$43&gt;0),((Skills!G7*((R1387-1)*IF(Skills!H7&gt;0,Skills!I7/Skills!H7,1)+IF(Skills!H7&gt;0,MIN(Skills!I7,MAX(0,MAX(0,Inputs!$B$43-B1417)-((R1387-1)*IF(Inputs!$B$38="pvp",15,MAX(0.1,Skills!D7-IF(Skills!E7=TRUE,3.0,0))))))/Skills!H7,1)))/Inputs!$B$43),G1387*Q1387))*IF(Inputs!$B$38="pvp",1,1+(Inputs!$B$20+0+Skills!P7)/100),0)</f>
        <v/>
      </c>
      <c r="V1387">
        <f>IF(C1387,(H1387*N1387*IF(AND(Inputs!$B$38&lt;&gt;"pvp",Inputs!$B$43&gt;0),((Skills!G7*((R1387-1)*IF(Skills!H7&gt;0,Skills!I7/Skills!H7,1)+IF(Skills!H7&gt;0,MIN(Skills!I7,MAX(0,MAX(0,Inputs!$B$43-B1417)-((R1387-1)*IF(Inputs!$B$38="pvp",15,MAX(0.1,Skills!D7-IF(Skills!E7=TRUE,3.0,0))))))/Skills!H7,1)))/Inputs!$B$43),G1387*Q1387))*IF(Inputs!$B$38="pvp",1,(1+(Inputs!$B$21+Skills!Q7)/100)*(MIN(Skills!R7,Inputs!$B$37))),0)</f>
        <v/>
      </c>
    </row>
    <row r="1388">
      <c r="A1388">
        <f>Skills!A8</f>
        <v/>
      </c>
      <c r="B1388">
        <f>Skills!B8</f>
        <v/>
      </c>
      <c r="C1388">
        <f>Inputs!$B$3&gt;=100</f>
        <v/>
      </c>
      <c r="D1388">
        <f>IF(Skills!C8=1,60+Inputs!$B$25+Inputs!$B$29,IF(Skills!C8=2,90+Inputs!$B$26+Inputs!$B$29,IF(Skills!C8=3,120+Inputs!$B$27+Inputs!$B$29,MAX(0,(Inputs!$B$3-100)*3)+Inputs!$B$28+Inputs!$B$29)))</f>
        <v/>
      </c>
      <c r="E1388">
        <f>INDEX(FactorTable!$B$2:$Y$301, MATCH(ROUND(MIN(300,MAX(1,D1388)),0), FactorTable!$A$2:$A$301,0), Skills!M8+1)</f>
        <v/>
      </c>
      <c r="F1388">
        <f>IF(Skills!N8=TRUE,(Skills!L8/10)*(E1388/1000),Skills!L8/10)+Skills!O8</f>
        <v/>
      </c>
      <c r="G1388">
        <f>Skills!G8*IF(Skills!H8&gt;0,Skills!I8/Skills!H8,1)</f>
        <v/>
      </c>
      <c r="H1388">
        <f>1-(1-Skills!J8/100)^Skills!K8</f>
        <v/>
      </c>
      <c r="I1388" t="inlineStr">
        <is>
          <t>1</t>
        </is>
      </c>
      <c r="J1388">
        <f>((Inputs!$B$6*(1+Inputs!$B$7/100))+(((Inputs!$B$12*(1+Inputs!$B$13/100))-(Inputs!$B$12*(1+Inputs!$B$13/100)))+0.25*(Inputs!$B$14-Inputs!$B$14))*(1+Inputs!$B$7/100))*(F1388/100)</f>
        <v/>
      </c>
      <c r="K1388">
        <f>J1388*(1+((Inputs!$B$12*(1+Inputs!$B$13/100))*0.01+Inputs!$B$14*0.0025)/100)*(1+Inputs!$B$15/100)*(1+Inputs!$B$16/100)*(5000/(6000+Inputs!$B$42*(1-(Inputs!$B$19+0)/100)))*(1+(Inputs!$B$24+((C1406=TRUE)*(F1406-Calc!F26))+B1416)/100)*(1+(IF(Skills!A8="EIGHT_LEGS_EASTON",Inputs!$B$17+((C1403=TRUE)*(F1403-Calc!F23))+((C1407=TRUE)*(F1407-Calc!F27)),Inputs!$B$18+0))/100)*((1+(((C1397=TRUE)*F1397)+((C1404=TRUE)*(F1404-Calc!F24)))/100)*I1388)</f>
        <v/>
      </c>
      <c r="L1388">
        <f>K1388*(MIN(Inputs!$B$22+((C1402=TRUE)*(F1402-Calc!F22)),Inputs!$B$23+0)/100+(Inputs!$B$23+0)/100)/2</f>
        <v/>
      </c>
      <c r="M1388">
        <f>L1388*(1+(Inputs!$B$10+((C1405=TRUE)*(F1405-Calc!F25))+B1415)/100)</f>
        <v/>
      </c>
      <c r="N1388">
        <f>L1388*(1-MIN((Inputs!$B$9+((C1399=TRUE)*(F1399-Calc!F19))+B1410),100)/100)+M1388*(MIN((Inputs!$B$9+((C1399=TRUE)*(F1399-Calc!F19))+B1410),100)/100)</f>
        <v/>
      </c>
      <c r="O1388">
        <f>(1-Summary!$B$55)*T1388+Summary!$B$55*V1388</f>
        <v/>
      </c>
      <c r="P1388">
        <f>IF(B1420=0,0,O1388/B1420)</f>
        <v/>
      </c>
      <c r="Q1388">
        <f>IFERROR(1/IF(Inputs!$B$38="pvp",15,MAX(0.1,Skills!D8-IF(Skills!E8=TRUE,3.0,0))),0)</f>
        <v/>
      </c>
      <c r="R1388">
        <f>IF(AND(Inputs!$B$38&lt;&gt;"pvp",Inputs!$B$43&gt;0),IF(MAX(0,Inputs!$B$43-B1417)&lt;=0,0,(INT(MAX(0,Inputs!$B$43-B1417)/IF(Inputs!$B$38="pvp",15,MAX(0.1,Skills!D8-IF(Skills!E8=TRUE,3.0,0))))+1)),0)</f>
        <v/>
      </c>
      <c r="S1388">
        <f>IFERROR(O1388/N1388,0)</f>
        <v/>
      </c>
      <c r="T1388">
        <f>IF(C1388,(H1388*N1388*IF(AND(Inputs!$B$38&lt;&gt;"pvp",Inputs!$B$43&gt;0),((Skills!G8*((R1388-1)*IF(Skills!H8&gt;0,Skills!I8/Skills!H8,1)+IF(Skills!H8&gt;0,MIN(Skills!I8,MAX(0,MAX(0,Inputs!$B$43-B1417)-((R1388-1)*IF(Inputs!$B$38="pvp",15,MAX(0.1,Skills!D8-IF(Skills!E8=TRUE,3.0,0))))))/Skills!H8,1)))/Inputs!$B$43),G1388*Q1388))*IF(Inputs!$B$38="pvp",1,1+(Inputs!$B$20+0+Skills!P8)/100),0)</f>
        <v/>
      </c>
      <c r="V1388">
        <f>IF(C1388,(H1388*N1388*IF(AND(Inputs!$B$38&lt;&gt;"pvp",Inputs!$B$43&gt;0),((Skills!G8*((R1388-1)*IF(Skills!H8&gt;0,Skills!I8/Skills!H8,1)+IF(Skills!H8&gt;0,MIN(Skills!I8,MAX(0,MAX(0,Inputs!$B$43-B1417)-((R1388-1)*IF(Inputs!$B$38="pvp",15,MAX(0.1,Skills!D8-IF(Skills!E8=TRUE,3.0,0))))))/Skills!H8,1)))/Inputs!$B$43),G1388*Q1388))*IF(Inputs!$B$38="pvp",1,(1+(Inputs!$B$21+Skills!Q8)/100)*(MIN(Skills!R8,Inputs!$B$37))),0)</f>
        <v/>
      </c>
    </row>
    <row r="1389">
      <c r="A1389">
        <f>Skills!A9</f>
        <v/>
      </c>
      <c r="B1389">
        <f>Skills!B9</f>
        <v/>
      </c>
      <c r="C1389">
        <f>Inputs!$B$3&gt;=103</f>
        <v/>
      </c>
      <c r="D1389">
        <f>IF(Skills!C9=1,60+Inputs!$B$25+Inputs!$B$29,IF(Skills!C9=2,90+Inputs!$B$26+Inputs!$B$29,IF(Skills!C9=3,120+Inputs!$B$27+Inputs!$B$29,MAX(0,(Inputs!$B$3-100)*3)+Inputs!$B$28+Inputs!$B$29)))</f>
        <v/>
      </c>
      <c r="E1389">
        <f>INDEX(FactorTable!$B$2:$Y$301, MATCH(ROUND(MIN(300,MAX(1,D1389)),0), FactorTable!$A$2:$A$301,0), Skills!M9+1)</f>
        <v/>
      </c>
      <c r="F1389">
        <f>IF(Skills!N9=TRUE,(Skills!L9/10)*(E1389/1000),Skills!L9/10)+Skills!O9</f>
        <v/>
      </c>
      <c r="G1389">
        <f>Skills!G9*IF(Skills!H9&gt;0,Skills!I9/Skills!H9,1)</f>
        <v/>
      </c>
      <c r="H1389">
        <f>1-(1-Skills!J9/100)^Skills!K9</f>
        <v/>
      </c>
      <c r="I1389" t="inlineStr">
        <is>
          <t>1</t>
        </is>
      </c>
      <c r="J1389">
        <f>((Inputs!$B$6*(1+Inputs!$B$7/100))+(((Inputs!$B$12*(1+Inputs!$B$13/100))-(Inputs!$B$12*(1+Inputs!$B$13/100)))+0.25*(Inputs!$B$14-Inputs!$B$14))*(1+Inputs!$B$7/100))*(F1389/100)</f>
        <v/>
      </c>
      <c r="K1389">
        <f>J1389*(1+((Inputs!$B$12*(1+Inputs!$B$13/100))*0.01+Inputs!$B$14*0.0025)/100)*(1+Inputs!$B$15/100)*(1+Inputs!$B$16/100)*(5000/(6000+Inputs!$B$42*(1-(Inputs!$B$19+0)/100)))*(1+(Inputs!$B$24+((C1406=TRUE)*(F1406-Calc!F26))+B1416)/100)*(1+(IF(Skills!A9="EIGHT_LEGS_EASTON",Inputs!$B$17+((C1403=TRUE)*(F1403-Calc!F23))+((C1407=TRUE)*(F1407-Calc!F27)),Inputs!$B$18+0))/100)*((1+(((C1397=TRUE)*F1397)+((C1404=TRUE)*(F1404-Calc!F24)))/100)*I1389)</f>
        <v/>
      </c>
      <c r="L1389">
        <f>K1389*(MIN(Inputs!$B$22+((C1402=TRUE)*(F1402-Calc!F22)),Inputs!$B$23+0)/100+(Inputs!$B$23+0)/100)/2</f>
        <v/>
      </c>
      <c r="M1389">
        <f>L1389*(1+(Inputs!$B$10+((C1405=TRUE)*(F1405-Calc!F25))+B1415)/100)</f>
        <v/>
      </c>
      <c r="N1389">
        <f>L1389*(1-MIN((Inputs!$B$9+((C1399=TRUE)*(F1399-Calc!F19))+B1410),100)/100)+M1389*(MIN((Inputs!$B$9+((C1399=TRUE)*(F1399-Calc!F19))+B1410),100)/100)</f>
        <v/>
      </c>
      <c r="O1389">
        <f>(1-Summary!$B$55)*T1389+Summary!$B$55*V1389</f>
        <v/>
      </c>
      <c r="P1389">
        <f>IF(B1420=0,0,O1389/B1420)</f>
        <v/>
      </c>
      <c r="Q1389">
        <f>IFERROR(1/IF(Inputs!$B$38="pvp",15,MAX(0.1,Skills!D9-IF(Skills!E9=TRUE,3.0,0))),0)</f>
        <v/>
      </c>
      <c r="R1389">
        <f>IF(AND(Inputs!$B$38&lt;&gt;"pvp",Inputs!$B$43&gt;0),IF(MAX(0,Inputs!$B$43-B1417)&lt;=0,0,(INT(MAX(0,Inputs!$B$43-B1417)/IF(Inputs!$B$38="pvp",15,MAX(0.1,Skills!D9-IF(Skills!E9=TRUE,3.0,0))))+1)),0)</f>
        <v/>
      </c>
      <c r="S1389">
        <f>IFERROR(O1389/N1389,0)</f>
        <v/>
      </c>
      <c r="T1389">
        <f>IF(C1389,(H1389*N1389*IF(AND(Inputs!$B$38&lt;&gt;"pvp",Inputs!$B$43&gt;0),((Skills!G9*((R1389-1)*IF(Skills!H9&gt;0,Skills!I9/Skills!H9,1)+IF(Skills!H9&gt;0,MIN(Skills!I9,MAX(0,MAX(0,Inputs!$B$43-B1417)-((R1389-1)*IF(Inputs!$B$38="pvp",15,MAX(0.1,Skills!D9-IF(Skills!E9=TRUE,3.0,0))))))/Skills!H9,1)))/Inputs!$B$43),G1389*Q1389))*IF(Inputs!$B$38="pvp",1,1+(Inputs!$B$20+0+Skills!P9)/100),0)</f>
        <v/>
      </c>
      <c r="V1389">
        <f>IF(C1389,(H1389*N1389*IF(AND(Inputs!$B$38&lt;&gt;"pvp",Inputs!$B$43&gt;0),((Skills!G9*((R1389-1)*IF(Skills!H9&gt;0,Skills!I9/Skills!H9,1)+IF(Skills!H9&gt;0,MIN(Skills!I9,MAX(0,MAX(0,Inputs!$B$43-B1417)-((R1389-1)*IF(Inputs!$B$38="pvp",15,MAX(0.1,Skills!D9-IF(Skills!E9=TRUE,3.0,0))))))/Skills!H9,1)))/Inputs!$B$43),G1389*Q1389))*IF(Inputs!$B$38="pvp",1,(1+(Inputs!$B$21+Skills!Q9)/100)*(MIN(Skills!R9,Inputs!$B$37))),0)</f>
        <v/>
      </c>
    </row>
    <row r="1390">
      <c r="A1390">
        <f>Skills!A10</f>
        <v/>
      </c>
      <c r="B1390">
        <f>Skills!B10</f>
        <v/>
      </c>
      <c r="C1390">
        <f>Inputs!$B$3&gt;=113</f>
        <v/>
      </c>
      <c r="D1390">
        <f>IF(Skills!C10=1,60+Inputs!$B$25+Inputs!$B$29,IF(Skills!C10=2,90+Inputs!$B$26+Inputs!$B$29,IF(Skills!C10=3,120+Inputs!$B$27+Inputs!$B$29,MAX(0,(Inputs!$B$3-100)*3)+Inputs!$B$28+Inputs!$B$29)))</f>
        <v/>
      </c>
      <c r="E1390">
        <f>INDEX(FactorTable!$B$2:$Y$301, MATCH(ROUND(MIN(300,MAX(1,D1390)),0), FactorTable!$A$2:$A$301,0), Skills!M10+1)</f>
        <v/>
      </c>
      <c r="F1390">
        <f>IF(Skills!N10=TRUE,(Skills!L10/10)*(E1390/1000),Skills!L10/10)+Skills!O10</f>
        <v/>
      </c>
      <c r="G1390">
        <f>Skills!G10*IF(Skills!H10&gt;0,Skills!I10/Skills!H10,1)</f>
        <v/>
      </c>
      <c r="H1390">
        <f>1-(1-Skills!J10/100)^Skills!K10</f>
        <v/>
      </c>
      <c r="I1390" t="inlineStr">
        <is>
          <t>1</t>
        </is>
      </c>
      <c r="J1390">
        <f>((Inputs!$B$6*(1+Inputs!$B$7/100))+(((Inputs!$B$12*(1+Inputs!$B$13/100))-(Inputs!$B$12*(1+Inputs!$B$13/100)))+0.25*(Inputs!$B$14-Inputs!$B$14))*(1+Inputs!$B$7/100))*(F1390/100)</f>
        <v/>
      </c>
      <c r="K1390">
        <f>J1390*(1+((Inputs!$B$12*(1+Inputs!$B$13/100))*0.01+Inputs!$B$14*0.0025)/100)*(1+Inputs!$B$15/100)*(1+Inputs!$B$16/100)*(5000/(6000+Inputs!$B$42*(1-(Inputs!$B$19+0)/100)))*(1+(Inputs!$B$24+((C1406=TRUE)*(F1406-Calc!F26))+B1416)/100)*(1+(IF(Skills!A10="EIGHT_LEGS_EASTON",Inputs!$B$17+((C1403=TRUE)*(F1403-Calc!F23))+((C1407=TRUE)*(F1407-Calc!F27)),Inputs!$B$18+0))/100)*((1+(((C1397=TRUE)*F1397)+((C1404=TRUE)*(F1404-Calc!F24)))/100)*I1390)</f>
        <v/>
      </c>
      <c r="L1390">
        <f>K1390*(MIN(Inputs!$B$22+((C1402=TRUE)*(F1402-Calc!F22)),Inputs!$B$23+0)/100+(Inputs!$B$23+0)/100)/2</f>
        <v/>
      </c>
      <c r="M1390">
        <f>L1390*(1+(Inputs!$B$10+((C1405=TRUE)*(F1405-Calc!F25))+B1415)/100)</f>
        <v/>
      </c>
      <c r="N1390">
        <f>L1390*(1-MIN((Inputs!$B$9+((C1399=TRUE)*(F1399-Calc!F19))+B1410),100)/100)+M1390*(MIN((Inputs!$B$9+((C1399=TRUE)*(F1399-Calc!F19))+B1410),100)/100)</f>
        <v/>
      </c>
      <c r="O1390">
        <f>(1-Summary!$B$55)*T1390+Summary!$B$55*V1390</f>
        <v/>
      </c>
      <c r="P1390">
        <f>IF(B1420=0,0,O1390/B1420)</f>
        <v/>
      </c>
      <c r="Q1390">
        <f>IFERROR(1/IF(Inputs!$B$38="pvp",15,MAX(0.1,Skills!D10-IF(Skills!E10=TRUE,3.0,0))),0)</f>
        <v/>
      </c>
      <c r="R1390">
        <f>IF(AND(Inputs!$B$38&lt;&gt;"pvp",Inputs!$B$43&gt;0),IF(MAX(0,Inputs!$B$43-B1417)&lt;=0,0,(INT(MAX(0,Inputs!$B$43-B1417)/IF(Inputs!$B$38="pvp",15,MAX(0.1,Skills!D10-IF(Skills!E10=TRUE,3.0,0))))+1)),0)</f>
        <v/>
      </c>
      <c r="S1390">
        <f>IFERROR(O1390/N1390,0)</f>
        <v/>
      </c>
      <c r="T1390">
        <f>IF(C1390,(H1390*N1390*IF(AND(Inputs!$B$38&lt;&gt;"pvp",Inputs!$B$43&gt;0),((Skills!G10*((R1390-1)*IF(Skills!H10&gt;0,Skills!I10/Skills!H10,1)+IF(Skills!H10&gt;0,MIN(Skills!I10,MAX(0,MAX(0,Inputs!$B$43-B1417)-((R1390-1)*IF(Inputs!$B$38="pvp",15,MAX(0.1,Skills!D10-IF(Skills!E10=TRUE,3.0,0))))))/Skills!H10,1)))/Inputs!$B$43),G1390*Q1390))*IF(Inputs!$B$38="pvp",1,1+(Inputs!$B$20+0+Skills!P10)/100),0)</f>
        <v/>
      </c>
      <c r="V1390">
        <f>IF(C1390,(H1390*N1390*IF(AND(Inputs!$B$38&lt;&gt;"pvp",Inputs!$B$43&gt;0),((Skills!G10*((R1390-1)*IF(Skills!H10&gt;0,Skills!I10/Skills!H10,1)+IF(Skills!H10&gt;0,MIN(Skills!I10,MAX(0,MAX(0,Inputs!$B$43-B1417)-((R1390-1)*IF(Inputs!$B$38="pvp",15,MAX(0.1,Skills!D10-IF(Skills!E10=TRUE,3.0,0))))))/Skills!H10,1)))/Inputs!$B$43),G1390*Q1390))*IF(Inputs!$B$38="pvp",1,(1+(Inputs!$B$21+Skills!Q10)/100)*(MIN(Skills!R10,Inputs!$B$37))),0)</f>
        <v/>
      </c>
    </row>
    <row r="1391">
      <c r="A1391">
        <f>Skills!A11</f>
        <v/>
      </c>
      <c r="B1391">
        <f>Skills!B11</f>
        <v/>
      </c>
      <c r="C1391">
        <f>Inputs!$B$3&gt;=107</f>
        <v/>
      </c>
      <c r="D1391">
        <f>IF(Skills!C11=1,60+Inputs!$B$25+Inputs!$B$29,IF(Skills!C11=2,90+Inputs!$B$26+Inputs!$B$29,IF(Skills!C11=3,120+Inputs!$B$27+Inputs!$B$29,MAX(0,(Inputs!$B$3-100)*3)+Inputs!$B$28+Inputs!$B$29)))</f>
        <v/>
      </c>
      <c r="E1391">
        <f>INDEX(FactorTable!$B$2:$Y$301, MATCH(ROUND(MIN(300,MAX(1,D1391)),0), FactorTable!$A$2:$A$301,0), Skills!M11+1)</f>
        <v/>
      </c>
      <c r="F1391">
        <f>IF(Skills!N11=TRUE,(Skills!L11/10)*(E1391/1000),Skills!L11/10)+Skills!O11</f>
        <v/>
      </c>
      <c r="G1391">
        <f>Skills!G11*IF(Skills!H11&gt;0,Skills!I11/Skills!H11,1)</f>
        <v/>
      </c>
      <c r="H1391">
        <f>1-(1-Skills!J11/100)^Skills!K11</f>
        <v/>
      </c>
      <c r="I1391" t="inlineStr">
        <is>
          <t>1</t>
        </is>
      </c>
      <c r="J1391">
        <f>((Inputs!$B$6*(1+Inputs!$B$7/100))+(((Inputs!$B$12*(1+Inputs!$B$13/100))-(Inputs!$B$12*(1+Inputs!$B$13/100)))+0.25*(Inputs!$B$14-Inputs!$B$14))*(1+Inputs!$B$7/100))*(F1391/100)</f>
        <v/>
      </c>
      <c r="K1391">
        <f>J1391*(1+((Inputs!$B$12*(1+Inputs!$B$13/100))*0.01+Inputs!$B$14*0.0025)/100)*(1+Inputs!$B$15/100)*(1+Inputs!$B$16/100)*(5000/(6000+Inputs!$B$42*(1-(Inputs!$B$19+0)/100)))*(1+(Inputs!$B$24+((C1406=TRUE)*(F1406-Calc!F26))+B1416)/100)*(1+(IF(Skills!A11="EIGHT_LEGS_EASTON",Inputs!$B$17+((C1403=TRUE)*(F1403-Calc!F23))+((C1407=TRUE)*(F1407-Calc!F27)),Inputs!$B$18+0))/100)*((1+(((C1397=TRUE)*F1397)+((C1404=TRUE)*(F1404-Calc!F24)))/100)*I1391)</f>
        <v/>
      </c>
      <c r="L1391">
        <f>K1391*(MIN(Inputs!$B$22+((C1402=TRUE)*(F1402-Calc!F22)),Inputs!$B$23+0)/100+(Inputs!$B$23+0)/100)/2</f>
        <v/>
      </c>
      <c r="M1391">
        <f>L1391*(1+(Inputs!$B$10+((C1405=TRUE)*(F1405-Calc!F25))+B1415)/100)</f>
        <v/>
      </c>
      <c r="N1391">
        <f>L1391*(1-MIN((Inputs!$B$9+((C1399=TRUE)*(F1399-Calc!F19))+B1410),100)/100)+M1391*(MIN((Inputs!$B$9+((C1399=TRUE)*(F1399-Calc!F19))+B1410),100)/100)</f>
        <v/>
      </c>
      <c r="O1391">
        <f>(1-Summary!$B$55)*T1391+Summary!$B$55*V1391</f>
        <v/>
      </c>
      <c r="P1391">
        <f>IF(B1420=0,0,O1391/B1420)</f>
        <v/>
      </c>
      <c r="Q1391">
        <f>IFERROR(1/IF(Inputs!$B$38="pvp",15,MAX(0.1,Skills!D11-IF(Skills!E11=TRUE,3.0,0))),0)</f>
        <v/>
      </c>
      <c r="R1391">
        <f>IF(AND(Inputs!$B$38&lt;&gt;"pvp",Inputs!$B$43&gt;0),IF(MAX(0,Inputs!$B$43-B1417)&lt;=0,0,(INT(MAX(0,Inputs!$B$43-B1417)/IF(Inputs!$B$38="pvp",15,MAX(0.1,Skills!D11-IF(Skills!E11=TRUE,3.0,0))))+1)),0)</f>
        <v/>
      </c>
      <c r="S1391">
        <f>IFERROR(O1391/N1391,0)</f>
        <v/>
      </c>
      <c r="T1391">
        <f>IF(C1391,(H1391*N1391*IF(AND(Inputs!$B$38&lt;&gt;"pvp",Inputs!$B$43&gt;0),((Skills!G11*((R1391-1)*IF(Skills!H11&gt;0,Skills!I11/Skills!H11,1)+IF(Skills!H11&gt;0,MIN(Skills!I11,MAX(0,MAX(0,Inputs!$B$43-B1417)-((R1391-1)*IF(Inputs!$B$38="pvp",15,MAX(0.1,Skills!D11-IF(Skills!E11=TRUE,3.0,0))))))/Skills!H11,1)))/Inputs!$B$43),G1391*Q1391))*IF(Inputs!$B$38="pvp",1,1+(Inputs!$B$20+0+Skills!P11)/100),0)</f>
        <v/>
      </c>
      <c r="V1391">
        <f>IF(C1391,(H1391*N1391*IF(AND(Inputs!$B$38&lt;&gt;"pvp",Inputs!$B$43&gt;0),((Skills!G11*((R1391-1)*IF(Skills!H11&gt;0,Skills!I11/Skills!H11,1)+IF(Skills!H11&gt;0,MIN(Skills!I11,MAX(0,MAX(0,Inputs!$B$43-B1417)-((R1391-1)*IF(Inputs!$B$38="pvp",15,MAX(0.1,Skills!D11-IF(Skills!E11=TRUE,3.0,0))))))/Skills!H11,1)))/Inputs!$B$43),G1391*Q1391))*IF(Inputs!$B$38="pvp",1,(1+(Inputs!$B$21+Skills!Q11)/100)*(MIN(Skills!R11,Inputs!$B$37))),0)</f>
        <v/>
      </c>
    </row>
    <row r="1392">
      <c r="A1392">
        <f>Skills!A12</f>
        <v/>
      </c>
      <c r="B1392">
        <f>Skills!B12</f>
        <v/>
      </c>
      <c r="C1392">
        <f>Inputs!$B$3&gt;=110</f>
        <v/>
      </c>
      <c r="D1392">
        <f>IF(Skills!C12=1,60+Inputs!$B$25+Inputs!$B$29,IF(Skills!C12=2,90+Inputs!$B$26+Inputs!$B$29,IF(Skills!C12=3,120+Inputs!$B$27+Inputs!$B$29,MAX(0,(Inputs!$B$3-100)*3)+Inputs!$B$28+Inputs!$B$29)))</f>
        <v/>
      </c>
      <c r="E1392">
        <f>INDEX(FactorTable!$B$2:$Y$301, MATCH(ROUND(MIN(300,MAX(1,D1392)),0), FactorTable!$A$2:$A$301,0), Skills!M12+1)</f>
        <v/>
      </c>
      <c r="F1392">
        <f>IF(Skills!N12=TRUE,(Skills!L12/10)*(E1392/1000),Skills!L12/10)+Skills!O12</f>
        <v/>
      </c>
      <c r="G1392">
        <f>Skills!G12*IF(Skills!H12&gt;0,Skills!I12/Skills!H12,1)</f>
        <v/>
      </c>
      <c r="H1392">
        <f>1-(1-Skills!J12/100)^Skills!K12</f>
        <v/>
      </c>
      <c r="I1392" t="inlineStr">
        <is>
          <t>1</t>
        </is>
      </c>
      <c r="J1392">
        <f>((Inputs!$B$6*(1+Inputs!$B$7/100))+(((Inputs!$B$12*(1+Inputs!$B$13/100))-(Inputs!$B$12*(1+Inputs!$B$13/100)))+0.25*(Inputs!$B$14-Inputs!$B$14))*(1+Inputs!$B$7/100))*(F1392/100)</f>
        <v/>
      </c>
      <c r="K1392">
        <f>J1392*(1+((Inputs!$B$12*(1+Inputs!$B$13/100))*0.01+Inputs!$B$14*0.0025)/100)*(1+Inputs!$B$15/100)*(1+Inputs!$B$16/100)*(5000/(6000+Inputs!$B$42*(1-(Inputs!$B$19+0)/100)))*(1+(Inputs!$B$24+((C1406=TRUE)*(F1406-Calc!F26))+B1416)/100)*(1+(IF(Skills!A12="EIGHT_LEGS_EASTON",Inputs!$B$17+((C1403=TRUE)*(F1403-Calc!F23))+((C1407=TRUE)*(F1407-Calc!F27)),Inputs!$B$18+0))/100)*((1+(((C1397=TRUE)*F1397)+((C1404=TRUE)*(F1404-Calc!F24)))/100)*I1392)</f>
        <v/>
      </c>
      <c r="L1392">
        <f>K1392*(MIN(Inputs!$B$22+((C1402=TRUE)*(F1402-Calc!F22)),Inputs!$B$23+0)/100+(Inputs!$B$23+0)/100)/2</f>
        <v/>
      </c>
      <c r="M1392">
        <f>L1392*(1+(Inputs!$B$10+((C1405=TRUE)*(F1405-Calc!F25))+B1415)/100)</f>
        <v/>
      </c>
      <c r="N1392">
        <f>L1392*(1-MIN((Inputs!$B$9+((C1399=TRUE)*(F1399-Calc!F19))+B1410),100)/100)+M1392*(MIN((Inputs!$B$9+((C1399=TRUE)*(F1399-Calc!F19))+B1410),100)/100)</f>
        <v/>
      </c>
      <c r="O1392">
        <f>(1-Summary!$B$55)*T1392+Summary!$B$55*V1392</f>
        <v/>
      </c>
      <c r="P1392">
        <f>IF(B1420=0,0,O1392/B1420)</f>
        <v/>
      </c>
      <c r="Q1392">
        <f>IFERROR(1/IF(Inputs!$B$38="pvp",15,MAX(0.1,Skills!D12-IF(Skills!E12=TRUE,3.0,0))),0)</f>
        <v/>
      </c>
      <c r="R1392">
        <f>IF(AND(Inputs!$B$38&lt;&gt;"pvp",Inputs!$B$43&gt;0),IF(MAX(0,Inputs!$B$43-B1417)&lt;=0,0,(INT(MAX(0,Inputs!$B$43-B1417)/IF(Inputs!$B$38="pvp",15,MAX(0.1,Skills!D12-IF(Skills!E12=TRUE,3.0,0))))+1)),0)</f>
        <v/>
      </c>
      <c r="S1392">
        <f>IFERROR(O1392/N1392,0)</f>
        <v/>
      </c>
      <c r="T1392">
        <f>IF(C1392,(H1392*N1392*IF(AND(Inputs!$B$38&lt;&gt;"pvp",Inputs!$B$43&gt;0),((Skills!G12*((R1392-1)*IF(Skills!H12&gt;0,Skills!I12/Skills!H12,1)+IF(Skills!H12&gt;0,MIN(Skills!I12,MAX(0,MAX(0,Inputs!$B$43-B1417)-((R1392-1)*IF(Inputs!$B$38="pvp",15,MAX(0.1,Skills!D12-IF(Skills!E12=TRUE,3.0,0))))))/Skills!H12,1)))/Inputs!$B$43),G1392*Q1392))*IF(Inputs!$B$38="pvp",1,1+(Inputs!$B$20+0+Skills!P12)/100),0)</f>
        <v/>
      </c>
      <c r="V1392">
        <f>IF(C1392,(H1392*N1392*IF(AND(Inputs!$B$38&lt;&gt;"pvp",Inputs!$B$43&gt;0),((Skills!G12*((R1392-1)*IF(Skills!H12&gt;0,Skills!I12/Skills!H12,1)+IF(Skills!H12&gt;0,MIN(Skills!I12,MAX(0,MAX(0,Inputs!$B$43-B1417)-((R1392-1)*IF(Inputs!$B$38="pvp",15,MAX(0.1,Skills!D12-IF(Skills!E12=TRUE,3.0,0))))))/Skills!H12,1)))/Inputs!$B$43),G1392*Q1392))*IF(Inputs!$B$38="pvp",1,(1+(Inputs!$B$21+Skills!Q12)/100)*(MIN(Skills!R12,Inputs!$B$37))),0)</f>
        <v/>
      </c>
    </row>
    <row r="1393">
      <c r="A1393">
        <f>Skills!A13</f>
        <v/>
      </c>
      <c r="B1393">
        <f>Skills!B13</f>
        <v/>
      </c>
      <c r="C1393">
        <f>Inputs!$B$3&gt;=110</f>
        <v/>
      </c>
      <c r="D1393">
        <f>IF(Skills!C13=1,60+Inputs!$B$25+Inputs!$B$29,IF(Skills!C13=2,90+Inputs!$B$26+Inputs!$B$29,IF(Skills!C13=3,120+Inputs!$B$27+Inputs!$B$29,MAX(0,(Inputs!$B$3-100)*3)+Inputs!$B$28+Inputs!$B$29)))</f>
        <v/>
      </c>
      <c r="E1393">
        <f>INDEX(FactorTable!$B$2:$Y$301, MATCH(ROUND(MIN(300,MAX(1,D1393)),0), FactorTable!$A$2:$A$301,0), Skills!M13+1)</f>
        <v/>
      </c>
      <c r="F1393">
        <f>IF(Skills!N13=TRUE,(Skills!L13/10)*(E1393/1000),Skills!L13/10)+Skills!O13</f>
        <v/>
      </c>
      <c r="G1393">
        <f>Skills!G13*IF(Skills!H13&gt;0,Skills!I13/Skills!H13,1)</f>
        <v/>
      </c>
      <c r="H1393">
        <f>1-(1-Skills!J13/100)^Skills!K13</f>
        <v/>
      </c>
      <c r="I1393" t="inlineStr">
        <is>
          <t>1</t>
        </is>
      </c>
      <c r="J1393">
        <f>((Inputs!$B$6*(1+Inputs!$B$7/100))+(((Inputs!$B$12*(1+Inputs!$B$13/100))-(Inputs!$B$12*(1+Inputs!$B$13/100)))+0.25*(Inputs!$B$14-Inputs!$B$14))*(1+Inputs!$B$7/100))*(F1393/100)</f>
        <v/>
      </c>
      <c r="K1393">
        <f>J1393*(1+((Inputs!$B$12*(1+Inputs!$B$13/100))*0.01+Inputs!$B$14*0.0025)/100)*(1+Inputs!$B$15/100)*(1+Inputs!$B$16/100)*(5000/(6000+Inputs!$B$42*(1-(Inputs!$B$19+0)/100)))*(1+(Inputs!$B$24+((C1406=TRUE)*(F1406-Calc!F26))+B1416)/100)*(1+(IF(Skills!A13="EIGHT_LEGS_EASTON",Inputs!$B$17+((C1403=TRUE)*(F1403-Calc!F23))+((C1407=TRUE)*(F1407-Calc!F27)),Inputs!$B$18+0))/100)*((1+(((C1397=TRUE)*F1397)+((C1404=TRUE)*(F1404-Calc!F24)))/100)*I1393)</f>
        <v/>
      </c>
      <c r="L1393">
        <f>K1393*(MIN(Inputs!$B$22+((C1402=TRUE)*(F1402-Calc!F22)),Inputs!$B$23+0)/100+(Inputs!$B$23+0)/100)/2</f>
        <v/>
      </c>
      <c r="M1393">
        <f>L1393*(1+(Inputs!$B$10+((C1405=TRUE)*(F1405-Calc!F25))+B1415)/100)</f>
        <v/>
      </c>
      <c r="N1393">
        <f>L1393*(1-MIN((Inputs!$B$9+((C1399=TRUE)*(F1399-Calc!F19))+B1410),100)/100)+M1393*(MIN((Inputs!$B$9+((C1399=TRUE)*(F1399-Calc!F19))+B1410),100)/100)</f>
        <v/>
      </c>
      <c r="O1393">
        <f>(1-Summary!$B$55)*T1393+Summary!$B$55*V1393</f>
        <v/>
      </c>
      <c r="P1393">
        <f>IF(B1420=0,0,O1393/B1420)</f>
        <v/>
      </c>
      <c r="Q1393">
        <f>IFERROR(1/IF(Inputs!$B$38="pvp",15,MAX(0.1,Skills!D13-IF(Skills!E13=TRUE,3.0,0))),0)</f>
        <v/>
      </c>
      <c r="R1393">
        <f>IF(AND(Inputs!$B$38&lt;&gt;"pvp",Inputs!$B$43&gt;0),IF(MAX(0,Inputs!$B$43-B1417)&lt;=0,0,(INT(MAX(0,Inputs!$B$43-B1417)/IF(Inputs!$B$38="pvp",15,MAX(0.1,Skills!D13-IF(Skills!E13=TRUE,3.0,0))))+1)),0)</f>
        <v/>
      </c>
      <c r="S1393">
        <f>IFERROR(O1393/N1393,0)</f>
        <v/>
      </c>
      <c r="T1393">
        <f>IF(C1393,(H1393*N1393*IF(AND(Inputs!$B$38&lt;&gt;"pvp",Inputs!$B$43&gt;0),((Skills!G13*((R1393-1)*IF(Skills!H13&gt;0,Skills!I13/Skills!H13,1)+IF(Skills!H13&gt;0,MIN(Skills!I13,MAX(0,MAX(0,Inputs!$B$43-B1417)-((R1393-1)*IF(Inputs!$B$38="pvp",15,MAX(0.1,Skills!D13-IF(Skills!E13=TRUE,3.0,0))))))/Skills!H13,1)))/Inputs!$B$43),G1393*Q1393))*IF(Inputs!$B$38="pvp",1,1+(Inputs!$B$20+0+Skills!P13)/100),0)</f>
        <v/>
      </c>
      <c r="V1393">
        <f>IF(C1393,(H1393*N1393*IF(AND(Inputs!$B$38&lt;&gt;"pvp",Inputs!$B$43&gt;0),((Skills!G13*((R1393-1)*IF(Skills!H13&gt;0,Skills!I13/Skills!H13,1)+IF(Skills!H13&gt;0,MIN(Skills!I13,MAX(0,MAX(0,Inputs!$B$43-B1417)-((R1393-1)*IF(Inputs!$B$38="pvp",15,MAX(0.1,Skills!D13-IF(Skills!E13=TRUE,3.0,0))))))/Skills!H13,1)))/Inputs!$B$43),G1393*Q1393))*IF(Inputs!$B$38="pvp",1,(1+(Inputs!$B$21+Skills!Q13)/100)*(MIN(Skills!R13,Inputs!$B$37))),0)</f>
        <v/>
      </c>
    </row>
    <row r="1394">
      <c r="A1394">
        <f>Skills!A14</f>
        <v/>
      </c>
      <c r="B1394">
        <f>Skills!B14</f>
        <v/>
      </c>
      <c r="C1394">
        <f>Inputs!$B$3&gt;=125</f>
        <v/>
      </c>
      <c r="D1394">
        <f>IF(Skills!C14=1,60+Inputs!$B$25+Inputs!$B$29,IF(Skills!C14=2,90+Inputs!$B$26+Inputs!$B$29,IF(Skills!C14=3,120+Inputs!$B$27+Inputs!$B$29,MAX(0,(Inputs!$B$3-100)*3)+Inputs!$B$28+Inputs!$B$29)))</f>
        <v/>
      </c>
      <c r="E1394">
        <f>INDEX(FactorTable!$B$2:$Y$301, MATCH(ROUND(MIN(300,MAX(1,D1394)),0), FactorTable!$A$2:$A$301,0), Skills!M14+1)</f>
        <v/>
      </c>
      <c r="F1394">
        <f>IF(Skills!N14=TRUE,(Skills!L14/10)*(E1394/1000),Skills!L14/10)+Skills!O14</f>
        <v/>
      </c>
      <c r="G1394">
        <f>Skills!G14*IF(Skills!H14&gt;0,Skills!I14/Skills!H14,1)</f>
        <v/>
      </c>
      <c r="H1394">
        <f>1-(1-Skills!J14/100)^Skills!K14</f>
        <v/>
      </c>
      <c r="I1394" t="inlineStr">
        <is>
          <t>1</t>
        </is>
      </c>
      <c r="J1394">
        <f>((Inputs!$B$6*(1+Inputs!$B$7/100))+(((Inputs!$B$12*(1+Inputs!$B$13/100))-(Inputs!$B$12*(1+Inputs!$B$13/100)))+0.25*(Inputs!$B$14-Inputs!$B$14))*(1+Inputs!$B$7/100))*(F1394/100)</f>
        <v/>
      </c>
      <c r="K1394">
        <f>J1394*(1+((Inputs!$B$12*(1+Inputs!$B$13/100))*0.01+Inputs!$B$14*0.0025)/100)*(1+Inputs!$B$15/100)*(1+Inputs!$B$16/100)*(5000/(6000+Inputs!$B$42*(1-(Inputs!$B$19+0)/100)))*(1+(Inputs!$B$24+((C1406=TRUE)*(F1406-Calc!F26))+B1416)/100)*(1+(IF(Skills!A14="EIGHT_LEGS_EASTON",Inputs!$B$17+((C1403=TRUE)*(F1403-Calc!F23))+((C1407=TRUE)*(F1407-Calc!F27)),Inputs!$B$18+0))/100)*((1+(((C1397=TRUE)*F1397)+((C1404=TRUE)*(F1404-Calc!F24)))/100)*I1394)</f>
        <v/>
      </c>
      <c r="L1394">
        <f>K1394*(MIN(Inputs!$B$22+((C1402=TRUE)*(F1402-Calc!F22)),Inputs!$B$23+0)/100+(Inputs!$B$23+0)/100)/2</f>
        <v/>
      </c>
      <c r="M1394">
        <f>L1394*(1+(Inputs!$B$10+((C1405=TRUE)*(F1405-Calc!F25))+B1415)/100)</f>
        <v/>
      </c>
      <c r="N1394">
        <f>L1394*(1-MIN((Inputs!$B$9+((C1399=TRUE)*(F1399-Calc!F19))+B1410),100)/100)+M1394*(MIN((Inputs!$B$9+((C1399=TRUE)*(F1399-Calc!F19))+B1410),100)/100)</f>
        <v/>
      </c>
      <c r="O1394">
        <f>(1-Summary!$B$55)*T1394+Summary!$B$55*V1394</f>
        <v/>
      </c>
      <c r="P1394">
        <f>IF(B1420=0,0,O1394/B1420)</f>
        <v/>
      </c>
      <c r="Q1394" t="n">
        <v>0</v>
      </c>
      <c r="R1394" t="n">
        <v>0</v>
      </c>
      <c r="S1394">
        <f>IFERROR(O1394/N1394,0)</f>
        <v/>
      </c>
      <c r="T1394">
        <f>IF(C1394,(H1394*N1394*(B1414+IF(AND(Inputs!$B$38&lt;&gt;"pvp",Inputs!$B$43&gt;0),((Skills!G8*((R1388-1)*IF(Skills!H8&gt;0,Skills!I8/Skills!H8,1)+IF(Skills!H8&gt;0,MIN(Skills!I8,MAX(0,MAX(0,Inputs!$B$43-B1417)-((R1388-1)*IF(Inputs!$B$38="pvp",15,MAX(0.1,Skills!D8-IF(Skills!E8=TRUE,3.0,0))))))/Skills!H8,1)))/Inputs!$B$43),G1388*Q1388)+IF(AND(Inputs!$B$38&lt;&gt;"pvp",Inputs!$B$43&gt;0),((Skills!G11*((R1391-1)*IF(Skills!H11&gt;0,Skills!I11/Skills!H11,1)+IF(Skills!H11&gt;0,MIN(Skills!I11,MAX(0,MAX(0,Inputs!$B$43-B1417)-((R1391-1)*IF(Inputs!$B$38="pvp",15,MAX(0.1,Skills!D11-IF(Skills!E11=TRUE,3.0,0))))))/Skills!H11,1)))/Inputs!$B$43),G1391*Q1391)))*IF(Inputs!$B$38="pvp",1,1+(Inputs!$B$20+0+Skills!P14)/100),0)</f>
        <v/>
      </c>
      <c r="V1394">
        <f>IF(C1394,(H1394*N1394*(B1414+IF(AND(Inputs!$B$38&lt;&gt;"pvp",Inputs!$B$43&gt;0),((Skills!G8*((R1388-1)*IF(Skills!H8&gt;0,Skills!I8/Skills!H8,1)+IF(Skills!H8&gt;0,MIN(Skills!I8,MAX(0,MAX(0,Inputs!$B$43-B1417)-((R1388-1)*IF(Inputs!$B$38="pvp",15,MAX(0.1,Skills!D8-IF(Skills!E8=TRUE,3.0,0))))))/Skills!H8,1)))/Inputs!$B$43),G1388*Q1388)+IF(AND(Inputs!$B$38&lt;&gt;"pvp",Inputs!$B$43&gt;0),((Skills!G11*((R1391-1)*IF(Skills!H11&gt;0,Skills!I11/Skills!H11,1)+IF(Skills!H11&gt;0,MIN(Skills!I11,MAX(0,MAX(0,Inputs!$B$43-B1417)-((R1391-1)*IF(Inputs!$B$38="pvp",15,MAX(0.1,Skills!D11-IF(Skills!E11=TRUE,3.0,0))))))/Skills!H11,1)))/Inputs!$B$43),G1391*Q1391)))*IF(Inputs!$B$38="pvp",1,(1+(Inputs!$B$21+Skills!Q14)/100)*(MIN(Skills!R14,Inputs!$B$37))),0)</f>
        <v/>
      </c>
    </row>
    <row r="1395">
      <c r="A1395">
        <f>Skills!A15</f>
        <v/>
      </c>
      <c r="B1395">
        <f>Skills!B15</f>
        <v/>
      </c>
      <c r="C1395">
        <f>Inputs!$B$3&gt;=100</f>
        <v/>
      </c>
      <c r="D1395">
        <f>IF(Skills!C15=1,60+Inputs!$B$25+Inputs!$B$29,IF(Skills!C15=2,90+Inputs!$B$26+Inputs!$B$29,IF(Skills!C15=3,120+Inputs!$B$27+Inputs!$B$29,MAX(0,(Inputs!$B$3-100)*3)+Inputs!$B$28+Inputs!$B$29)))</f>
        <v/>
      </c>
      <c r="E1395">
        <f>INDEX(FactorTable!$B$2:$Y$301, MATCH(ROUND(MIN(300,MAX(1,D1395)),0), FactorTable!$A$2:$A$301,0), Skills!M15+1)</f>
        <v/>
      </c>
      <c r="F1395">
        <f>IF(Skills!N15=TRUE,(Skills!L15/10)*(E1395/1000),Skills!L15/10)+Skills!O15</f>
        <v/>
      </c>
      <c r="G1395" t="inlineStr"/>
      <c r="H1395" t="inlineStr"/>
      <c r="I1395" t="inlineStr">
        <is>
          <t>1</t>
        </is>
      </c>
      <c r="J1395" t="inlineStr"/>
      <c r="K1395" t="inlineStr"/>
      <c r="L1395" t="inlineStr"/>
      <c r="M1395" t="inlineStr"/>
      <c r="N1395" t="inlineStr"/>
      <c r="O1395" t="inlineStr"/>
      <c r="P1395" t="inlineStr"/>
      <c r="Q1395" t="inlineStr"/>
      <c r="R1395" t="inlineStr"/>
      <c r="S1395" t="inlineStr"/>
    </row>
    <row r="1396">
      <c r="A1396">
        <f>Skills!A16</f>
        <v/>
      </c>
      <c r="B1396">
        <f>Skills!B16</f>
        <v/>
      </c>
      <c r="C1396">
        <f>Inputs!$B$3&gt;=120</f>
        <v/>
      </c>
      <c r="D1396">
        <f>IF(Skills!C16=1,60+Inputs!$B$25+Inputs!$B$29,IF(Skills!C16=2,90+Inputs!$B$26+Inputs!$B$29,IF(Skills!C16=3,120+Inputs!$B$27+Inputs!$B$29,MAX(0,(Inputs!$B$3-100)*3)+Inputs!$B$28+Inputs!$B$29)))</f>
        <v/>
      </c>
      <c r="E1396">
        <f>INDEX(FactorTable!$B$2:$Y$301, MATCH(ROUND(MIN(300,MAX(1,D1396)),0), FactorTable!$A$2:$A$301,0), Skills!M16+1)</f>
        <v/>
      </c>
      <c r="F1396">
        <f>IF(Skills!N16=TRUE,(Skills!L16/10)*(E1396/1000),Skills!L16/10)+Skills!O16</f>
        <v/>
      </c>
      <c r="G1396" t="inlineStr"/>
      <c r="H1396" t="inlineStr"/>
      <c r="I1396" t="inlineStr">
        <is>
          <t>1</t>
        </is>
      </c>
      <c r="J1396" t="inlineStr"/>
      <c r="K1396" t="inlineStr"/>
      <c r="L1396" t="inlineStr"/>
      <c r="M1396" t="inlineStr"/>
      <c r="N1396" t="inlineStr"/>
      <c r="O1396" t="inlineStr"/>
      <c r="P1396" t="inlineStr"/>
      <c r="Q1396" t="inlineStr"/>
      <c r="R1396" t="inlineStr"/>
      <c r="S1396" t="inlineStr"/>
    </row>
    <row r="1397">
      <c r="A1397">
        <f>Skills!A17</f>
        <v/>
      </c>
      <c r="B1397">
        <f>Skills!B17</f>
        <v/>
      </c>
      <c r="C1397">
        <f>Inputs!$B$3&gt;=66</f>
        <v/>
      </c>
      <c r="D1397">
        <f>IF(Skills!C17=1,60+Inputs!$B$25+Inputs!$B$29,IF(Skills!C17=2,90+Inputs!$B$26+Inputs!$B$29,IF(Skills!C17=3,120+Inputs!$B$27+Inputs!$B$29,MAX(0,(Inputs!$B$3-100)*3)+Inputs!$B$28+Inputs!$B$29)))</f>
        <v/>
      </c>
      <c r="E1397">
        <f>INDEX(FactorTable!$B$2:$Y$301, MATCH(ROUND(MIN(300,MAX(1,D1397)),0), FactorTable!$A$2:$A$301,0), Skills!M17+1)</f>
        <v/>
      </c>
      <c r="F1397">
        <f>IF(Skills!N17=TRUE,(Skills!L17/10)*(E1397/1000),Skills!L17/10)+Skills!O17</f>
        <v/>
      </c>
      <c r="G1397">
        <f>Skills!G17*IF(Skills!H17&gt;0,Skills!I17/Skills!H17,1)</f>
        <v/>
      </c>
      <c r="H1397">
        <f>1-(1-Skills!J17/100)^Skills!K17</f>
        <v/>
      </c>
      <c r="I1397" t="inlineStr">
        <is>
          <t>1</t>
        </is>
      </c>
      <c r="J1397" t="inlineStr"/>
      <c r="K1397" t="inlineStr"/>
      <c r="L1397" t="inlineStr"/>
      <c r="M1397" t="inlineStr"/>
      <c r="N1397" t="inlineStr"/>
      <c r="O1397">
        <f>(1-Summary!$B$55)*T1397+Summary!$B$55*V1397</f>
        <v/>
      </c>
      <c r="P1397">
        <f>IF(B1420=0,0,O1397/B1420)</f>
        <v/>
      </c>
      <c r="Q1397" t="n">
        <v>0</v>
      </c>
      <c r="R1397" t="n">
        <v>0</v>
      </c>
      <c r="S1397">
        <f>IFERROR(O1397/N1397,0)</f>
        <v/>
      </c>
      <c r="T1397" t="n">
        <v>0</v>
      </c>
      <c r="V1397" t="n">
        <v>0</v>
      </c>
    </row>
    <row r="1398">
      <c r="A1398">
        <f>Skills!A18</f>
        <v/>
      </c>
      <c r="B1398">
        <f>Skills!B18</f>
        <v/>
      </c>
      <c r="C1398">
        <f>Inputs!$B$3&gt;=115</f>
        <v/>
      </c>
      <c r="D1398">
        <f>IF(Skills!C18=1,60+Inputs!$B$25+Inputs!$B$29,IF(Skills!C18=2,90+Inputs!$B$26+Inputs!$B$29,IF(Skills!C18=3,120+Inputs!$B$27+Inputs!$B$29,MAX(0,(Inputs!$B$3-100)*3)+Inputs!$B$28+Inputs!$B$29)))</f>
        <v/>
      </c>
      <c r="E1398">
        <f>INDEX(FactorTable!$B$2:$Y$301, MATCH(ROUND(MIN(300,MAX(1,D1398)),0), FactorTable!$A$2:$A$301,0), Skills!M18+1)</f>
        <v/>
      </c>
      <c r="F1398">
        <f>IF(Skills!N18=TRUE,(Skills!L18/10)*(E1398/1000),Skills!L18/10)+Skills!O18</f>
        <v/>
      </c>
      <c r="G1398">
        <f>Skills!G18*IF(Skills!H18&gt;0,Skills!I18/Skills!H18,1)</f>
        <v/>
      </c>
      <c r="H1398">
        <f>1-(1-Skills!J18/100)^Skills!K18</f>
        <v/>
      </c>
      <c r="I1398" t="inlineStr">
        <is>
          <t>1</t>
        </is>
      </c>
      <c r="J1398" t="inlineStr"/>
      <c r="K1398" t="inlineStr"/>
      <c r="L1398" t="inlineStr"/>
      <c r="M1398" t="inlineStr"/>
      <c r="N1398" t="inlineStr"/>
      <c r="O1398">
        <f>(1-Summary!$B$55)*T1398+Summary!$B$55*V1398</f>
        <v/>
      </c>
      <c r="P1398">
        <f>IF(B1420=0,0,O1398/B1420)</f>
        <v/>
      </c>
      <c r="Q1398" t="n">
        <v>0</v>
      </c>
      <c r="R1398" t="n">
        <v>0</v>
      </c>
      <c r="S1398">
        <f>IFERROR(O1398/N1398,0)</f>
        <v/>
      </c>
      <c r="T1398" t="n">
        <v>0</v>
      </c>
      <c r="V1398" t="n">
        <v>0</v>
      </c>
    </row>
    <row r="1399">
      <c r="A1399">
        <f>Skills!A19</f>
        <v/>
      </c>
      <c r="B1399">
        <f>Skills!B19</f>
        <v/>
      </c>
      <c r="C1399">
        <f>Inputs!$B$3&gt;=15</f>
        <v/>
      </c>
      <c r="D1399">
        <f>IF(Skills!C19=1,60+Inputs!$B$25+Inputs!$B$29,IF(Skills!C19=2,90+Inputs!$B$26+Inputs!$B$29,IF(Skills!C19=3,120+Inputs!$B$27+Inputs!$B$29,MAX(0,(Inputs!$B$3-100)*3)+Inputs!$B$28+Inputs!$B$29)))</f>
        <v/>
      </c>
      <c r="E1399">
        <f>INDEX(FactorTable!$B$2:$Y$301, MATCH(ROUND(MIN(300,MAX(1,D1399)),0), FactorTable!$A$2:$A$301,0), Skills!M19+1)</f>
        <v/>
      </c>
      <c r="F1399">
        <f>IF(Skills!N19=TRUE,(Skills!L19/10)*(E1399/1000),Skills!L19/10)+Skills!O19</f>
        <v/>
      </c>
      <c r="G1399">
        <f>Skills!G19*IF(Skills!H19&gt;0,Skills!I19/Skills!H19,1)</f>
        <v/>
      </c>
      <c r="H1399">
        <f>1-(1-Skills!J19/100)^Skills!K19</f>
        <v/>
      </c>
      <c r="I1399" t="inlineStr">
        <is>
          <t>1</t>
        </is>
      </c>
      <c r="J1399" t="inlineStr"/>
      <c r="K1399" t="inlineStr"/>
      <c r="L1399" t="inlineStr"/>
      <c r="M1399" t="inlineStr"/>
      <c r="N1399" t="inlineStr"/>
      <c r="O1399">
        <f>(1-Summary!$B$55)*T1399+Summary!$B$55*V1399</f>
        <v/>
      </c>
      <c r="P1399">
        <f>IF(B1420=0,0,O1399/B1420)</f>
        <v/>
      </c>
      <c r="Q1399" t="n">
        <v>0</v>
      </c>
      <c r="R1399" t="n">
        <v>0</v>
      </c>
      <c r="S1399">
        <f>IFERROR(O1399/N1399,0)</f>
        <v/>
      </c>
      <c r="T1399" t="n">
        <v>0</v>
      </c>
      <c r="V1399" t="n">
        <v>0</v>
      </c>
    </row>
    <row r="1400">
      <c r="A1400">
        <f>Skills!A20</f>
        <v/>
      </c>
      <c r="B1400">
        <f>Skills!B20</f>
        <v/>
      </c>
      <c r="C1400">
        <f>Inputs!$B$3&gt;=10</f>
        <v/>
      </c>
      <c r="D1400">
        <f>IF(Skills!C20=1,60+Inputs!$B$25+Inputs!$B$29,IF(Skills!C20=2,90+Inputs!$B$26+Inputs!$B$29,IF(Skills!C20=3,120+Inputs!$B$27+Inputs!$B$29,MAX(0,(Inputs!$B$3-100)*3)+Inputs!$B$28+Inputs!$B$29)))</f>
        <v/>
      </c>
      <c r="E1400">
        <f>INDEX(FactorTable!$B$2:$Y$301, MATCH(ROUND(MIN(300,MAX(1,D1400)),0), FactorTable!$A$2:$A$301,0), Skills!M20+1)</f>
        <v/>
      </c>
      <c r="F1400">
        <f>IF(Skills!N20=TRUE,(Skills!L20/10)*(E1400/1000),Skills!L20/10)+Skills!O20</f>
        <v/>
      </c>
      <c r="G1400">
        <f>Skills!G20*IF(Skills!H20&gt;0,Skills!I20/Skills!H20,1)</f>
        <v/>
      </c>
      <c r="H1400">
        <f>1-(1-Skills!J20/100)^Skills!K20</f>
        <v/>
      </c>
      <c r="I1400" t="inlineStr">
        <is>
          <t>1</t>
        </is>
      </c>
      <c r="J1400" t="inlineStr"/>
      <c r="K1400" t="inlineStr"/>
      <c r="L1400" t="inlineStr"/>
      <c r="M1400" t="inlineStr"/>
      <c r="N1400" t="inlineStr"/>
      <c r="O1400">
        <f>(1-Summary!$B$55)*T1400+Summary!$B$55*V1400</f>
        <v/>
      </c>
      <c r="P1400">
        <f>IF(B1420=0,0,O1400/B1420)</f>
        <v/>
      </c>
      <c r="Q1400" t="n">
        <v>0</v>
      </c>
      <c r="R1400" t="n">
        <v>0</v>
      </c>
      <c r="S1400">
        <f>IFERROR(O1400/N1400,0)</f>
        <v/>
      </c>
      <c r="T1400" t="n">
        <v>0</v>
      </c>
      <c r="V1400" t="n">
        <v>0</v>
      </c>
    </row>
    <row r="1401">
      <c r="A1401">
        <f>Skills!A21</f>
        <v/>
      </c>
      <c r="B1401">
        <f>Skills!B21</f>
        <v/>
      </c>
      <c r="C1401">
        <f>Inputs!$B$3&gt;=33</f>
        <v/>
      </c>
      <c r="D1401">
        <f>IF(Skills!C21=1,60+Inputs!$B$25+Inputs!$B$29,IF(Skills!C21=2,90+Inputs!$B$26+Inputs!$B$29,IF(Skills!C21=3,120+Inputs!$B$27+Inputs!$B$29,MAX(0,(Inputs!$B$3-100)*3)+Inputs!$B$28+Inputs!$B$29)))</f>
        <v/>
      </c>
      <c r="E1401">
        <f>INDEX(FactorTable!$B$2:$Y$301, MATCH(ROUND(MIN(300,MAX(1,D1401)),0), FactorTable!$A$2:$A$301,0), Skills!M21+1)</f>
        <v/>
      </c>
      <c r="F1401">
        <f>IF(Skills!N21=TRUE,(Skills!L21/10)*(E1401/1000),Skills!L21/10)+Skills!O21</f>
        <v/>
      </c>
      <c r="G1401">
        <f>Skills!G21*IF(Skills!H21&gt;0,Skills!I21/Skills!H21,1)</f>
        <v/>
      </c>
      <c r="H1401">
        <f>1-(1-Skills!J21/100)^Skills!K21</f>
        <v/>
      </c>
      <c r="I1401" t="inlineStr">
        <is>
          <t>1</t>
        </is>
      </c>
      <c r="J1401" t="inlineStr"/>
      <c r="K1401" t="inlineStr"/>
      <c r="L1401" t="inlineStr"/>
      <c r="M1401" t="inlineStr"/>
      <c r="N1401" t="inlineStr"/>
      <c r="O1401">
        <f>(1-Summary!$B$55)*T1401+Summary!$B$55*V1401</f>
        <v/>
      </c>
      <c r="P1401">
        <f>IF(B1420=0,0,O1401/B1420)</f>
        <v/>
      </c>
      <c r="Q1401" t="n">
        <v>0</v>
      </c>
      <c r="R1401" t="n">
        <v>0</v>
      </c>
      <c r="S1401">
        <f>IFERROR(O1401/N1401,0)</f>
        <v/>
      </c>
      <c r="T1401" t="n">
        <v>0</v>
      </c>
      <c r="V1401" t="n">
        <v>0</v>
      </c>
    </row>
    <row r="1402">
      <c r="A1402">
        <f>Skills!A22</f>
        <v/>
      </c>
      <c r="B1402">
        <f>Skills!B22</f>
        <v/>
      </c>
      <c r="C1402">
        <f>Inputs!$B$3&gt;=43</f>
        <v/>
      </c>
      <c r="D1402">
        <f>IF(Skills!C22=1,60+Inputs!$B$25+Inputs!$B$29,IF(Skills!C22=2,90+Inputs!$B$26+Inputs!$B$29,IF(Skills!C22=3,120+Inputs!$B$27+Inputs!$B$29,MAX(0,(Inputs!$B$3-100)*3)+Inputs!$B$28+Inputs!$B$29)))</f>
        <v/>
      </c>
      <c r="E1402">
        <f>INDEX(FactorTable!$B$2:$Y$301, MATCH(ROUND(MIN(300,MAX(1,D1402)),0), FactorTable!$A$2:$A$301,0), Skills!M22+1)</f>
        <v/>
      </c>
      <c r="F1402">
        <f>IF(Skills!N22=TRUE,(Skills!L22/10)*(E1402/1000),Skills!L22/10)+Skills!O22</f>
        <v/>
      </c>
      <c r="G1402">
        <f>Skills!G22*IF(Skills!H22&gt;0,Skills!I22/Skills!H22,1)</f>
        <v/>
      </c>
      <c r="H1402">
        <f>1-(1-Skills!J22/100)^Skills!K22</f>
        <v/>
      </c>
      <c r="I1402" t="inlineStr">
        <is>
          <t>1</t>
        </is>
      </c>
      <c r="J1402" t="inlineStr"/>
      <c r="K1402" t="inlineStr"/>
      <c r="L1402" t="inlineStr"/>
      <c r="M1402" t="inlineStr"/>
      <c r="N1402" t="inlineStr"/>
      <c r="O1402">
        <f>(1-Summary!$B$55)*T1402+Summary!$B$55*V1402</f>
        <v/>
      </c>
      <c r="P1402">
        <f>IF(B1420=0,0,O1402/B1420)</f>
        <v/>
      </c>
      <c r="Q1402" t="n">
        <v>0</v>
      </c>
      <c r="R1402" t="n">
        <v>0</v>
      </c>
      <c r="S1402">
        <f>IFERROR(O1402/N1402,0)</f>
        <v/>
      </c>
      <c r="T1402" t="n">
        <v>0</v>
      </c>
      <c r="V1402" t="n">
        <v>0</v>
      </c>
    </row>
    <row r="1403">
      <c r="A1403">
        <f>Skills!A23</f>
        <v/>
      </c>
      <c r="B1403">
        <f>Skills!B23</f>
        <v/>
      </c>
      <c r="C1403">
        <f>Inputs!$B$3&gt;=38</f>
        <v/>
      </c>
      <c r="D1403">
        <f>IF(Skills!C23=1,60+Inputs!$B$25+Inputs!$B$29,IF(Skills!C23=2,90+Inputs!$B$26+Inputs!$B$29,IF(Skills!C23=3,120+Inputs!$B$27+Inputs!$B$29,MAX(0,(Inputs!$B$3-100)*3)+Inputs!$B$28+Inputs!$B$29)))</f>
        <v/>
      </c>
      <c r="E1403">
        <f>INDEX(FactorTable!$B$2:$Y$301, MATCH(ROUND(MIN(300,MAX(1,D1403)),0), FactorTable!$A$2:$A$301,0), Skills!M23+1)</f>
        <v/>
      </c>
      <c r="F1403">
        <f>IF(Skills!N23=TRUE,(Skills!L23/10)*(E1403/1000),Skills!L23/10)+Skills!O23</f>
        <v/>
      </c>
      <c r="G1403">
        <f>Skills!G23*IF(Skills!H23&gt;0,Skills!I23/Skills!H23,1)</f>
        <v/>
      </c>
      <c r="H1403">
        <f>1-(1-Skills!J23/100)^Skills!K23</f>
        <v/>
      </c>
      <c r="I1403" t="inlineStr">
        <is>
          <t>1</t>
        </is>
      </c>
      <c r="J1403" t="inlineStr"/>
      <c r="K1403" t="inlineStr"/>
      <c r="L1403" t="inlineStr"/>
      <c r="M1403" t="inlineStr"/>
      <c r="N1403" t="inlineStr"/>
      <c r="O1403">
        <f>(1-Summary!$B$55)*T1403+Summary!$B$55*V1403</f>
        <v/>
      </c>
      <c r="P1403">
        <f>IF(B1420=0,0,O1403/B1420)</f>
        <v/>
      </c>
      <c r="Q1403" t="n">
        <v>0</v>
      </c>
      <c r="R1403" t="n">
        <v>0</v>
      </c>
      <c r="S1403">
        <f>IFERROR(O1403/N1403,0)</f>
        <v/>
      </c>
      <c r="T1403" t="n">
        <v>0</v>
      </c>
      <c r="V1403" t="n">
        <v>0</v>
      </c>
    </row>
    <row r="1404">
      <c r="A1404">
        <f>Skills!A24</f>
        <v/>
      </c>
      <c r="B1404">
        <f>Skills!B24</f>
        <v/>
      </c>
      <c r="C1404">
        <f>Inputs!$B$3&gt;=40</f>
        <v/>
      </c>
      <c r="D1404">
        <f>IF(Skills!C24=1,60+Inputs!$B$25+Inputs!$B$29,IF(Skills!C24=2,90+Inputs!$B$26+Inputs!$B$29,IF(Skills!C24=3,120+Inputs!$B$27+Inputs!$B$29,MAX(0,(Inputs!$B$3-100)*3)+Inputs!$B$28+Inputs!$B$29)))</f>
        <v/>
      </c>
      <c r="E1404">
        <f>INDEX(FactorTable!$B$2:$Y$301, MATCH(ROUND(MIN(300,MAX(1,D1404)),0), FactorTable!$A$2:$A$301,0), Skills!M24+1)</f>
        <v/>
      </c>
      <c r="F1404">
        <f>IF(Skills!N24=TRUE,(Skills!L24/10)*(E1404/1000),Skills!L24/10)+Skills!O24</f>
        <v/>
      </c>
      <c r="G1404">
        <f>Skills!G24*IF(Skills!H24&gt;0,Skills!I24/Skills!H24,1)</f>
        <v/>
      </c>
      <c r="H1404">
        <f>1-(1-Skills!J24/100)^Skills!K24</f>
        <v/>
      </c>
      <c r="I1404" t="inlineStr">
        <is>
          <t>1</t>
        </is>
      </c>
      <c r="J1404" t="inlineStr"/>
      <c r="K1404" t="inlineStr"/>
      <c r="L1404" t="inlineStr"/>
      <c r="M1404" t="inlineStr"/>
      <c r="N1404" t="inlineStr"/>
      <c r="O1404">
        <f>(1-Summary!$B$55)*T1404+Summary!$B$55*V1404</f>
        <v/>
      </c>
      <c r="P1404">
        <f>IF(B1420=0,0,O1404/B1420)</f>
        <v/>
      </c>
      <c r="Q1404" t="n">
        <v>0</v>
      </c>
      <c r="R1404" t="n">
        <v>0</v>
      </c>
      <c r="S1404">
        <f>IFERROR(O1404/N1404,0)</f>
        <v/>
      </c>
      <c r="T1404" t="n">
        <v>0</v>
      </c>
      <c r="V1404" t="n">
        <v>0</v>
      </c>
    </row>
    <row r="1405">
      <c r="A1405">
        <f>Skills!A25</f>
        <v/>
      </c>
      <c r="B1405">
        <f>Skills!B25</f>
        <v/>
      </c>
      <c r="C1405">
        <f>Inputs!$B$3&gt;=72</f>
        <v/>
      </c>
      <c r="D1405">
        <f>IF(Skills!C25=1,60+Inputs!$B$25+Inputs!$B$29,IF(Skills!C25=2,90+Inputs!$B$26+Inputs!$B$29,IF(Skills!C25=3,120+Inputs!$B$27+Inputs!$B$29,MAX(0,(Inputs!$B$3-100)*3)+Inputs!$B$28+Inputs!$B$29)))</f>
        <v/>
      </c>
      <c r="E1405">
        <f>INDEX(FactorTable!$B$2:$Y$301, MATCH(ROUND(MIN(300,MAX(1,D1405)),0), FactorTable!$A$2:$A$301,0), Skills!M25+1)</f>
        <v/>
      </c>
      <c r="F1405">
        <f>IF(Skills!N25=TRUE,(Skills!L25/10)*(E1405/1000),Skills!L25/10)+Skills!O25</f>
        <v/>
      </c>
      <c r="G1405">
        <f>Skills!G25*IF(Skills!H25&gt;0,Skills!I25/Skills!H25,1)</f>
        <v/>
      </c>
      <c r="H1405">
        <f>1-(1-Skills!J25/100)^Skills!K25</f>
        <v/>
      </c>
      <c r="I1405" t="inlineStr">
        <is>
          <t>1</t>
        </is>
      </c>
      <c r="J1405" t="inlineStr"/>
      <c r="K1405" t="inlineStr"/>
      <c r="L1405" t="inlineStr"/>
      <c r="M1405" t="inlineStr"/>
      <c r="N1405" t="inlineStr"/>
      <c r="O1405">
        <f>(1-Summary!$B$55)*T1405+Summary!$B$55*V1405</f>
        <v/>
      </c>
      <c r="P1405">
        <f>IF(B1420=0,0,O1405/B1420)</f>
        <v/>
      </c>
      <c r="Q1405" t="n">
        <v>0</v>
      </c>
      <c r="R1405" t="n">
        <v>0</v>
      </c>
      <c r="S1405">
        <f>IFERROR(O1405/N1405,0)</f>
        <v/>
      </c>
      <c r="T1405" t="n">
        <v>0</v>
      </c>
      <c r="V1405" t="n">
        <v>0</v>
      </c>
    </row>
    <row r="1406">
      <c r="A1406">
        <f>Skills!A26</f>
        <v/>
      </c>
      <c r="B1406">
        <f>Skills!B26</f>
        <v/>
      </c>
      <c r="C1406">
        <f>Inputs!$B$3&gt;=75</f>
        <v/>
      </c>
      <c r="D1406">
        <f>IF(Skills!C26=1,60+Inputs!$B$25+Inputs!$B$29,IF(Skills!C26=2,90+Inputs!$B$26+Inputs!$B$29,IF(Skills!C26=3,120+Inputs!$B$27+Inputs!$B$29,MAX(0,(Inputs!$B$3-100)*3)+Inputs!$B$28+Inputs!$B$29)))</f>
        <v/>
      </c>
      <c r="E1406">
        <f>INDEX(FactorTable!$B$2:$Y$301, MATCH(ROUND(MIN(300,MAX(1,D1406)),0), FactorTable!$A$2:$A$301,0), Skills!M26+1)</f>
        <v/>
      </c>
      <c r="F1406">
        <f>IF(Skills!N26=TRUE,(Skills!L26/10)*(E1406/1000),Skills!L26/10)+Skills!O26</f>
        <v/>
      </c>
      <c r="G1406">
        <f>Skills!G26*IF(Skills!H26&gt;0,Skills!I26/Skills!H26,1)</f>
        <v/>
      </c>
      <c r="H1406">
        <f>1-(1-Skills!J26/100)^Skills!K26</f>
        <v/>
      </c>
      <c r="I1406" t="inlineStr">
        <is>
          <t>1</t>
        </is>
      </c>
      <c r="J1406" t="inlineStr"/>
      <c r="K1406" t="inlineStr"/>
      <c r="L1406" t="inlineStr"/>
      <c r="M1406" t="inlineStr"/>
      <c r="N1406" t="inlineStr"/>
      <c r="O1406">
        <f>(1-Summary!$B$55)*T1406+Summary!$B$55*V1406</f>
        <v/>
      </c>
      <c r="P1406">
        <f>IF(B1420=0,0,O1406/B1420)</f>
        <v/>
      </c>
      <c r="Q1406" t="n">
        <v>0</v>
      </c>
      <c r="R1406" t="n">
        <v>0</v>
      </c>
      <c r="S1406">
        <f>IFERROR(O1406/N1406,0)</f>
        <v/>
      </c>
      <c r="T1406" t="n">
        <v>0</v>
      </c>
      <c r="V1406" t="n">
        <v>0</v>
      </c>
    </row>
    <row r="1407">
      <c r="A1407">
        <f>Skills!A27</f>
        <v/>
      </c>
      <c r="B1407">
        <f>Skills!B27</f>
        <v/>
      </c>
      <c r="C1407">
        <f>Inputs!$B$3&gt;=117</f>
        <v/>
      </c>
      <c r="D1407">
        <f>IF(Skills!C27=1,60+Inputs!$B$25+Inputs!$B$29,IF(Skills!C27=2,90+Inputs!$B$26+Inputs!$B$29,IF(Skills!C27=3,120+Inputs!$B$27+Inputs!$B$29,MAX(0,(Inputs!$B$3-100)*3)+Inputs!$B$28+Inputs!$B$29)))</f>
        <v/>
      </c>
      <c r="E1407">
        <f>INDEX(FactorTable!$B$2:$Y$301, MATCH(ROUND(MIN(300,MAX(1,D1407)),0), FactorTable!$A$2:$A$301,0), Skills!M27+1)</f>
        <v/>
      </c>
      <c r="F1407">
        <f>IF(Skills!N27=TRUE,(Skills!L27/10)*(E1407/1000),Skills!L27/10)+Skills!O27</f>
        <v/>
      </c>
      <c r="G1407">
        <f>Skills!G27*IF(Skills!H27&gt;0,Skills!I27/Skills!H27,1)</f>
        <v/>
      </c>
      <c r="H1407">
        <f>1-(1-Skills!J27/100)^Skills!K27</f>
        <v/>
      </c>
      <c r="I1407" t="inlineStr">
        <is>
          <t>1</t>
        </is>
      </c>
      <c r="J1407" t="inlineStr"/>
      <c r="K1407" t="inlineStr"/>
      <c r="L1407" t="inlineStr"/>
      <c r="M1407" t="inlineStr"/>
      <c r="N1407" t="inlineStr"/>
      <c r="O1407">
        <f>(1-Summary!$B$55)*T1407+Summary!$B$55*V1407</f>
        <v/>
      </c>
      <c r="P1407">
        <f>IF(B1420=0,0,O1407/B1420)</f>
        <v/>
      </c>
      <c r="Q1407" t="n">
        <v>0</v>
      </c>
      <c r="R1407" t="n">
        <v>0</v>
      </c>
      <c r="S1407">
        <f>IFERROR(O1407/N1407,0)</f>
        <v/>
      </c>
      <c r="T1407" t="n">
        <v>0</v>
      </c>
      <c r="V1407" t="n">
        <v>0</v>
      </c>
    </row>
    <row r="1409">
      <c r="A1409" t="inlineStr">
        <is>
          <t>Attack% Bucket Multiplier</t>
        </is>
      </c>
      <c r="B1409">
        <f>(1+(((C1397=TRUE)*F1397)+((C1404=TRUE)*(F1404-Calc!F24)))/100)</f>
        <v/>
      </c>
    </row>
    <row r="1410">
      <c r="A1410" t="inlineStr">
        <is>
          <t>Global Crit Rate Bonus %</t>
        </is>
      </c>
      <c r="B1410" t="n">
        <v>0</v>
      </c>
    </row>
    <row r="1411">
      <c r="A1411" t="inlineStr">
        <is>
          <t>Attack Speed Buff Bonus % (unused)</t>
        </is>
      </c>
      <c r="B1411" t="n">
        <v>0</v>
      </c>
    </row>
    <row r="1412">
      <c r="A1412" t="inlineStr">
        <is>
          <t>Actions Per Second</t>
        </is>
      </c>
      <c r="B1412">
        <f>1+MIN(150,150*(1-(1-(Inputs!$B$11+((C1400=TRUE)*(F1400-Calc!F20))+((C1401=TRUE)*(F1401-Calc!F21)))/150)*(1-B1411/150)))/100</f>
        <v/>
      </c>
    </row>
    <row r="1413">
      <c r="A1413" t="inlineStr">
        <is>
          <t>Skill + Buff Cast Rate</t>
        </is>
      </c>
      <c r="B1413">
        <f>IF(AND(Inputs!$B$38&lt;&gt;"pvp",Inputs!$B$43&gt;0),SUMPRODUCT((Skills!E2:E27=TRUE)*(C1382:C1407=TRUE)*R1382:R1407*Skills!F2:F27)/Inputs!$B$43,SUMPRODUCT((Skills!E2:E27=TRUE)*(C1382:C1407=TRUE)*Q1382:Q1407*Skills!F2:F27))</f>
        <v/>
      </c>
    </row>
    <row r="1414">
      <c r="A1414" t="inlineStr">
        <is>
          <t>Eight-Legs Easton Casts Per Second</t>
        </is>
      </c>
      <c r="B1414">
        <f>MAX(0,B1412-B1413)</f>
        <v/>
      </c>
    </row>
    <row r="1415">
      <c r="A1415" t="inlineStr">
        <is>
          <t>Global Critical Damage Bonus % (unused)</t>
        </is>
      </c>
      <c r="B1415" t="n">
        <v>0</v>
      </c>
    </row>
    <row r="1416">
      <c r="A1416" t="inlineStr">
        <is>
          <t>Global Final Damage Bonus % (Jolly Roger only)</t>
        </is>
      </c>
      <c r="B1416">
        <f>((C1398=TRUE)*F1398)</f>
        <v/>
      </c>
    </row>
    <row r="1417">
      <c r="A1417" t="inlineStr">
        <is>
          <t>Buff-Casting Startup Delay (s, fixed-duration only)</t>
        </is>
      </c>
      <c r="B1417">
        <f>IF(AND(Inputs!$B$38&lt;&gt;"pvp",Inputs!$B$43&gt;0),SUMPRODUCT((Skills!T2:T27&gt;0)*(Skills!E2:E27=TRUE)*(C1382:C1407=TRUE))/B1412,0)</f>
        <v/>
      </c>
    </row>
    <row r="1418">
      <c r="A1418" t="inlineStr">
        <is>
          <t>Boss-Only Total DPS (this block's swept value)</t>
        </is>
      </c>
      <c r="B1418">
        <f>SUM(T1382:T1407)</f>
        <v/>
      </c>
    </row>
    <row r="1419">
      <c r="A1419" t="inlineStr">
        <is>
          <t>Normal-Only Total DPS (this block's swept value)</t>
        </is>
      </c>
      <c r="B1419">
        <f>SUM(V1382:V1407)</f>
        <v/>
      </c>
    </row>
    <row r="1420">
      <c r="A1420" s="5" t="inlineStr">
        <is>
          <t>TOTAL DPS</t>
        </is>
      </c>
      <c r="B1420" s="5">
        <f>SUM(O1382:O1407)</f>
        <v/>
      </c>
    </row>
    <row r="1423">
      <c r="A1423" s="5" t="inlineStr">
        <is>
          <t>Stat: CDR = 3.5s</t>
        </is>
      </c>
    </row>
    <row r="1424">
      <c r="A1424" s="9" t="inlineStr">
        <is>
          <t>Key</t>
        </is>
      </c>
      <c r="B1424" s="9" t="inlineStr">
        <is>
          <t>Name</t>
        </is>
      </c>
      <c r="C1424" s="9" t="inlineStr">
        <is>
          <t>Unlocked</t>
        </is>
      </c>
      <c r="D1424" s="9" t="inlineStr">
        <is>
          <t>InputLevel</t>
        </is>
      </c>
      <c r="E1424" s="9" t="inlineStr">
        <is>
          <t>Factor</t>
        </is>
      </c>
      <c r="F1424" s="9" t="inlineStr">
        <is>
          <t>CoefficientPercent</t>
        </is>
      </c>
      <c r="G1424" s="9" t="inlineStr">
        <is>
          <t>EffectiveHits</t>
        </is>
      </c>
      <c r="H1424" s="9" t="inlineStr">
        <is>
          <t>ProcProbability</t>
        </is>
      </c>
      <c r="I1424" s="9" t="inlineStr">
        <is>
          <t>MapleHeroMultiplier</t>
        </is>
      </c>
      <c r="J1424" s="9" t="inlineStr">
        <is>
          <t>BaseDamage</t>
        </is>
      </c>
      <c r="K1424" s="9" t="inlineStr">
        <is>
          <t>BaseHitDamage</t>
        </is>
      </c>
      <c r="L1424" s="9" t="inlineStr">
        <is>
          <t>NonCritAvg</t>
        </is>
      </c>
      <c r="M1424" s="9" t="inlineStr">
        <is>
          <t>CritAvg</t>
        </is>
      </c>
      <c r="N1424" s="9" t="inlineStr">
        <is>
          <t>ExpectedDamage(perHit)</t>
        </is>
      </c>
      <c r="O1424" s="9" t="inlineStr">
        <is>
          <t>DPS</t>
        </is>
      </c>
      <c r="P1424" s="9" t="inlineStr">
        <is>
          <t>% of Total</t>
        </is>
      </c>
      <c r="Q1424" s="9" t="inlineStr">
        <is>
          <t>InvCooldown</t>
        </is>
      </c>
      <c r="R1424" s="9" t="inlineStr">
        <is>
          <t>CastsInFight</t>
        </is>
      </c>
      <c r="S1424" s="9" t="inlineStr">
        <is>
          <t>HitRate(perSec)</t>
        </is>
      </c>
      <c r="U1424" t="inlineStr">
        <is>
          <t>helpers</t>
        </is>
      </c>
    </row>
    <row r="1425">
      <c r="A1425">
        <f>Skills!A2</f>
        <v/>
      </c>
      <c r="B1425">
        <f>Skills!B2</f>
        <v/>
      </c>
      <c r="C1425">
        <f>Inputs!$B$3&gt;=100</f>
        <v/>
      </c>
      <c r="D1425" t="inlineStr"/>
      <c r="E1425" t="inlineStr"/>
      <c r="F1425">
        <f>U1427+Skills!O2</f>
        <v/>
      </c>
      <c r="G1425">
        <f>Skills!G2*IF(Skills!H2&gt;0,Skills!I2/Skills!H2,1)</f>
        <v/>
      </c>
      <c r="H1425">
        <f>1-(1-Skills!J2/100)^Skills!K2</f>
        <v/>
      </c>
      <c r="I1425" t="inlineStr">
        <is>
          <t>1</t>
        </is>
      </c>
      <c r="J1425">
        <f>((Inputs!$B$6*(1+Inputs!$B$7/100))+(((Inputs!$B$12*(1+Inputs!$B$13/100))-(Inputs!$B$12*(1+Inputs!$B$13/100)))+0.25*(Inputs!$B$14-Inputs!$B$14))*(1+Inputs!$B$7/100))*(F1425/100)</f>
        <v/>
      </c>
      <c r="K1425">
        <f>J1425*(1+((Inputs!$B$12*(1+Inputs!$B$13/100))*0.01+Inputs!$B$14*0.0025)/100)*(1+Inputs!$B$15/100)*(1+Inputs!$B$16/100)*(5000/(6000+Inputs!$B$42*(1-(Inputs!$B$19+0)/100)))*(1+(Inputs!$B$24+((C1449=TRUE)*(F1449-Calc!F26))+B1459)/100)*(1+(IF(Skills!A2="EIGHT_LEGS_EASTON",Inputs!$B$17+((C1446=TRUE)*(F1446-Calc!F23))+((C1450=TRUE)*(F1450-Calc!F27)),Inputs!$B$18+0))/100)*((1+(((C1440=TRUE)*F1440)+((C1447=TRUE)*(F1447-Calc!F24)))/100)*I1425)</f>
        <v/>
      </c>
      <c r="L1425">
        <f>K1425*(MIN(Inputs!$B$22+((C1445=TRUE)*(F1445-Calc!F22)),Inputs!$B$23+0)/100+(Inputs!$B$23+0)/100)/2</f>
        <v/>
      </c>
      <c r="M1425">
        <f>L1425*(1+(Inputs!$B$10+((C1448=TRUE)*(F1448-Calc!F25))+B1458)/100)</f>
        <v/>
      </c>
      <c r="N1425">
        <f>L1425*(1-MIN((Inputs!$B$9+((C1442=TRUE)*(F1442-Calc!F19))+B1453),100)/100)+M1425*(MIN((Inputs!$B$9+((C1442=TRUE)*(F1442-Calc!F19))+B1453),100)/100)</f>
        <v/>
      </c>
      <c r="O1425">
        <f>(1-Summary!$B$55)*T1425+Summary!$B$55*V1425</f>
        <v/>
      </c>
      <c r="P1425">
        <f>IF(B1463=0,0,O1425/B1463)</f>
        <v/>
      </c>
      <c r="Q1425" t="n">
        <v>0</v>
      </c>
      <c r="R1425" t="n">
        <v>0</v>
      </c>
      <c r="S1425">
        <f>IFERROR(O1425/N1425,0)</f>
        <v/>
      </c>
      <c r="T1425">
        <f>IF(C1425,(Skills!G2*N1425*B1457)*IF(Inputs!$B$38="pvp",1,1+(Inputs!$B$20+0+Skills!P2)/100),0)</f>
        <v/>
      </c>
      <c r="U1425">
        <f>MAX(0,(Inputs!$B$3-100)*3)+Inputs!$B$28+Inputs!$B$29</f>
        <v/>
      </c>
      <c r="V1425">
        <f>IF(C1425,(Skills!G2*N1425*B1457)*IF(Inputs!$B$38="pvp",1,(1+(Inputs!$B$21+Skills!Q2)/100)*(MIN((6+Inputs!$B$33),Inputs!$B$37))),0)</f>
        <v/>
      </c>
    </row>
    <row r="1426">
      <c r="A1426">
        <f>Skills!A3</f>
        <v/>
      </c>
      <c r="B1426">
        <f>Skills!B3</f>
        <v/>
      </c>
      <c r="C1426">
        <f>Inputs!$B$3&gt;=35</f>
        <v/>
      </c>
      <c r="D1426">
        <f>IF(Skills!C3=1,60+Inputs!$B$25+Inputs!$B$29,IF(Skills!C3=2,90+Inputs!$B$26+Inputs!$B$29,IF(Skills!C3=3,120+Inputs!$B$27+Inputs!$B$29,MAX(0,(Inputs!$B$3-100)*3)+Inputs!$B$28+Inputs!$B$29)))</f>
        <v/>
      </c>
      <c r="E1426">
        <f>INDEX(FactorTable!$B$2:$Y$301, MATCH(ROUND(MIN(300,MAX(1,D1426)),0), FactorTable!$A$2:$A$301,0), Skills!M3+1)</f>
        <v/>
      </c>
      <c r="F1426">
        <f>IF(Skills!N3=TRUE,(Skills!L3/10)*(E1426/1000),Skills!L3/10)+Skills!O3</f>
        <v/>
      </c>
      <c r="G1426">
        <f>Skills!G3*IF(Skills!H3&gt;0,Skills!I3/Skills!H3,1)</f>
        <v/>
      </c>
      <c r="H1426">
        <f>1-(1-Skills!J3/100)^Skills!K3</f>
        <v/>
      </c>
      <c r="I1426" t="inlineStr">
        <is>
          <t>1</t>
        </is>
      </c>
      <c r="J1426">
        <f>((Inputs!$B$6*(1+Inputs!$B$7/100))+(((Inputs!$B$12*(1+Inputs!$B$13/100))-(Inputs!$B$12*(1+Inputs!$B$13/100)))+0.25*(Inputs!$B$14-Inputs!$B$14))*(1+Inputs!$B$7/100))*(F1426/100)</f>
        <v/>
      </c>
      <c r="K1426">
        <f>J1426*(1+((Inputs!$B$12*(1+Inputs!$B$13/100))*0.01+Inputs!$B$14*0.0025)/100)*(1+Inputs!$B$15/100)*(1+Inputs!$B$16/100)*(5000/(6000+Inputs!$B$42*(1-(Inputs!$B$19+0)/100)))*(1+(Inputs!$B$24+((C1449=TRUE)*(F1449-Calc!F26))+B1459)/100)*(1+4.0*IF(C1438=TRUE,F1438,0)/100)*(1+(IF(Skills!A3="EIGHT_LEGS_EASTON",Inputs!$B$17+((C1446=TRUE)*(F1446-Calc!F23))+((C1450=TRUE)*(F1450-Calc!F27)),Inputs!$B$18+0))/100)*((1+(((C1440=TRUE)*F1440)+((C1447=TRUE)*(F1447-Calc!F24)))/100)*I1426)</f>
        <v/>
      </c>
      <c r="L1426">
        <f>K1426*(MIN(Inputs!$B$22+((C1445=TRUE)*(F1445-Calc!F22)),Inputs!$B$23+0)/100+(Inputs!$B$23+0)/100)/2</f>
        <v/>
      </c>
      <c r="M1426">
        <f>L1426*(1+(Inputs!$B$10+((C1448=TRUE)*(F1448-Calc!F25))+B1458)/100)</f>
        <v/>
      </c>
      <c r="N1426">
        <f>L1426*(1-MIN((Inputs!$B$9+((C1442=TRUE)*(F1442-Calc!F19))+B1453),100)/100)+M1426*(MIN((Inputs!$B$9+((C1442=TRUE)*(F1442-Calc!F19))+B1453),100)/100)</f>
        <v/>
      </c>
      <c r="O1426">
        <f>(1-Summary!$B$55)*T1426+Summary!$B$55*V1426</f>
        <v/>
      </c>
      <c r="P1426">
        <f>IF(B1463=0,0,O1426/B1463)</f>
        <v/>
      </c>
      <c r="Q1426">
        <f>IFERROR(1/IF(Inputs!$B$38="pvp",15,MAX(0.1,Skills!D3-IF(Skills!E3=TRUE,3.5,0))),0)</f>
        <v/>
      </c>
      <c r="R1426">
        <f>IF(AND(Inputs!$B$38&lt;&gt;"pvp",Inputs!$B$43&gt;0),IF(MAX(0,Inputs!$B$43-B1460)&lt;=0,0,(INT(MAX(0,Inputs!$B$43-B1460)/IF(Inputs!$B$38="pvp",15,MAX(0.1,Skills!D3-IF(Skills!E3=TRUE,3.5,0))))+1)),0)</f>
        <v/>
      </c>
      <c r="S1426">
        <f>IFERROR(O1426/N1426,0)</f>
        <v/>
      </c>
      <c r="T1426">
        <f>IF(C1426,(H1426*N1426*IF(AND(Inputs!$B$38&lt;&gt;"pvp",Inputs!$B$43&gt;0),((Skills!G3*((R1426-1)*IF(Skills!H3&gt;0,Skills!I3/Skills!H3,1)+IF(Skills!H3&gt;0,MIN(Skills!I3,MAX(0,MAX(0,Inputs!$B$43-B1460)-((R1426-1)*IF(Inputs!$B$38="pvp",15,MAX(0.1,Skills!D3-IF(Skills!E3=TRUE,3.5,0))))))/Skills!H3,1)))/Inputs!$B$43),G1426*Q1426))*IF(Inputs!$B$38="pvp",1,1+(Inputs!$B$20+0+Skills!P3)/100),0)</f>
        <v/>
      </c>
      <c r="U1426">
        <f>INDEX(FactorTable!$B$2:$Y$301, MATCH(ROUND(MIN(300,MAX(1,U1425)),0), FactorTable!$A$2:$A$301,0), 22)</f>
        <v/>
      </c>
      <c r="V1426">
        <f>IF(C1426,(H1426*N1426*IF(AND(Inputs!$B$38&lt;&gt;"pvp",Inputs!$B$43&gt;0),((Skills!G3*((R1426-1)*IF(Skills!H3&gt;0,Skills!I3/Skills!H3,1)+IF(Skills!H3&gt;0,MIN(Skills!I3,MAX(0,MAX(0,Inputs!$B$43-B1460)-((R1426-1)*IF(Inputs!$B$38="pvp",15,MAX(0.1,Skills!D3-IF(Skills!E3=TRUE,3.5,0))))))/Skills!H3,1)))/Inputs!$B$43),G1426*Q1426))*IF(Inputs!$B$38="pvp",1,(1+(Inputs!$B$21+Skills!Q3)/100)*(MIN(Skills!R3,Inputs!$B$37))),0)</f>
        <v/>
      </c>
    </row>
    <row r="1427">
      <c r="A1427">
        <f>Skills!A4</f>
        <v/>
      </c>
      <c r="B1427">
        <f>Skills!B4</f>
        <v/>
      </c>
      <c r="C1427">
        <f>Inputs!$B$3&gt;=40</f>
        <v/>
      </c>
      <c r="D1427">
        <f>IF(Skills!C4=1,60+Inputs!$B$25+Inputs!$B$29,IF(Skills!C4=2,90+Inputs!$B$26+Inputs!$B$29,IF(Skills!C4=3,120+Inputs!$B$27+Inputs!$B$29,MAX(0,(Inputs!$B$3-100)*3)+Inputs!$B$28+Inputs!$B$29)))</f>
        <v/>
      </c>
      <c r="E1427">
        <f>INDEX(FactorTable!$B$2:$Y$301, MATCH(ROUND(MIN(300,MAX(1,D1427)),0), FactorTable!$A$2:$A$301,0), Skills!M4+1)</f>
        <v/>
      </c>
      <c r="F1427">
        <f>IF(Skills!N4=TRUE,(Skills!L4/10)*(E1427/1000),Skills!L4/10)+Skills!O4</f>
        <v/>
      </c>
      <c r="G1427">
        <f>Skills!G4*IF(Skills!H4&gt;0,Skills!I4/Skills!H4,1)</f>
        <v/>
      </c>
      <c r="H1427">
        <f>1-(1-Skills!J4/100)^Skills!K4</f>
        <v/>
      </c>
      <c r="I1427" t="inlineStr">
        <is>
          <t>1</t>
        </is>
      </c>
      <c r="J1427">
        <f>((Inputs!$B$6*(1+Inputs!$B$7/100))+(((Inputs!$B$12*(1+Inputs!$B$13/100))-(Inputs!$B$12*(1+Inputs!$B$13/100)))+0.25*(Inputs!$B$14-Inputs!$B$14))*(1+Inputs!$B$7/100))*(F1427/100)</f>
        <v/>
      </c>
      <c r="K1427">
        <f>J1427*(1+((Inputs!$B$12*(1+Inputs!$B$13/100))*0.01+Inputs!$B$14*0.0025)/100)*(1+Inputs!$B$15/100)*(1+Inputs!$B$16/100)*(5000/(6000+Inputs!$B$42*(1-(Inputs!$B$19+0)/100)))*(1+(Inputs!$B$24+((C1449=TRUE)*(F1449-Calc!F26))+B1459)/100)*(1+1.0*IF(C1439=TRUE,F1439,0)/100)*(1+(IF(Skills!A4="EIGHT_LEGS_EASTON",Inputs!$B$17+((C1446=TRUE)*(F1446-Calc!F23))+((C1450=TRUE)*(F1450-Calc!F27)),Inputs!$B$18+0))/100)*((1+(((C1440=TRUE)*F1440)+((C1447=TRUE)*(F1447-Calc!F24)))/100)*I1427)</f>
        <v/>
      </c>
      <c r="L1427">
        <f>K1427*(MIN(Inputs!$B$22+((C1445=TRUE)*(F1445-Calc!F22)),Inputs!$B$23+0)/100+(Inputs!$B$23+0)/100)/2</f>
        <v/>
      </c>
      <c r="M1427">
        <f>L1427*(1+(Inputs!$B$10+((C1448=TRUE)*(F1448-Calc!F25))+B1458)/100)</f>
        <v/>
      </c>
      <c r="N1427">
        <f>L1427*(1-MIN((Inputs!$B$9+((C1442=TRUE)*(F1442-Calc!F19))+B1453),100)/100)+M1427*(MIN((Inputs!$B$9+((C1442=TRUE)*(F1442-Calc!F19))+B1453),100)/100)</f>
        <v/>
      </c>
      <c r="O1427">
        <f>(1-Summary!$B$55)*T1427+Summary!$B$55*V1427</f>
        <v/>
      </c>
      <c r="P1427">
        <f>IF(B1463=0,0,O1427/B1463)</f>
        <v/>
      </c>
      <c r="Q1427">
        <f>IFERROR(1/IF(Inputs!$B$38="pvp",15,MAX(0.1,Skills!D4-IF(Skills!E4=TRUE,3.5,0))),0)</f>
        <v/>
      </c>
      <c r="R1427">
        <f>IF(AND(Inputs!$B$38&lt;&gt;"pvp",Inputs!$B$43&gt;0),IF(MAX(0,Inputs!$B$43-B1460)&lt;=0,0,(INT(MAX(0,Inputs!$B$43-B1460)/IF(Inputs!$B$38="pvp",15,MAX(0.1,Skills!D4-IF(Skills!E4=TRUE,3.5,0))))+1)),0)</f>
        <v/>
      </c>
      <c r="S1427">
        <f>IFERROR(O1427/N1427,0)</f>
        <v/>
      </c>
      <c r="T1427">
        <f>IF(C1427,(H1427*N1427*IF(AND(Inputs!$B$38&lt;&gt;"pvp",Inputs!$B$43&gt;0),((Skills!G4*((R1427-1)*IF(Skills!H4&gt;0,Skills!I4/Skills!H4,1)+IF(Skills!H4&gt;0,MIN(Skills!I4,MAX(0,MAX(0,Inputs!$B$43-B1460)-((R1427-1)*IF(Inputs!$B$38="pvp",15,MAX(0.1,Skills!D4-IF(Skills!E4=TRUE,3.5,0))))))/Skills!H4,1)))/Inputs!$B$43),G1427*Q1427))*IF(Inputs!$B$38="pvp",1,1+(Inputs!$B$20+0+Skills!P4)/100),0)</f>
        <v/>
      </c>
      <c r="U1427">
        <f>290*U1426/1000</f>
        <v/>
      </c>
      <c r="V1427">
        <f>IF(C1427,(H1427*N1427*IF(AND(Inputs!$B$38&lt;&gt;"pvp",Inputs!$B$43&gt;0),((Skills!G4*((R1427-1)*IF(Skills!H4&gt;0,Skills!I4/Skills!H4,1)+IF(Skills!H4&gt;0,MIN(Skills!I4,MAX(0,MAX(0,Inputs!$B$43-B1460)-((R1427-1)*IF(Inputs!$B$38="pvp",15,MAX(0.1,Skills!D4-IF(Skills!E4=TRUE,3.5,0))))))/Skills!H4,1)))/Inputs!$B$43),G1427*Q1427))*IF(Inputs!$B$38="pvp",1,(1+(Inputs!$B$21+Skills!Q4)/100)*(MIN(Skills!R4,Inputs!$B$37))),0)</f>
        <v/>
      </c>
    </row>
    <row r="1428">
      <c r="A1428">
        <f>Skills!A5</f>
        <v/>
      </c>
      <c r="B1428">
        <f>Skills!B5</f>
        <v/>
      </c>
      <c r="C1428">
        <f>Inputs!$B$3&gt;=45</f>
        <v/>
      </c>
      <c r="D1428">
        <f>IF(Skills!C5=1,60+Inputs!$B$25+Inputs!$B$29,IF(Skills!C5=2,90+Inputs!$B$26+Inputs!$B$29,IF(Skills!C5=3,120+Inputs!$B$27+Inputs!$B$29,MAX(0,(Inputs!$B$3-100)*3)+Inputs!$B$28+Inputs!$B$29)))</f>
        <v/>
      </c>
      <c r="E1428">
        <f>INDEX(FactorTable!$B$2:$Y$301, MATCH(ROUND(MIN(300,MAX(1,D1428)),0), FactorTable!$A$2:$A$301,0), Skills!M5+1)</f>
        <v/>
      </c>
      <c r="F1428">
        <f>IF(Skills!N5=TRUE,(Skills!L5/10)*(E1428/1000),Skills!L5/10)+Skills!O5</f>
        <v/>
      </c>
      <c r="G1428">
        <f>Skills!G5*IF(Skills!H5&gt;0,Skills!I5/Skills!H5,1)</f>
        <v/>
      </c>
      <c r="H1428">
        <f>1-(1-Skills!J5/100)^Skills!K5</f>
        <v/>
      </c>
      <c r="I1428" t="inlineStr">
        <is>
          <t>1</t>
        </is>
      </c>
      <c r="J1428">
        <f>((Inputs!$B$6*(1+Inputs!$B$7/100))+(((Inputs!$B$12*(1+Inputs!$B$13/100))-(Inputs!$B$12*(1+Inputs!$B$13/100)))+0.25*(Inputs!$B$14-Inputs!$B$14))*(1+Inputs!$B$7/100))*(F1428/100)</f>
        <v/>
      </c>
      <c r="K1428">
        <f>J1428*(1+((Inputs!$B$12*(1+Inputs!$B$13/100))*0.01+Inputs!$B$14*0.0025)/100)*(1+Inputs!$B$15/100)*(1+Inputs!$B$16/100)*(5000/(6000+Inputs!$B$42*(1-(Inputs!$B$19+0)/100)))*(1+(Inputs!$B$24+((C1449=TRUE)*(F1449-Calc!F26))+B1459)/100)*(1+0.4*IF(C1439=TRUE,F1439,0)/100)*(1+(IF(Skills!A5="EIGHT_LEGS_EASTON",Inputs!$B$17+((C1446=TRUE)*(F1446-Calc!F23))+((C1450=TRUE)*(F1450-Calc!F27)),Inputs!$B$18+0))/100)*((1+(((C1440=TRUE)*F1440)+((C1447=TRUE)*(F1447-Calc!F24)))/100)*I1428)</f>
        <v/>
      </c>
      <c r="L1428">
        <f>K1428*(MIN(Inputs!$B$22+((C1445=TRUE)*(F1445-Calc!F22)),Inputs!$B$23+0)/100+(Inputs!$B$23+0)/100)/2</f>
        <v/>
      </c>
      <c r="M1428">
        <f>L1428*(1+(Inputs!$B$10+((C1448=TRUE)*(F1448-Calc!F25))+B1458)/100)</f>
        <v/>
      </c>
      <c r="N1428">
        <f>L1428*(1-MIN((Inputs!$B$9+((C1442=TRUE)*(F1442-Calc!F19))+B1453),100)/100)+M1428*(MIN((Inputs!$B$9+((C1442=TRUE)*(F1442-Calc!F19))+B1453),100)/100)</f>
        <v/>
      </c>
      <c r="O1428">
        <f>(1-Summary!$B$55)*T1428+Summary!$B$55*V1428</f>
        <v/>
      </c>
      <c r="P1428">
        <f>IF(B1463=0,0,O1428/B1463)</f>
        <v/>
      </c>
      <c r="Q1428">
        <f>IFERROR(1/IF(Inputs!$B$38="pvp",15,MAX(0.1,Skills!D5-IF(Skills!E5=TRUE,3.5,0))),0)</f>
        <v/>
      </c>
      <c r="R1428">
        <f>IF(AND(Inputs!$B$38&lt;&gt;"pvp",Inputs!$B$43&gt;0),IF(MAX(0,Inputs!$B$43-B1460)&lt;=0,0,(INT(MAX(0,Inputs!$B$43-B1460)/IF(Inputs!$B$38="pvp",15,MAX(0.1,Skills!D5-IF(Skills!E5=TRUE,3.5,0))))+1)),0)</f>
        <v/>
      </c>
      <c r="S1428">
        <f>IFERROR(O1428/N1428,0)</f>
        <v/>
      </c>
      <c r="T1428">
        <f>IF(C1428,(H1428*N1428*IF(AND(Inputs!$B$38&lt;&gt;"pvp",Inputs!$B$43&gt;0),((Skills!G5*((R1428-1)*IF(Skills!H5&gt;0,Skills!I5/Skills!H5,1)+IF(Skills!H5&gt;0,MIN(Skills!I5,MAX(0,MAX(0,Inputs!$B$43-B1460)-((R1428-1)*IF(Inputs!$B$38="pvp",15,MAX(0.1,Skills!D5-IF(Skills!E5=TRUE,3.5,0))))))/Skills!H5,1)))/Inputs!$B$43),G1428*Q1428))*IF(Inputs!$B$38="pvp",1,1+(Inputs!$B$20+0+Skills!P5)/100),0)</f>
        <v/>
      </c>
      <c r="V1428">
        <f>IF(C1428,(H1428*N1428*IF(AND(Inputs!$B$38&lt;&gt;"pvp",Inputs!$B$43&gt;0),((Skills!G5*((R1428-1)*IF(Skills!H5&gt;0,Skills!I5/Skills!H5,1)+IF(Skills!H5&gt;0,MIN(Skills!I5,MAX(0,MAX(0,Inputs!$B$43-B1460)-((R1428-1)*IF(Inputs!$B$38="pvp",15,MAX(0.1,Skills!D5-IF(Skills!E5=TRUE,3.5,0))))))/Skills!H5,1)))/Inputs!$B$43),G1428*Q1428))*IF(Inputs!$B$38="pvp",1,(1+(Inputs!$B$21+Skills!Q5)/100)*(MIN(Skills!R5,Inputs!$B$37))),0)</f>
        <v/>
      </c>
    </row>
    <row r="1429">
      <c r="A1429">
        <f>Skills!A6</f>
        <v/>
      </c>
      <c r="B1429">
        <f>Skills!B6</f>
        <v/>
      </c>
      <c r="C1429">
        <f>Inputs!$B$3&gt;=63</f>
        <v/>
      </c>
      <c r="D1429">
        <f>IF(Skills!C6=1,60+Inputs!$B$25+Inputs!$B$29,IF(Skills!C6=2,90+Inputs!$B$26+Inputs!$B$29,IF(Skills!C6=3,120+Inputs!$B$27+Inputs!$B$29,MAX(0,(Inputs!$B$3-100)*3)+Inputs!$B$28+Inputs!$B$29)))</f>
        <v/>
      </c>
      <c r="E1429">
        <f>INDEX(FactorTable!$B$2:$Y$301, MATCH(ROUND(MIN(300,MAX(1,D1429)),0), FactorTable!$A$2:$A$301,0), Skills!M6+1)</f>
        <v/>
      </c>
      <c r="F1429">
        <f>IF(Skills!N6=TRUE,(Skills!L6/10)*(E1429/1000),Skills!L6/10)+Skills!O6</f>
        <v/>
      </c>
      <c r="G1429">
        <f>Skills!G6*IF(Skills!H6&gt;0,Skills!I6/Skills!H6,1)</f>
        <v/>
      </c>
      <c r="H1429">
        <f>1-(1-Skills!J6/100)^Skills!K6</f>
        <v/>
      </c>
      <c r="I1429" t="inlineStr">
        <is>
          <t>1</t>
        </is>
      </c>
      <c r="J1429">
        <f>((Inputs!$B$6*(1+Inputs!$B$7/100))+(((Inputs!$B$12*(1+Inputs!$B$13/100))-(Inputs!$B$12*(1+Inputs!$B$13/100)))+0.25*(Inputs!$B$14-Inputs!$B$14))*(1+Inputs!$B$7/100))*(F1429/100)</f>
        <v/>
      </c>
      <c r="K1429">
        <f>J1429*(1+((Inputs!$B$12*(1+Inputs!$B$13/100))*0.01+Inputs!$B$14*0.0025)/100)*(1+Inputs!$B$15/100)*(1+Inputs!$B$16/100)*(5000/(6000+Inputs!$B$42*(1-(Inputs!$B$19+0)/100)))*(1+(Inputs!$B$24+((C1449=TRUE)*(F1449-Calc!F26))+B1459)/100)*(1+2.0*IF(C1438=TRUE,F1438,0)/100)*(1+(IF(Skills!A6="EIGHT_LEGS_EASTON",Inputs!$B$17+((C1446=TRUE)*(F1446-Calc!F23))+((C1450=TRUE)*(F1450-Calc!F27)),Inputs!$B$18+0))/100)*((1+(((C1440=TRUE)*F1440)+((C1447=TRUE)*(F1447-Calc!F24)))/100)*I1429)</f>
        <v/>
      </c>
      <c r="L1429">
        <f>K1429*(MIN(Inputs!$B$22+((C1445=TRUE)*(F1445-Calc!F22)),Inputs!$B$23+0)/100+(Inputs!$B$23+0)/100)/2</f>
        <v/>
      </c>
      <c r="M1429">
        <f>L1429*(1+(Inputs!$B$10+((C1448=TRUE)*(F1448-Calc!F25))+B1458)/100)</f>
        <v/>
      </c>
      <c r="N1429">
        <f>L1429*(1-MIN((Inputs!$B$9+((C1442=TRUE)*(F1442-Calc!F19))+B1453),100)/100)+M1429*(MIN((Inputs!$B$9+((C1442=TRUE)*(F1442-Calc!F19))+B1453),100)/100)</f>
        <v/>
      </c>
      <c r="O1429">
        <f>(1-Summary!$B$55)*T1429+Summary!$B$55*V1429</f>
        <v/>
      </c>
      <c r="P1429">
        <f>IF(B1463=0,0,O1429/B1463)</f>
        <v/>
      </c>
      <c r="Q1429">
        <f>IFERROR(1/IF(Inputs!$B$38="pvp",15,MAX(0.1,Skills!D6-IF(Skills!E6=TRUE,3.5,0))),0)</f>
        <v/>
      </c>
      <c r="R1429">
        <f>IF(AND(Inputs!$B$38&lt;&gt;"pvp",Inputs!$B$43&gt;0),IF(MAX(0,Inputs!$B$43-B1460)&lt;=0,0,(INT(MAX(0,Inputs!$B$43-B1460)/IF(Inputs!$B$38="pvp",15,MAX(0.1,Skills!D6-IF(Skills!E6=TRUE,3.5,0))))+1)),0)</f>
        <v/>
      </c>
      <c r="S1429">
        <f>IFERROR(O1429/N1429,0)</f>
        <v/>
      </c>
      <c r="T1429">
        <f>IF(C1429,(H1429*N1429*IF(AND(Inputs!$B$38&lt;&gt;"pvp",Inputs!$B$43&gt;0),((Skills!G6*((R1429-1)*IF(Skills!H6&gt;0,Skills!I6/Skills!H6,1)+IF(Skills!H6&gt;0,MIN(Skills!I6,MAX(0,MAX(0,Inputs!$B$43-B1460)-((R1429-1)*IF(Inputs!$B$38="pvp",15,MAX(0.1,Skills!D6-IF(Skills!E6=TRUE,3.5,0))))))/Skills!H6,1)))/Inputs!$B$43),G1429*Q1429))*IF(Inputs!$B$38="pvp",1,1+(Inputs!$B$20+0+Skills!P6)/100),0)</f>
        <v/>
      </c>
      <c r="V1429">
        <f>IF(C1429,(H1429*N1429*IF(AND(Inputs!$B$38&lt;&gt;"pvp",Inputs!$B$43&gt;0),((Skills!G6*((R1429-1)*IF(Skills!H6&gt;0,Skills!I6/Skills!H6,1)+IF(Skills!H6&gt;0,MIN(Skills!I6,MAX(0,MAX(0,Inputs!$B$43-B1460)-((R1429-1)*IF(Inputs!$B$38="pvp",15,MAX(0.1,Skills!D6-IF(Skills!E6=TRUE,3.5,0))))))/Skills!H6,1)))/Inputs!$B$43),G1429*Q1429))*IF(Inputs!$B$38="pvp",1,(1+(Inputs!$B$21+Skills!Q6)/100)*(MIN(Skills!R6,Inputs!$B$37))),0)</f>
        <v/>
      </c>
    </row>
    <row r="1430">
      <c r="A1430">
        <f>Skills!A7</f>
        <v/>
      </c>
      <c r="B1430">
        <f>Skills!B7</f>
        <v/>
      </c>
      <c r="C1430">
        <f>Inputs!$B$3&gt;=66</f>
        <v/>
      </c>
      <c r="D1430">
        <f>IF(Skills!C7=1,60+Inputs!$B$25+Inputs!$B$29,IF(Skills!C7=2,90+Inputs!$B$26+Inputs!$B$29,IF(Skills!C7=3,120+Inputs!$B$27+Inputs!$B$29,MAX(0,(Inputs!$B$3-100)*3)+Inputs!$B$28+Inputs!$B$29)))</f>
        <v/>
      </c>
      <c r="E1430">
        <f>INDEX(FactorTable!$B$2:$Y$301, MATCH(ROUND(MIN(300,MAX(1,D1430)),0), FactorTable!$A$2:$A$301,0), Skills!M7+1)</f>
        <v/>
      </c>
      <c r="F1430">
        <f>IF(Skills!N7=TRUE,(Skills!L7/10)*(E1430/1000),Skills!L7/10)+Skills!O7</f>
        <v/>
      </c>
      <c r="G1430">
        <f>Skills!G7*IF(Skills!H7&gt;0,Skills!I7/Skills!H7,1)</f>
        <v/>
      </c>
      <c r="H1430">
        <f>1-(1-Skills!J7/100)^Skills!K7</f>
        <v/>
      </c>
      <c r="I1430" t="inlineStr">
        <is>
          <t>1</t>
        </is>
      </c>
      <c r="J1430">
        <f>((Inputs!$B$6*(1+Inputs!$B$7/100))+(((Inputs!$B$12*(1+Inputs!$B$13/100))-(Inputs!$B$12*(1+Inputs!$B$13/100)))+0.25*(Inputs!$B$14-Inputs!$B$14))*(1+Inputs!$B$7/100))*(F1430/100)</f>
        <v/>
      </c>
      <c r="K1430">
        <f>J1430*(1+((Inputs!$B$12*(1+Inputs!$B$13/100))*0.01+Inputs!$B$14*0.0025)/100)*(1+Inputs!$B$15/100)*(1+Inputs!$B$16/100)*(5000/(6000+Inputs!$B$42*(1-(Inputs!$B$19+0)/100)))*(1+(Inputs!$B$24+((C1449=TRUE)*(F1449-Calc!F26))+B1459)/100)*(1+1.0*IF(C1438=TRUE,F1438,0)/100)*(1+(IF(Skills!A7="EIGHT_LEGS_EASTON",Inputs!$B$17+((C1446=TRUE)*(F1446-Calc!F23))+((C1450=TRUE)*(F1450-Calc!F27)),Inputs!$B$18+0))/100)*((1+(((C1440=TRUE)*F1440)+((C1447=TRUE)*(F1447-Calc!F24)))/100)*I1430)</f>
        <v/>
      </c>
      <c r="L1430">
        <f>K1430*(MIN(Inputs!$B$22+((C1445=TRUE)*(F1445-Calc!F22)),Inputs!$B$23+0)/100+(Inputs!$B$23+0)/100)/2</f>
        <v/>
      </c>
      <c r="M1430">
        <f>L1430*(1+(Inputs!$B$10+((C1448=TRUE)*(F1448-Calc!F25))+B1458)/100)</f>
        <v/>
      </c>
      <c r="N1430">
        <f>L1430*(1-MIN((Inputs!$B$9+((C1442=TRUE)*(F1442-Calc!F19))+B1453),100)/100)+M1430*(MIN((Inputs!$B$9+((C1442=TRUE)*(F1442-Calc!F19))+B1453),100)/100)</f>
        <v/>
      </c>
      <c r="O1430">
        <f>(1-Summary!$B$55)*T1430+Summary!$B$55*V1430</f>
        <v/>
      </c>
      <c r="P1430">
        <f>IF(B1463=0,0,O1430/B1463)</f>
        <v/>
      </c>
      <c r="Q1430">
        <f>IFERROR(1/IF(Inputs!$B$38="pvp",15,MAX(0.1,Skills!D7-IF(Skills!E7=TRUE,3.5,0))),0)</f>
        <v/>
      </c>
      <c r="R1430">
        <f>IF(AND(Inputs!$B$38&lt;&gt;"pvp",Inputs!$B$43&gt;0),IF(MAX(0,Inputs!$B$43-B1460)&lt;=0,0,(INT(MAX(0,Inputs!$B$43-B1460)/IF(Inputs!$B$38="pvp",15,MAX(0.1,Skills!D7-IF(Skills!E7=TRUE,3.5,0))))+1)),0)</f>
        <v/>
      </c>
      <c r="S1430">
        <f>IFERROR(O1430/N1430,0)</f>
        <v/>
      </c>
      <c r="T1430">
        <f>IF(C1430,(H1430*N1430*IF(AND(Inputs!$B$38&lt;&gt;"pvp",Inputs!$B$43&gt;0),((Skills!G7*((R1430-1)*IF(Skills!H7&gt;0,Skills!I7/Skills!H7,1)+IF(Skills!H7&gt;0,MIN(Skills!I7,MAX(0,MAX(0,Inputs!$B$43-B1460)-((R1430-1)*IF(Inputs!$B$38="pvp",15,MAX(0.1,Skills!D7-IF(Skills!E7=TRUE,3.5,0))))))/Skills!H7,1)))/Inputs!$B$43),G1430*Q1430))*IF(Inputs!$B$38="pvp",1,1+(Inputs!$B$20+0+Skills!P7)/100),0)</f>
        <v/>
      </c>
      <c r="V1430">
        <f>IF(C1430,(H1430*N1430*IF(AND(Inputs!$B$38&lt;&gt;"pvp",Inputs!$B$43&gt;0),((Skills!G7*((R1430-1)*IF(Skills!H7&gt;0,Skills!I7/Skills!H7,1)+IF(Skills!H7&gt;0,MIN(Skills!I7,MAX(0,MAX(0,Inputs!$B$43-B1460)-((R1430-1)*IF(Inputs!$B$38="pvp",15,MAX(0.1,Skills!D7-IF(Skills!E7=TRUE,3.5,0))))))/Skills!H7,1)))/Inputs!$B$43),G1430*Q1430))*IF(Inputs!$B$38="pvp",1,(1+(Inputs!$B$21+Skills!Q7)/100)*(MIN(Skills!R7,Inputs!$B$37))),0)</f>
        <v/>
      </c>
    </row>
    <row r="1431">
      <c r="A1431">
        <f>Skills!A8</f>
        <v/>
      </c>
      <c r="B1431">
        <f>Skills!B8</f>
        <v/>
      </c>
      <c r="C1431">
        <f>Inputs!$B$3&gt;=100</f>
        <v/>
      </c>
      <c r="D1431">
        <f>IF(Skills!C8=1,60+Inputs!$B$25+Inputs!$B$29,IF(Skills!C8=2,90+Inputs!$B$26+Inputs!$B$29,IF(Skills!C8=3,120+Inputs!$B$27+Inputs!$B$29,MAX(0,(Inputs!$B$3-100)*3)+Inputs!$B$28+Inputs!$B$29)))</f>
        <v/>
      </c>
      <c r="E1431">
        <f>INDEX(FactorTable!$B$2:$Y$301, MATCH(ROUND(MIN(300,MAX(1,D1431)),0), FactorTable!$A$2:$A$301,0), Skills!M8+1)</f>
        <v/>
      </c>
      <c r="F1431">
        <f>IF(Skills!N8=TRUE,(Skills!L8/10)*(E1431/1000),Skills!L8/10)+Skills!O8</f>
        <v/>
      </c>
      <c r="G1431">
        <f>Skills!G8*IF(Skills!H8&gt;0,Skills!I8/Skills!H8,1)</f>
        <v/>
      </c>
      <c r="H1431">
        <f>1-(1-Skills!J8/100)^Skills!K8</f>
        <v/>
      </c>
      <c r="I1431" t="inlineStr">
        <is>
          <t>1</t>
        </is>
      </c>
      <c r="J1431">
        <f>((Inputs!$B$6*(1+Inputs!$B$7/100))+(((Inputs!$B$12*(1+Inputs!$B$13/100))-(Inputs!$B$12*(1+Inputs!$B$13/100)))+0.25*(Inputs!$B$14-Inputs!$B$14))*(1+Inputs!$B$7/100))*(F1431/100)</f>
        <v/>
      </c>
      <c r="K1431">
        <f>J1431*(1+((Inputs!$B$12*(1+Inputs!$B$13/100))*0.01+Inputs!$B$14*0.0025)/100)*(1+Inputs!$B$15/100)*(1+Inputs!$B$16/100)*(5000/(6000+Inputs!$B$42*(1-(Inputs!$B$19+0)/100)))*(1+(Inputs!$B$24+((C1449=TRUE)*(F1449-Calc!F26))+B1459)/100)*(1+(IF(Skills!A8="EIGHT_LEGS_EASTON",Inputs!$B$17+((C1446=TRUE)*(F1446-Calc!F23))+((C1450=TRUE)*(F1450-Calc!F27)),Inputs!$B$18+0))/100)*((1+(((C1440=TRUE)*F1440)+((C1447=TRUE)*(F1447-Calc!F24)))/100)*I1431)</f>
        <v/>
      </c>
      <c r="L1431">
        <f>K1431*(MIN(Inputs!$B$22+((C1445=TRUE)*(F1445-Calc!F22)),Inputs!$B$23+0)/100+(Inputs!$B$23+0)/100)/2</f>
        <v/>
      </c>
      <c r="M1431">
        <f>L1431*(1+(Inputs!$B$10+((C1448=TRUE)*(F1448-Calc!F25))+B1458)/100)</f>
        <v/>
      </c>
      <c r="N1431">
        <f>L1431*(1-MIN((Inputs!$B$9+((C1442=TRUE)*(F1442-Calc!F19))+B1453),100)/100)+M1431*(MIN((Inputs!$B$9+((C1442=TRUE)*(F1442-Calc!F19))+B1453),100)/100)</f>
        <v/>
      </c>
      <c r="O1431">
        <f>(1-Summary!$B$55)*T1431+Summary!$B$55*V1431</f>
        <v/>
      </c>
      <c r="P1431">
        <f>IF(B1463=0,0,O1431/B1463)</f>
        <v/>
      </c>
      <c r="Q1431">
        <f>IFERROR(1/IF(Inputs!$B$38="pvp",15,MAX(0.1,Skills!D8-IF(Skills!E8=TRUE,3.5,0))),0)</f>
        <v/>
      </c>
      <c r="R1431">
        <f>IF(AND(Inputs!$B$38&lt;&gt;"pvp",Inputs!$B$43&gt;0),IF(MAX(0,Inputs!$B$43-B1460)&lt;=0,0,(INT(MAX(0,Inputs!$B$43-B1460)/IF(Inputs!$B$38="pvp",15,MAX(0.1,Skills!D8-IF(Skills!E8=TRUE,3.5,0))))+1)),0)</f>
        <v/>
      </c>
      <c r="S1431">
        <f>IFERROR(O1431/N1431,0)</f>
        <v/>
      </c>
      <c r="T1431">
        <f>IF(C1431,(H1431*N1431*IF(AND(Inputs!$B$38&lt;&gt;"pvp",Inputs!$B$43&gt;0),((Skills!G8*((R1431-1)*IF(Skills!H8&gt;0,Skills!I8/Skills!H8,1)+IF(Skills!H8&gt;0,MIN(Skills!I8,MAX(0,MAX(0,Inputs!$B$43-B1460)-((R1431-1)*IF(Inputs!$B$38="pvp",15,MAX(0.1,Skills!D8-IF(Skills!E8=TRUE,3.5,0))))))/Skills!H8,1)))/Inputs!$B$43),G1431*Q1431))*IF(Inputs!$B$38="pvp",1,1+(Inputs!$B$20+0+Skills!P8)/100),0)</f>
        <v/>
      </c>
      <c r="V1431">
        <f>IF(C1431,(H1431*N1431*IF(AND(Inputs!$B$38&lt;&gt;"pvp",Inputs!$B$43&gt;0),((Skills!G8*((R1431-1)*IF(Skills!H8&gt;0,Skills!I8/Skills!H8,1)+IF(Skills!H8&gt;0,MIN(Skills!I8,MAX(0,MAX(0,Inputs!$B$43-B1460)-((R1431-1)*IF(Inputs!$B$38="pvp",15,MAX(0.1,Skills!D8-IF(Skills!E8=TRUE,3.5,0))))))/Skills!H8,1)))/Inputs!$B$43),G1431*Q1431))*IF(Inputs!$B$38="pvp",1,(1+(Inputs!$B$21+Skills!Q8)/100)*(MIN(Skills!R8,Inputs!$B$37))),0)</f>
        <v/>
      </c>
    </row>
    <row r="1432">
      <c r="A1432">
        <f>Skills!A9</f>
        <v/>
      </c>
      <c r="B1432">
        <f>Skills!B9</f>
        <v/>
      </c>
      <c r="C1432">
        <f>Inputs!$B$3&gt;=103</f>
        <v/>
      </c>
      <c r="D1432">
        <f>IF(Skills!C9=1,60+Inputs!$B$25+Inputs!$B$29,IF(Skills!C9=2,90+Inputs!$B$26+Inputs!$B$29,IF(Skills!C9=3,120+Inputs!$B$27+Inputs!$B$29,MAX(0,(Inputs!$B$3-100)*3)+Inputs!$B$28+Inputs!$B$29)))</f>
        <v/>
      </c>
      <c r="E1432">
        <f>INDEX(FactorTable!$B$2:$Y$301, MATCH(ROUND(MIN(300,MAX(1,D1432)),0), FactorTable!$A$2:$A$301,0), Skills!M9+1)</f>
        <v/>
      </c>
      <c r="F1432">
        <f>IF(Skills!N9=TRUE,(Skills!L9/10)*(E1432/1000),Skills!L9/10)+Skills!O9</f>
        <v/>
      </c>
      <c r="G1432">
        <f>Skills!G9*IF(Skills!H9&gt;0,Skills!I9/Skills!H9,1)</f>
        <v/>
      </c>
      <c r="H1432">
        <f>1-(1-Skills!J9/100)^Skills!K9</f>
        <v/>
      </c>
      <c r="I1432" t="inlineStr">
        <is>
          <t>1</t>
        </is>
      </c>
      <c r="J1432">
        <f>((Inputs!$B$6*(1+Inputs!$B$7/100))+(((Inputs!$B$12*(1+Inputs!$B$13/100))-(Inputs!$B$12*(1+Inputs!$B$13/100)))+0.25*(Inputs!$B$14-Inputs!$B$14))*(1+Inputs!$B$7/100))*(F1432/100)</f>
        <v/>
      </c>
      <c r="K1432">
        <f>J1432*(1+((Inputs!$B$12*(1+Inputs!$B$13/100))*0.01+Inputs!$B$14*0.0025)/100)*(1+Inputs!$B$15/100)*(1+Inputs!$B$16/100)*(5000/(6000+Inputs!$B$42*(1-(Inputs!$B$19+0)/100)))*(1+(Inputs!$B$24+((C1449=TRUE)*(F1449-Calc!F26))+B1459)/100)*(1+(IF(Skills!A9="EIGHT_LEGS_EASTON",Inputs!$B$17+((C1446=TRUE)*(F1446-Calc!F23))+((C1450=TRUE)*(F1450-Calc!F27)),Inputs!$B$18+0))/100)*((1+(((C1440=TRUE)*F1440)+((C1447=TRUE)*(F1447-Calc!F24)))/100)*I1432)</f>
        <v/>
      </c>
      <c r="L1432">
        <f>K1432*(MIN(Inputs!$B$22+((C1445=TRUE)*(F1445-Calc!F22)),Inputs!$B$23+0)/100+(Inputs!$B$23+0)/100)/2</f>
        <v/>
      </c>
      <c r="M1432">
        <f>L1432*(1+(Inputs!$B$10+((C1448=TRUE)*(F1448-Calc!F25))+B1458)/100)</f>
        <v/>
      </c>
      <c r="N1432">
        <f>L1432*(1-MIN((Inputs!$B$9+((C1442=TRUE)*(F1442-Calc!F19))+B1453),100)/100)+M1432*(MIN((Inputs!$B$9+((C1442=TRUE)*(F1442-Calc!F19))+B1453),100)/100)</f>
        <v/>
      </c>
      <c r="O1432">
        <f>(1-Summary!$B$55)*T1432+Summary!$B$55*V1432</f>
        <v/>
      </c>
      <c r="P1432">
        <f>IF(B1463=0,0,O1432/B1463)</f>
        <v/>
      </c>
      <c r="Q1432">
        <f>IFERROR(1/IF(Inputs!$B$38="pvp",15,MAX(0.1,Skills!D9-IF(Skills!E9=TRUE,3.5,0))),0)</f>
        <v/>
      </c>
      <c r="R1432">
        <f>IF(AND(Inputs!$B$38&lt;&gt;"pvp",Inputs!$B$43&gt;0),IF(MAX(0,Inputs!$B$43-B1460)&lt;=0,0,(INT(MAX(0,Inputs!$B$43-B1460)/IF(Inputs!$B$38="pvp",15,MAX(0.1,Skills!D9-IF(Skills!E9=TRUE,3.5,0))))+1)),0)</f>
        <v/>
      </c>
      <c r="S1432">
        <f>IFERROR(O1432/N1432,0)</f>
        <v/>
      </c>
      <c r="T1432">
        <f>IF(C1432,(H1432*N1432*IF(AND(Inputs!$B$38&lt;&gt;"pvp",Inputs!$B$43&gt;0),((Skills!G9*((R1432-1)*IF(Skills!H9&gt;0,Skills!I9/Skills!H9,1)+IF(Skills!H9&gt;0,MIN(Skills!I9,MAX(0,MAX(0,Inputs!$B$43-B1460)-((R1432-1)*IF(Inputs!$B$38="pvp",15,MAX(0.1,Skills!D9-IF(Skills!E9=TRUE,3.5,0))))))/Skills!H9,1)))/Inputs!$B$43),G1432*Q1432))*IF(Inputs!$B$38="pvp",1,1+(Inputs!$B$20+0+Skills!P9)/100),0)</f>
        <v/>
      </c>
      <c r="V1432">
        <f>IF(C1432,(H1432*N1432*IF(AND(Inputs!$B$38&lt;&gt;"pvp",Inputs!$B$43&gt;0),((Skills!G9*((R1432-1)*IF(Skills!H9&gt;0,Skills!I9/Skills!H9,1)+IF(Skills!H9&gt;0,MIN(Skills!I9,MAX(0,MAX(0,Inputs!$B$43-B1460)-((R1432-1)*IF(Inputs!$B$38="pvp",15,MAX(0.1,Skills!D9-IF(Skills!E9=TRUE,3.5,0))))))/Skills!H9,1)))/Inputs!$B$43),G1432*Q1432))*IF(Inputs!$B$38="pvp",1,(1+(Inputs!$B$21+Skills!Q9)/100)*(MIN(Skills!R9,Inputs!$B$37))),0)</f>
        <v/>
      </c>
    </row>
    <row r="1433">
      <c r="A1433">
        <f>Skills!A10</f>
        <v/>
      </c>
      <c r="B1433">
        <f>Skills!B10</f>
        <v/>
      </c>
      <c r="C1433">
        <f>Inputs!$B$3&gt;=113</f>
        <v/>
      </c>
      <c r="D1433">
        <f>IF(Skills!C10=1,60+Inputs!$B$25+Inputs!$B$29,IF(Skills!C10=2,90+Inputs!$B$26+Inputs!$B$29,IF(Skills!C10=3,120+Inputs!$B$27+Inputs!$B$29,MAX(0,(Inputs!$B$3-100)*3)+Inputs!$B$28+Inputs!$B$29)))</f>
        <v/>
      </c>
      <c r="E1433">
        <f>INDEX(FactorTable!$B$2:$Y$301, MATCH(ROUND(MIN(300,MAX(1,D1433)),0), FactorTable!$A$2:$A$301,0), Skills!M10+1)</f>
        <v/>
      </c>
      <c r="F1433">
        <f>IF(Skills!N10=TRUE,(Skills!L10/10)*(E1433/1000),Skills!L10/10)+Skills!O10</f>
        <v/>
      </c>
      <c r="G1433">
        <f>Skills!G10*IF(Skills!H10&gt;0,Skills!I10/Skills!H10,1)</f>
        <v/>
      </c>
      <c r="H1433">
        <f>1-(1-Skills!J10/100)^Skills!K10</f>
        <v/>
      </c>
      <c r="I1433" t="inlineStr">
        <is>
          <t>1</t>
        </is>
      </c>
      <c r="J1433">
        <f>((Inputs!$B$6*(1+Inputs!$B$7/100))+(((Inputs!$B$12*(1+Inputs!$B$13/100))-(Inputs!$B$12*(1+Inputs!$B$13/100)))+0.25*(Inputs!$B$14-Inputs!$B$14))*(1+Inputs!$B$7/100))*(F1433/100)</f>
        <v/>
      </c>
      <c r="K1433">
        <f>J1433*(1+((Inputs!$B$12*(1+Inputs!$B$13/100))*0.01+Inputs!$B$14*0.0025)/100)*(1+Inputs!$B$15/100)*(1+Inputs!$B$16/100)*(5000/(6000+Inputs!$B$42*(1-(Inputs!$B$19+0)/100)))*(1+(Inputs!$B$24+((C1449=TRUE)*(F1449-Calc!F26))+B1459)/100)*(1+(IF(Skills!A10="EIGHT_LEGS_EASTON",Inputs!$B$17+((C1446=TRUE)*(F1446-Calc!F23))+((C1450=TRUE)*(F1450-Calc!F27)),Inputs!$B$18+0))/100)*((1+(((C1440=TRUE)*F1440)+((C1447=TRUE)*(F1447-Calc!F24)))/100)*I1433)</f>
        <v/>
      </c>
      <c r="L1433">
        <f>K1433*(MIN(Inputs!$B$22+((C1445=TRUE)*(F1445-Calc!F22)),Inputs!$B$23+0)/100+(Inputs!$B$23+0)/100)/2</f>
        <v/>
      </c>
      <c r="M1433">
        <f>L1433*(1+(Inputs!$B$10+((C1448=TRUE)*(F1448-Calc!F25))+B1458)/100)</f>
        <v/>
      </c>
      <c r="N1433">
        <f>L1433*(1-MIN((Inputs!$B$9+((C1442=TRUE)*(F1442-Calc!F19))+B1453),100)/100)+M1433*(MIN((Inputs!$B$9+((C1442=TRUE)*(F1442-Calc!F19))+B1453),100)/100)</f>
        <v/>
      </c>
      <c r="O1433">
        <f>(1-Summary!$B$55)*T1433+Summary!$B$55*V1433</f>
        <v/>
      </c>
      <c r="P1433">
        <f>IF(B1463=0,0,O1433/B1463)</f>
        <v/>
      </c>
      <c r="Q1433">
        <f>IFERROR(1/IF(Inputs!$B$38="pvp",15,MAX(0.1,Skills!D10-IF(Skills!E10=TRUE,3.5,0))),0)</f>
        <v/>
      </c>
      <c r="R1433">
        <f>IF(AND(Inputs!$B$38&lt;&gt;"pvp",Inputs!$B$43&gt;0),IF(MAX(0,Inputs!$B$43-B1460)&lt;=0,0,(INT(MAX(0,Inputs!$B$43-B1460)/IF(Inputs!$B$38="pvp",15,MAX(0.1,Skills!D10-IF(Skills!E10=TRUE,3.5,0))))+1)),0)</f>
        <v/>
      </c>
      <c r="S1433">
        <f>IFERROR(O1433/N1433,0)</f>
        <v/>
      </c>
      <c r="T1433">
        <f>IF(C1433,(H1433*N1433*IF(AND(Inputs!$B$38&lt;&gt;"pvp",Inputs!$B$43&gt;0),((Skills!G10*((R1433-1)*IF(Skills!H10&gt;0,Skills!I10/Skills!H10,1)+IF(Skills!H10&gt;0,MIN(Skills!I10,MAX(0,MAX(0,Inputs!$B$43-B1460)-((R1433-1)*IF(Inputs!$B$38="pvp",15,MAX(0.1,Skills!D10-IF(Skills!E10=TRUE,3.5,0))))))/Skills!H10,1)))/Inputs!$B$43),G1433*Q1433))*IF(Inputs!$B$38="pvp",1,1+(Inputs!$B$20+0+Skills!P10)/100),0)</f>
        <v/>
      </c>
      <c r="V1433">
        <f>IF(C1433,(H1433*N1433*IF(AND(Inputs!$B$38&lt;&gt;"pvp",Inputs!$B$43&gt;0),((Skills!G10*((R1433-1)*IF(Skills!H10&gt;0,Skills!I10/Skills!H10,1)+IF(Skills!H10&gt;0,MIN(Skills!I10,MAX(0,MAX(0,Inputs!$B$43-B1460)-((R1433-1)*IF(Inputs!$B$38="pvp",15,MAX(0.1,Skills!D10-IF(Skills!E10=TRUE,3.5,0))))))/Skills!H10,1)))/Inputs!$B$43),G1433*Q1433))*IF(Inputs!$B$38="pvp",1,(1+(Inputs!$B$21+Skills!Q10)/100)*(MIN(Skills!R10,Inputs!$B$37))),0)</f>
        <v/>
      </c>
    </row>
    <row r="1434">
      <c r="A1434">
        <f>Skills!A11</f>
        <v/>
      </c>
      <c r="B1434">
        <f>Skills!B11</f>
        <v/>
      </c>
      <c r="C1434">
        <f>Inputs!$B$3&gt;=107</f>
        <v/>
      </c>
      <c r="D1434">
        <f>IF(Skills!C11=1,60+Inputs!$B$25+Inputs!$B$29,IF(Skills!C11=2,90+Inputs!$B$26+Inputs!$B$29,IF(Skills!C11=3,120+Inputs!$B$27+Inputs!$B$29,MAX(0,(Inputs!$B$3-100)*3)+Inputs!$B$28+Inputs!$B$29)))</f>
        <v/>
      </c>
      <c r="E1434">
        <f>INDEX(FactorTable!$B$2:$Y$301, MATCH(ROUND(MIN(300,MAX(1,D1434)),0), FactorTable!$A$2:$A$301,0), Skills!M11+1)</f>
        <v/>
      </c>
      <c r="F1434">
        <f>IF(Skills!N11=TRUE,(Skills!L11/10)*(E1434/1000),Skills!L11/10)+Skills!O11</f>
        <v/>
      </c>
      <c r="G1434">
        <f>Skills!G11*IF(Skills!H11&gt;0,Skills!I11/Skills!H11,1)</f>
        <v/>
      </c>
      <c r="H1434">
        <f>1-(1-Skills!J11/100)^Skills!K11</f>
        <v/>
      </c>
      <c r="I1434" t="inlineStr">
        <is>
          <t>1</t>
        </is>
      </c>
      <c r="J1434">
        <f>((Inputs!$B$6*(1+Inputs!$B$7/100))+(((Inputs!$B$12*(1+Inputs!$B$13/100))-(Inputs!$B$12*(1+Inputs!$B$13/100)))+0.25*(Inputs!$B$14-Inputs!$B$14))*(1+Inputs!$B$7/100))*(F1434/100)</f>
        <v/>
      </c>
      <c r="K1434">
        <f>J1434*(1+((Inputs!$B$12*(1+Inputs!$B$13/100))*0.01+Inputs!$B$14*0.0025)/100)*(1+Inputs!$B$15/100)*(1+Inputs!$B$16/100)*(5000/(6000+Inputs!$B$42*(1-(Inputs!$B$19+0)/100)))*(1+(Inputs!$B$24+((C1449=TRUE)*(F1449-Calc!F26))+B1459)/100)*(1+(IF(Skills!A11="EIGHT_LEGS_EASTON",Inputs!$B$17+((C1446=TRUE)*(F1446-Calc!F23))+((C1450=TRUE)*(F1450-Calc!F27)),Inputs!$B$18+0))/100)*((1+(((C1440=TRUE)*F1440)+((C1447=TRUE)*(F1447-Calc!F24)))/100)*I1434)</f>
        <v/>
      </c>
      <c r="L1434">
        <f>K1434*(MIN(Inputs!$B$22+((C1445=TRUE)*(F1445-Calc!F22)),Inputs!$B$23+0)/100+(Inputs!$B$23+0)/100)/2</f>
        <v/>
      </c>
      <c r="M1434">
        <f>L1434*(1+(Inputs!$B$10+((C1448=TRUE)*(F1448-Calc!F25))+B1458)/100)</f>
        <v/>
      </c>
      <c r="N1434">
        <f>L1434*(1-MIN((Inputs!$B$9+((C1442=TRUE)*(F1442-Calc!F19))+B1453),100)/100)+M1434*(MIN((Inputs!$B$9+((C1442=TRUE)*(F1442-Calc!F19))+B1453),100)/100)</f>
        <v/>
      </c>
      <c r="O1434">
        <f>(1-Summary!$B$55)*T1434+Summary!$B$55*V1434</f>
        <v/>
      </c>
      <c r="P1434">
        <f>IF(B1463=0,0,O1434/B1463)</f>
        <v/>
      </c>
      <c r="Q1434">
        <f>IFERROR(1/IF(Inputs!$B$38="pvp",15,MAX(0.1,Skills!D11-IF(Skills!E11=TRUE,3.5,0))),0)</f>
        <v/>
      </c>
      <c r="R1434">
        <f>IF(AND(Inputs!$B$38&lt;&gt;"pvp",Inputs!$B$43&gt;0),IF(MAX(0,Inputs!$B$43-B1460)&lt;=0,0,(INT(MAX(0,Inputs!$B$43-B1460)/IF(Inputs!$B$38="pvp",15,MAX(0.1,Skills!D11-IF(Skills!E11=TRUE,3.5,0))))+1)),0)</f>
        <v/>
      </c>
      <c r="S1434">
        <f>IFERROR(O1434/N1434,0)</f>
        <v/>
      </c>
      <c r="T1434">
        <f>IF(C1434,(H1434*N1434*IF(AND(Inputs!$B$38&lt;&gt;"pvp",Inputs!$B$43&gt;0),((Skills!G11*((R1434-1)*IF(Skills!H11&gt;0,Skills!I11/Skills!H11,1)+IF(Skills!H11&gt;0,MIN(Skills!I11,MAX(0,MAX(0,Inputs!$B$43-B1460)-((R1434-1)*IF(Inputs!$B$38="pvp",15,MAX(0.1,Skills!D11-IF(Skills!E11=TRUE,3.5,0))))))/Skills!H11,1)))/Inputs!$B$43),G1434*Q1434))*IF(Inputs!$B$38="pvp",1,1+(Inputs!$B$20+0+Skills!P11)/100),0)</f>
        <v/>
      </c>
      <c r="V1434">
        <f>IF(C1434,(H1434*N1434*IF(AND(Inputs!$B$38&lt;&gt;"pvp",Inputs!$B$43&gt;0),((Skills!G11*((R1434-1)*IF(Skills!H11&gt;0,Skills!I11/Skills!H11,1)+IF(Skills!H11&gt;0,MIN(Skills!I11,MAX(0,MAX(0,Inputs!$B$43-B1460)-((R1434-1)*IF(Inputs!$B$38="pvp",15,MAX(0.1,Skills!D11-IF(Skills!E11=TRUE,3.5,0))))))/Skills!H11,1)))/Inputs!$B$43),G1434*Q1434))*IF(Inputs!$B$38="pvp",1,(1+(Inputs!$B$21+Skills!Q11)/100)*(MIN(Skills!R11,Inputs!$B$37))),0)</f>
        <v/>
      </c>
    </row>
    <row r="1435">
      <c r="A1435">
        <f>Skills!A12</f>
        <v/>
      </c>
      <c r="B1435">
        <f>Skills!B12</f>
        <v/>
      </c>
      <c r="C1435">
        <f>Inputs!$B$3&gt;=110</f>
        <v/>
      </c>
      <c r="D1435">
        <f>IF(Skills!C12=1,60+Inputs!$B$25+Inputs!$B$29,IF(Skills!C12=2,90+Inputs!$B$26+Inputs!$B$29,IF(Skills!C12=3,120+Inputs!$B$27+Inputs!$B$29,MAX(0,(Inputs!$B$3-100)*3)+Inputs!$B$28+Inputs!$B$29)))</f>
        <v/>
      </c>
      <c r="E1435">
        <f>INDEX(FactorTable!$B$2:$Y$301, MATCH(ROUND(MIN(300,MAX(1,D1435)),0), FactorTable!$A$2:$A$301,0), Skills!M12+1)</f>
        <v/>
      </c>
      <c r="F1435">
        <f>IF(Skills!N12=TRUE,(Skills!L12/10)*(E1435/1000),Skills!L12/10)+Skills!O12</f>
        <v/>
      </c>
      <c r="G1435">
        <f>Skills!G12*IF(Skills!H12&gt;0,Skills!I12/Skills!H12,1)</f>
        <v/>
      </c>
      <c r="H1435">
        <f>1-(1-Skills!J12/100)^Skills!K12</f>
        <v/>
      </c>
      <c r="I1435" t="inlineStr">
        <is>
          <t>1</t>
        </is>
      </c>
      <c r="J1435">
        <f>((Inputs!$B$6*(1+Inputs!$B$7/100))+(((Inputs!$B$12*(1+Inputs!$B$13/100))-(Inputs!$B$12*(1+Inputs!$B$13/100)))+0.25*(Inputs!$B$14-Inputs!$B$14))*(1+Inputs!$B$7/100))*(F1435/100)</f>
        <v/>
      </c>
      <c r="K1435">
        <f>J1435*(1+((Inputs!$B$12*(1+Inputs!$B$13/100))*0.01+Inputs!$B$14*0.0025)/100)*(1+Inputs!$B$15/100)*(1+Inputs!$B$16/100)*(5000/(6000+Inputs!$B$42*(1-(Inputs!$B$19+0)/100)))*(1+(Inputs!$B$24+((C1449=TRUE)*(F1449-Calc!F26))+B1459)/100)*(1+(IF(Skills!A12="EIGHT_LEGS_EASTON",Inputs!$B$17+((C1446=TRUE)*(F1446-Calc!F23))+((C1450=TRUE)*(F1450-Calc!F27)),Inputs!$B$18+0))/100)*((1+(((C1440=TRUE)*F1440)+((C1447=TRUE)*(F1447-Calc!F24)))/100)*I1435)</f>
        <v/>
      </c>
      <c r="L1435">
        <f>K1435*(MIN(Inputs!$B$22+((C1445=TRUE)*(F1445-Calc!F22)),Inputs!$B$23+0)/100+(Inputs!$B$23+0)/100)/2</f>
        <v/>
      </c>
      <c r="M1435">
        <f>L1435*(1+(Inputs!$B$10+((C1448=TRUE)*(F1448-Calc!F25))+B1458)/100)</f>
        <v/>
      </c>
      <c r="N1435">
        <f>L1435*(1-MIN((Inputs!$B$9+((C1442=TRUE)*(F1442-Calc!F19))+B1453),100)/100)+M1435*(MIN((Inputs!$B$9+((C1442=TRUE)*(F1442-Calc!F19))+B1453),100)/100)</f>
        <v/>
      </c>
      <c r="O1435">
        <f>(1-Summary!$B$55)*T1435+Summary!$B$55*V1435</f>
        <v/>
      </c>
      <c r="P1435">
        <f>IF(B1463=0,0,O1435/B1463)</f>
        <v/>
      </c>
      <c r="Q1435">
        <f>IFERROR(1/IF(Inputs!$B$38="pvp",15,MAX(0.1,Skills!D12-IF(Skills!E12=TRUE,3.5,0))),0)</f>
        <v/>
      </c>
      <c r="R1435">
        <f>IF(AND(Inputs!$B$38&lt;&gt;"pvp",Inputs!$B$43&gt;0),IF(MAX(0,Inputs!$B$43-B1460)&lt;=0,0,(INT(MAX(0,Inputs!$B$43-B1460)/IF(Inputs!$B$38="pvp",15,MAX(0.1,Skills!D12-IF(Skills!E12=TRUE,3.5,0))))+1)),0)</f>
        <v/>
      </c>
      <c r="S1435">
        <f>IFERROR(O1435/N1435,0)</f>
        <v/>
      </c>
      <c r="T1435">
        <f>IF(C1435,(H1435*N1435*IF(AND(Inputs!$B$38&lt;&gt;"pvp",Inputs!$B$43&gt;0),((Skills!G12*((R1435-1)*IF(Skills!H12&gt;0,Skills!I12/Skills!H12,1)+IF(Skills!H12&gt;0,MIN(Skills!I12,MAX(0,MAX(0,Inputs!$B$43-B1460)-((R1435-1)*IF(Inputs!$B$38="pvp",15,MAX(0.1,Skills!D12-IF(Skills!E12=TRUE,3.5,0))))))/Skills!H12,1)))/Inputs!$B$43),G1435*Q1435))*IF(Inputs!$B$38="pvp",1,1+(Inputs!$B$20+0+Skills!P12)/100),0)</f>
        <v/>
      </c>
      <c r="V1435">
        <f>IF(C1435,(H1435*N1435*IF(AND(Inputs!$B$38&lt;&gt;"pvp",Inputs!$B$43&gt;0),((Skills!G12*((R1435-1)*IF(Skills!H12&gt;0,Skills!I12/Skills!H12,1)+IF(Skills!H12&gt;0,MIN(Skills!I12,MAX(0,MAX(0,Inputs!$B$43-B1460)-((R1435-1)*IF(Inputs!$B$38="pvp",15,MAX(0.1,Skills!D12-IF(Skills!E12=TRUE,3.5,0))))))/Skills!H12,1)))/Inputs!$B$43),G1435*Q1435))*IF(Inputs!$B$38="pvp",1,(1+(Inputs!$B$21+Skills!Q12)/100)*(MIN(Skills!R12,Inputs!$B$37))),0)</f>
        <v/>
      </c>
    </row>
    <row r="1436">
      <c r="A1436">
        <f>Skills!A13</f>
        <v/>
      </c>
      <c r="B1436">
        <f>Skills!B13</f>
        <v/>
      </c>
      <c r="C1436">
        <f>Inputs!$B$3&gt;=110</f>
        <v/>
      </c>
      <c r="D1436">
        <f>IF(Skills!C13=1,60+Inputs!$B$25+Inputs!$B$29,IF(Skills!C13=2,90+Inputs!$B$26+Inputs!$B$29,IF(Skills!C13=3,120+Inputs!$B$27+Inputs!$B$29,MAX(0,(Inputs!$B$3-100)*3)+Inputs!$B$28+Inputs!$B$29)))</f>
        <v/>
      </c>
      <c r="E1436">
        <f>INDEX(FactorTable!$B$2:$Y$301, MATCH(ROUND(MIN(300,MAX(1,D1436)),0), FactorTable!$A$2:$A$301,0), Skills!M13+1)</f>
        <v/>
      </c>
      <c r="F1436">
        <f>IF(Skills!N13=TRUE,(Skills!L13/10)*(E1436/1000),Skills!L13/10)+Skills!O13</f>
        <v/>
      </c>
      <c r="G1436">
        <f>Skills!G13*IF(Skills!H13&gt;0,Skills!I13/Skills!H13,1)</f>
        <v/>
      </c>
      <c r="H1436">
        <f>1-(1-Skills!J13/100)^Skills!K13</f>
        <v/>
      </c>
      <c r="I1436" t="inlineStr">
        <is>
          <t>1</t>
        </is>
      </c>
      <c r="J1436">
        <f>((Inputs!$B$6*(1+Inputs!$B$7/100))+(((Inputs!$B$12*(1+Inputs!$B$13/100))-(Inputs!$B$12*(1+Inputs!$B$13/100)))+0.25*(Inputs!$B$14-Inputs!$B$14))*(1+Inputs!$B$7/100))*(F1436/100)</f>
        <v/>
      </c>
      <c r="K1436">
        <f>J1436*(1+((Inputs!$B$12*(1+Inputs!$B$13/100))*0.01+Inputs!$B$14*0.0025)/100)*(1+Inputs!$B$15/100)*(1+Inputs!$B$16/100)*(5000/(6000+Inputs!$B$42*(1-(Inputs!$B$19+0)/100)))*(1+(Inputs!$B$24+((C1449=TRUE)*(F1449-Calc!F26))+B1459)/100)*(1+(IF(Skills!A13="EIGHT_LEGS_EASTON",Inputs!$B$17+((C1446=TRUE)*(F1446-Calc!F23))+((C1450=TRUE)*(F1450-Calc!F27)),Inputs!$B$18+0))/100)*((1+(((C1440=TRUE)*F1440)+((C1447=TRUE)*(F1447-Calc!F24)))/100)*I1436)</f>
        <v/>
      </c>
      <c r="L1436">
        <f>K1436*(MIN(Inputs!$B$22+((C1445=TRUE)*(F1445-Calc!F22)),Inputs!$B$23+0)/100+(Inputs!$B$23+0)/100)/2</f>
        <v/>
      </c>
      <c r="M1436">
        <f>L1436*(1+(Inputs!$B$10+((C1448=TRUE)*(F1448-Calc!F25))+B1458)/100)</f>
        <v/>
      </c>
      <c r="N1436">
        <f>L1436*(1-MIN((Inputs!$B$9+((C1442=TRUE)*(F1442-Calc!F19))+B1453),100)/100)+M1436*(MIN((Inputs!$B$9+((C1442=TRUE)*(F1442-Calc!F19))+B1453),100)/100)</f>
        <v/>
      </c>
      <c r="O1436">
        <f>(1-Summary!$B$55)*T1436+Summary!$B$55*V1436</f>
        <v/>
      </c>
      <c r="P1436">
        <f>IF(B1463=0,0,O1436/B1463)</f>
        <v/>
      </c>
      <c r="Q1436">
        <f>IFERROR(1/IF(Inputs!$B$38="pvp",15,MAX(0.1,Skills!D13-IF(Skills!E13=TRUE,3.5,0))),0)</f>
        <v/>
      </c>
      <c r="R1436">
        <f>IF(AND(Inputs!$B$38&lt;&gt;"pvp",Inputs!$B$43&gt;0),IF(MAX(0,Inputs!$B$43-B1460)&lt;=0,0,(INT(MAX(0,Inputs!$B$43-B1460)/IF(Inputs!$B$38="pvp",15,MAX(0.1,Skills!D13-IF(Skills!E13=TRUE,3.5,0))))+1)),0)</f>
        <v/>
      </c>
      <c r="S1436">
        <f>IFERROR(O1436/N1436,0)</f>
        <v/>
      </c>
      <c r="T1436">
        <f>IF(C1436,(H1436*N1436*IF(AND(Inputs!$B$38&lt;&gt;"pvp",Inputs!$B$43&gt;0),((Skills!G13*((R1436-1)*IF(Skills!H13&gt;0,Skills!I13/Skills!H13,1)+IF(Skills!H13&gt;0,MIN(Skills!I13,MAX(0,MAX(0,Inputs!$B$43-B1460)-((R1436-1)*IF(Inputs!$B$38="pvp",15,MAX(0.1,Skills!D13-IF(Skills!E13=TRUE,3.5,0))))))/Skills!H13,1)))/Inputs!$B$43),G1436*Q1436))*IF(Inputs!$B$38="pvp",1,1+(Inputs!$B$20+0+Skills!P13)/100),0)</f>
        <v/>
      </c>
      <c r="V1436">
        <f>IF(C1436,(H1436*N1436*IF(AND(Inputs!$B$38&lt;&gt;"pvp",Inputs!$B$43&gt;0),((Skills!G13*((R1436-1)*IF(Skills!H13&gt;0,Skills!I13/Skills!H13,1)+IF(Skills!H13&gt;0,MIN(Skills!I13,MAX(0,MAX(0,Inputs!$B$43-B1460)-((R1436-1)*IF(Inputs!$B$38="pvp",15,MAX(0.1,Skills!D13-IF(Skills!E13=TRUE,3.5,0))))))/Skills!H13,1)))/Inputs!$B$43),G1436*Q1436))*IF(Inputs!$B$38="pvp",1,(1+(Inputs!$B$21+Skills!Q13)/100)*(MIN(Skills!R13,Inputs!$B$37))),0)</f>
        <v/>
      </c>
    </row>
    <row r="1437">
      <c r="A1437">
        <f>Skills!A14</f>
        <v/>
      </c>
      <c r="B1437">
        <f>Skills!B14</f>
        <v/>
      </c>
      <c r="C1437">
        <f>Inputs!$B$3&gt;=125</f>
        <v/>
      </c>
      <c r="D1437">
        <f>IF(Skills!C14=1,60+Inputs!$B$25+Inputs!$B$29,IF(Skills!C14=2,90+Inputs!$B$26+Inputs!$B$29,IF(Skills!C14=3,120+Inputs!$B$27+Inputs!$B$29,MAX(0,(Inputs!$B$3-100)*3)+Inputs!$B$28+Inputs!$B$29)))</f>
        <v/>
      </c>
      <c r="E1437">
        <f>INDEX(FactorTable!$B$2:$Y$301, MATCH(ROUND(MIN(300,MAX(1,D1437)),0), FactorTable!$A$2:$A$301,0), Skills!M14+1)</f>
        <v/>
      </c>
      <c r="F1437">
        <f>IF(Skills!N14=TRUE,(Skills!L14/10)*(E1437/1000),Skills!L14/10)+Skills!O14</f>
        <v/>
      </c>
      <c r="G1437">
        <f>Skills!G14*IF(Skills!H14&gt;0,Skills!I14/Skills!H14,1)</f>
        <v/>
      </c>
      <c r="H1437">
        <f>1-(1-Skills!J14/100)^Skills!K14</f>
        <v/>
      </c>
      <c r="I1437" t="inlineStr">
        <is>
          <t>1</t>
        </is>
      </c>
      <c r="J1437">
        <f>((Inputs!$B$6*(1+Inputs!$B$7/100))+(((Inputs!$B$12*(1+Inputs!$B$13/100))-(Inputs!$B$12*(1+Inputs!$B$13/100)))+0.25*(Inputs!$B$14-Inputs!$B$14))*(1+Inputs!$B$7/100))*(F1437/100)</f>
        <v/>
      </c>
      <c r="K1437">
        <f>J1437*(1+((Inputs!$B$12*(1+Inputs!$B$13/100))*0.01+Inputs!$B$14*0.0025)/100)*(1+Inputs!$B$15/100)*(1+Inputs!$B$16/100)*(5000/(6000+Inputs!$B$42*(1-(Inputs!$B$19+0)/100)))*(1+(Inputs!$B$24+((C1449=TRUE)*(F1449-Calc!F26))+B1459)/100)*(1+(IF(Skills!A14="EIGHT_LEGS_EASTON",Inputs!$B$17+((C1446=TRUE)*(F1446-Calc!F23))+((C1450=TRUE)*(F1450-Calc!F27)),Inputs!$B$18+0))/100)*((1+(((C1440=TRUE)*F1440)+((C1447=TRUE)*(F1447-Calc!F24)))/100)*I1437)</f>
        <v/>
      </c>
      <c r="L1437">
        <f>K1437*(MIN(Inputs!$B$22+((C1445=TRUE)*(F1445-Calc!F22)),Inputs!$B$23+0)/100+(Inputs!$B$23+0)/100)/2</f>
        <v/>
      </c>
      <c r="M1437">
        <f>L1437*(1+(Inputs!$B$10+((C1448=TRUE)*(F1448-Calc!F25))+B1458)/100)</f>
        <v/>
      </c>
      <c r="N1437">
        <f>L1437*(1-MIN((Inputs!$B$9+((C1442=TRUE)*(F1442-Calc!F19))+B1453),100)/100)+M1437*(MIN((Inputs!$B$9+((C1442=TRUE)*(F1442-Calc!F19))+B1453),100)/100)</f>
        <v/>
      </c>
      <c r="O1437">
        <f>(1-Summary!$B$55)*T1437+Summary!$B$55*V1437</f>
        <v/>
      </c>
      <c r="P1437">
        <f>IF(B1463=0,0,O1437/B1463)</f>
        <v/>
      </c>
      <c r="Q1437" t="n">
        <v>0</v>
      </c>
      <c r="R1437" t="n">
        <v>0</v>
      </c>
      <c r="S1437">
        <f>IFERROR(O1437/N1437,0)</f>
        <v/>
      </c>
      <c r="T1437">
        <f>IF(C1437,(H1437*N1437*(B1457+IF(AND(Inputs!$B$38&lt;&gt;"pvp",Inputs!$B$43&gt;0),((Skills!G8*((R1431-1)*IF(Skills!H8&gt;0,Skills!I8/Skills!H8,1)+IF(Skills!H8&gt;0,MIN(Skills!I8,MAX(0,MAX(0,Inputs!$B$43-B1460)-((R1431-1)*IF(Inputs!$B$38="pvp",15,MAX(0.1,Skills!D8-IF(Skills!E8=TRUE,3.5,0))))))/Skills!H8,1)))/Inputs!$B$43),G1431*Q1431)+IF(AND(Inputs!$B$38&lt;&gt;"pvp",Inputs!$B$43&gt;0),((Skills!G11*((R1434-1)*IF(Skills!H11&gt;0,Skills!I11/Skills!H11,1)+IF(Skills!H11&gt;0,MIN(Skills!I11,MAX(0,MAX(0,Inputs!$B$43-B1460)-((R1434-1)*IF(Inputs!$B$38="pvp",15,MAX(0.1,Skills!D11-IF(Skills!E11=TRUE,3.5,0))))))/Skills!H11,1)))/Inputs!$B$43),G1434*Q1434)))*IF(Inputs!$B$38="pvp",1,1+(Inputs!$B$20+0+Skills!P14)/100),0)</f>
        <v/>
      </c>
      <c r="V1437">
        <f>IF(C1437,(H1437*N1437*(B1457+IF(AND(Inputs!$B$38&lt;&gt;"pvp",Inputs!$B$43&gt;0),((Skills!G8*((R1431-1)*IF(Skills!H8&gt;0,Skills!I8/Skills!H8,1)+IF(Skills!H8&gt;0,MIN(Skills!I8,MAX(0,MAX(0,Inputs!$B$43-B1460)-((R1431-1)*IF(Inputs!$B$38="pvp",15,MAX(0.1,Skills!D8-IF(Skills!E8=TRUE,3.5,0))))))/Skills!H8,1)))/Inputs!$B$43),G1431*Q1431)+IF(AND(Inputs!$B$38&lt;&gt;"pvp",Inputs!$B$43&gt;0),((Skills!G11*((R1434-1)*IF(Skills!H11&gt;0,Skills!I11/Skills!H11,1)+IF(Skills!H11&gt;0,MIN(Skills!I11,MAX(0,MAX(0,Inputs!$B$43-B1460)-((R1434-1)*IF(Inputs!$B$38="pvp",15,MAX(0.1,Skills!D11-IF(Skills!E11=TRUE,3.5,0))))))/Skills!H11,1)))/Inputs!$B$43),G1434*Q1434)))*IF(Inputs!$B$38="pvp",1,(1+(Inputs!$B$21+Skills!Q14)/100)*(MIN(Skills!R14,Inputs!$B$37))),0)</f>
        <v/>
      </c>
    </row>
    <row r="1438">
      <c r="A1438">
        <f>Skills!A15</f>
        <v/>
      </c>
      <c r="B1438">
        <f>Skills!B15</f>
        <v/>
      </c>
      <c r="C1438">
        <f>Inputs!$B$3&gt;=100</f>
        <v/>
      </c>
      <c r="D1438">
        <f>IF(Skills!C15=1,60+Inputs!$B$25+Inputs!$B$29,IF(Skills!C15=2,90+Inputs!$B$26+Inputs!$B$29,IF(Skills!C15=3,120+Inputs!$B$27+Inputs!$B$29,MAX(0,(Inputs!$B$3-100)*3)+Inputs!$B$28+Inputs!$B$29)))</f>
        <v/>
      </c>
      <c r="E1438">
        <f>INDEX(FactorTable!$B$2:$Y$301, MATCH(ROUND(MIN(300,MAX(1,D1438)),0), FactorTable!$A$2:$A$301,0), Skills!M15+1)</f>
        <v/>
      </c>
      <c r="F1438">
        <f>IF(Skills!N15=TRUE,(Skills!L15/10)*(E1438/1000),Skills!L15/10)+Skills!O15</f>
        <v/>
      </c>
      <c r="G1438" t="inlineStr"/>
      <c r="H1438" t="inlineStr"/>
      <c r="I1438" t="inlineStr">
        <is>
          <t>1</t>
        </is>
      </c>
      <c r="J1438" t="inlineStr"/>
      <c r="K1438" t="inlineStr"/>
      <c r="L1438" t="inlineStr"/>
      <c r="M1438" t="inlineStr"/>
      <c r="N1438" t="inlineStr"/>
      <c r="O1438" t="inlineStr"/>
      <c r="P1438" t="inlineStr"/>
      <c r="Q1438" t="inlineStr"/>
      <c r="R1438" t="inlineStr"/>
      <c r="S1438" t="inlineStr"/>
    </row>
    <row r="1439">
      <c r="A1439">
        <f>Skills!A16</f>
        <v/>
      </c>
      <c r="B1439">
        <f>Skills!B16</f>
        <v/>
      </c>
      <c r="C1439">
        <f>Inputs!$B$3&gt;=120</f>
        <v/>
      </c>
      <c r="D1439">
        <f>IF(Skills!C16=1,60+Inputs!$B$25+Inputs!$B$29,IF(Skills!C16=2,90+Inputs!$B$26+Inputs!$B$29,IF(Skills!C16=3,120+Inputs!$B$27+Inputs!$B$29,MAX(0,(Inputs!$B$3-100)*3)+Inputs!$B$28+Inputs!$B$29)))</f>
        <v/>
      </c>
      <c r="E1439">
        <f>INDEX(FactorTable!$B$2:$Y$301, MATCH(ROUND(MIN(300,MAX(1,D1439)),0), FactorTable!$A$2:$A$301,0), Skills!M16+1)</f>
        <v/>
      </c>
      <c r="F1439">
        <f>IF(Skills!N16=TRUE,(Skills!L16/10)*(E1439/1000),Skills!L16/10)+Skills!O16</f>
        <v/>
      </c>
      <c r="G1439" t="inlineStr"/>
      <c r="H1439" t="inlineStr"/>
      <c r="I1439" t="inlineStr">
        <is>
          <t>1</t>
        </is>
      </c>
      <c r="J1439" t="inlineStr"/>
      <c r="K1439" t="inlineStr"/>
      <c r="L1439" t="inlineStr"/>
      <c r="M1439" t="inlineStr"/>
      <c r="N1439" t="inlineStr"/>
      <c r="O1439" t="inlineStr"/>
      <c r="P1439" t="inlineStr"/>
      <c r="Q1439" t="inlineStr"/>
      <c r="R1439" t="inlineStr"/>
      <c r="S1439" t="inlineStr"/>
    </row>
    <row r="1440">
      <c r="A1440">
        <f>Skills!A17</f>
        <v/>
      </c>
      <c r="B1440">
        <f>Skills!B17</f>
        <v/>
      </c>
      <c r="C1440">
        <f>Inputs!$B$3&gt;=66</f>
        <v/>
      </c>
      <c r="D1440">
        <f>IF(Skills!C17=1,60+Inputs!$B$25+Inputs!$B$29,IF(Skills!C17=2,90+Inputs!$B$26+Inputs!$B$29,IF(Skills!C17=3,120+Inputs!$B$27+Inputs!$B$29,MAX(0,(Inputs!$B$3-100)*3)+Inputs!$B$28+Inputs!$B$29)))</f>
        <v/>
      </c>
      <c r="E1440">
        <f>INDEX(FactorTable!$B$2:$Y$301, MATCH(ROUND(MIN(300,MAX(1,D1440)),0), FactorTable!$A$2:$A$301,0), Skills!M17+1)</f>
        <v/>
      </c>
      <c r="F1440">
        <f>IF(Skills!N17=TRUE,(Skills!L17/10)*(E1440/1000),Skills!L17/10)+Skills!O17</f>
        <v/>
      </c>
      <c r="G1440">
        <f>Skills!G17*IF(Skills!H17&gt;0,Skills!I17/Skills!H17,1)</f>
        <v/>
      </c>
      <c r="H1440">
        <f>1-(1-Skills!J17/100)^Skills!K17</f>
        <v/>
      </c>
      <c r="I1440" t="inlineStr">
        <is>
          <t>1</t>
        </is>
      </c>
      <c r="J1440" t="inlineStr"/>
      <c r="K1440" t="inlineStr"/>
      <c r="L1440" t="inlineStr"/>
      <c r="M1440" t="inlineStr"/>
      <c r="N1440" t="inlineStr"/>
      <c r="O1440">
        <f>(1-Summary!$B$55)*T1440+Summary!$B$55*V1440</f>
        <v/>
      </c>
      <c r="P1440">
        <f>IF(B1463=0,0,O1440/B1463)</f>
        <v/>
      </c>
      <c r="Q1440" t="n">
        <v>0</v>
      </c>
      <c r="R1440" t="n">
        <v>0</v>
      </c>
      <c r="S1440">
        <f>IFERROR(O1440/N1440,0)</f>
        <v/>
      </c>
      <c r="T1440" t="n">
        <v>0</v>
      </c>
      <c r="V1440" t="n">
        <v>0</v>
      </c>
    </row>
    <row r="1441">
      <c r="A1441">
        <f>Skills!A18</f>
        <v/>
      </c>
      <c r="B1441">
        <f>Skills!B18</f>
        <v/>
      </c>
      <c r="C1441">
        <f>Inputs!$B$3&gt;=115</f>
        <v/>
      </c>
      <c r="D1441">
        <f>IF(Skills!C18=1,60+Inputs!$B$25+Inputs!$B$29,IF(Skills!C18=2,90+Inputs!$B$26+Inputs!$B$29,IF(Skills!C18=3,120+Inputs!$B$27+Inputs!$B$29,MAX(0,(Inputs!$B$3-100)*3)+Inputs!$B$28+Inputs!$B$29)))</f>
        <v/>
      </c>
      <c r="E1441">
        <f>INDEX(FactorTable!$B$2:$Y$301, MATCH(ROUND(MIN(300,MAX(1,D1441)),0), FactorTable!$A$2:$A$301,0), Skills!M18+1)</f>
        <v/>
      </c>
      <c r="F1441">
        <f>IF(Skills!N18=TRUE,(Skills!L18/10)*(E1441/1000),Skills!L18/10)+Skills!O18</f>
        <v/>
      </c>
      <c r="G1441">
        <f>Skills!G18*IF(Skills!H18&gt;0,Skills!I18/Skills!H18,1)</f>
        <v/>
      </c>
      <c r="H1441">
        <f>1-(1-Skills!J18/100)^Skills!K18</f>
        <v/>
      </c>
      <c r="I1441" t="inlineStr">
        <is>
          <t>1</t>
        </is>
      </c>
      <c r="J1441" t="inlineStr"/>
      <c r="K1441" t="inlineStr"/>
      <c r="L1441" t="inlineStr"/>
      <c r="M1441" t="inlineStr"/>
      <c r="N1441" t="inlineStr"/>
      <c r="O1441">
        <f>(1-Summary!$B$55)*T1441+Summary!$B$55*V1441</f>
        <v/>
      </c>
      <c r="P1441">
        <f>IF(B1463=0,0,O1441/B1463)</f>
        <v/>
      </c>
      <c r="Q1441" t="n">
        <v>0</v>
      </c>
      <c r="R1441" t="n">
        <v>0</v>
      </c>
      <c r="S1441">
        <f>IFERROR(O1441/N1441,0)</f>
        <v/>
      </c>
      <c r="T1441" t="n">
        <v>0</v>
      </c>
      <c r="V1441" t="n">
        <v>0</v>
      </c>
    </row>
    <row r="1442">
      <c r="A1442">
        <f>Skills!A19</f>
        <v/>
      </c>
      <c r="B1442">
        <f>Skills!B19</f>
        <v/>
      </c>
      <c r="C1442">
        <f>Inputs!$B$3&gt;=15</f>
        <v/>
      </c>
      <c r="D1442">
        <f>IF(Skills!C19=1,60+Inputs!$B$25+Inputs!$B$29,IF(Skills!C19=2,90+Inputs!$B$26+Inputs!$B$29,IF(Skills!C19=3,120+Inputs!$B$27+Inputs!$B$29,MAX(0,(Inputs!$B$3-100)*3)+Inputs!$B$28+Inputs!$B$29)))</f>
        <v/>
      </c>
      <c r="E1442">
        <f>INDEX(FactorTable!$B$2:$Y$301, MATCH(ROUND(MIN(300,MAX(1,D1442)),0), FactorTable!$A$2:$A$301,0), Skills!M19+1)</f>
        <v/>
      </c>
      <c r="F1442">
        <f>IF(Skills!N19=TRUE,(Skills!L19/10)*(E1442/1000),Skills!L19/10)+Skills!O19</f>
        <v/>
      </c>
      <c r="G1442">
        <f>Skills!G19*IF(Skills!H19&gt;0,Skills!I19/Skills!H19,1)</f>
        <v/>
      </c>
      <c r="H1442">
        <f>1-(1-Skills!J19/100)^Skills!K19</f>
        <v/>
      </c>
      <c r="I1442" t="inlineStr">
        <is>
          <t>1</t>
        </is>
      </c>
      <c r="J1442" t="inlineStr"/>
      <c r="K1442" t="inlineStr"/>
      <c r="L1442" t="inlineStr"/>
      <c r="M1442" t="inlineStr"/>
      <c r="N1442" t="inlineStr"/>
      <c r="O1442">
        <f>(1-Summary!$B$55)*T1442+Summary!$B$55*V1442</f>
        <v/>
      </c>
      <c r="P1442">
        <f>IF(B1463=0,0,O1442/B1463)</f>
        <v/>
      </c>
      <c r="Q1442" t="n">
        <v>0</v>
      </c>
      <c r="R1442" t="n">
        <v>0</v>
      </c>
      <c r="S1442">
        <f>IFERROR(O1442/N1442,0)</f>
        <v/>
      </c>
      <c r="T1442" t="n">
        <v>0</v>
      </c>
      <c r="V1442" t="n">
        <v>0</v>
      </c>
    </row>
    <row r="1443">
      <c r="A1443">
        <f>Skills!A20</f>
        <v/>
      </c>
      <c r="B1443">
        <f>Skills!B20</f>
        <v/>
      </c>
      <c r="C1443">
        <f>Inputs!$B$3&gt;=10</f>
        <v/>
      </c>
      <c r="D1443">
        <f>IF(Skills!C20=1,60+Inputs!$B$25+Inputs!$B$29,IF(Skills!C20=2,90+Inputs!$B$26+Inputs!$B$29,IF(Skills!C20=3,120+Inputs!$B$27+Inputs!$B$29,MAX(0,(Inputs!$B$3-100)*3)+Inputs!$B$28+Inputs!$B$29)))</f>
        <v/>
      </c>
      <c r="E1443">
        <f>INDEX(FactorTable!$B$2:$Y$301, MATCH(ROUND(MIN(300,MAX(1,D1443)),0), FactorTable!$A$2:$A$301,0), Skills!M20+1)</f>
        <v/>
      </c>
      <c r="F1443">
        <f>IF(Skills!N20=TRUE,(Skills!L20/10)*(E1443/1000),Skills!L20/10)+Skills!O20</f>
        <v/>
      </c>
      <c r="G1443">
        <f>Skills!G20*IF(Skills!H20&gt;0,Skills!I20/Skills!H20,1)</f>
        <v/>
      </c>
      <c r="H1443">
        <f>1-(1-Skills!J20/100)^Skills!K20</f>
        <v/>
      </c>
      <c r="I1443" t="inlineStr">
        <is>
          <t>1</t>
        </is>
      </c>
      <c r="J1443" t="inlineStr"/>
      <c r="K1443" t="inlineStr"/>
      <c r="L1443" t="inlineStr"/>
      <c r="M1443" t="inlineStr"/>
      <c r="N1443" t="inlineStr"/>
      <c r="O1443">
        <f>(1-Summary!$B$55)*T1443+Summary!$B$55*V1443</f>
        <v/>
      </c>
      <c r="P1443">
        <f>IF(B1463=0,0,O1443/B1463)</f>
        <v/>
      </c>
      <c r="Q1443" t="n">
        <v>0</v>
      </c>
      <c r="R1443" t="n">
        <v>0</v>
      </c>
      <c r="S1443">
        <f>IFERROR(O1443/N1443,0)</f>
        <v/>
      </c>
      <c r="T1443" t="n">
        <v>0</v>
      </c>
      <c r="V1443" t="n">
        <v>0</v>
      </c>
    </row>
    <row r="1444">
      <c r="A1444">
        <f>Skills!A21</f>
        <v/>
      </c>
      <c r="B1444">
        <f>Skills!B21</f>
        <v/>
      </c>
      <c r="C1444">
        <f>Inputs!$B$3&gt;=33</f>
        <v/>
      </c>
      <c r="D1444">
        <f>IF(Skills!C21=1,60+Inputs!$B$25+Inputs!$B$29,IF(Skills!C21=2,90+Inputs!$B$26+Inputs!$B$29,IF(Skills!C21=3,120+Inputs!$B$27+Inputs!$B$29,MAX(0,(Inputs!$B$3-100)*3)+Inputs!$B$28+Inputs!$B$29)))</f>
        <v/>
      </c>
      <c r="E1444">
        <f>INDEX(FactorTable!$B$2:$Y$301, MATCH(ROUND(MIN(300,MAX(1,D1444)),0), FactorTable!$A$2:$A$301,0), Skills!M21+1)</f>
        <v/>
      </c>
      <c r="F1444">
        <f>IF(Skills!N21=TRUE,(Skills!L21/10)*(E1444/1000),Skills!L21/10)+Skills!O21</f>
        <v/>
      </c>
      <c r="G1444">
        <f>Skills!G21*IF(Skills!H21&gt;0,Skills!I21/Skills!H21,1)</f>
        <v/>
      </c>
      <c r="H1444">
        <f>1-(1-Skills!J21/100)^Skills!K21</f>
        <v/>
      </c>
      <c r="I1444" t="inlineStr">
        <is>
          <t>1</t>
        </is>
      </c>
      <c r="J1444" t="inlineStr"/>
      <c r="K1444" t="inlineStr"/>
      <c r="L1444" t="inlineStr"/>
      <c r="M1444" t="inlineStr"/>
      <c r="N1444" t="inlineStr"/>
      <c r="O1444">
        <f>(1-Summary!$B$55)*T1444+Summary!$B$55*V1444</f>
        <v/>
      </c>
      <c r="P1444">
        <f>IF(B1463=0,0,O1444/B1463)</f>
        <v/>
      </c>
      <c r="Q1444" t="n">
        <v>0</v>
      </c>
      <c r="R1444" t="n">
        <v>0</v>
      </c>
      <c r="S1444">
        <f>IFERROR(O1444/N1444,0)</f>
        <v/>
      </c>
      <c r="T1444" t="n">
        <v>0</v>
      </c>
      <c r="V1444" t="n">
        <v>0</v>
      </c>
    </row>
    <row r="1445">
      <c r="A1445">
        <f>Skills!A22</f>
        <v/>
      </c>
      <c r="B1445">
        <f>Skills!B22</f>
        <v/>
      </c>
      <c r="C1445">
        <f>Inputs!$B$3&gt;=43</f>
        <v/>
      </c>
      <c r="D1445">
        <f>IF(Skills!C22=1,60+Inputs!$B$25+Inputs!$B$29,IF(Skills!C22=2,90+Inputs!$B$26+Inputs!$B$29,IF(Skills!C22=3,120+Inputs!$B$27+Inputs!$B$29,MAX(0,(Inputs!$B$3-100)*3)+Inputs!$B$28+Inputs!$B$29)))</f>
        <v/>
      </c>
      <c r="E1445">
        <f>INDEX(FactorTable!$B$2:$Y$301, MATCH(ROUND(MIN(300,MAX(1,D1445)),0), FactorTable!$A$2:$A$301,0), Skills!M22+1)</f>
        <v/>
      </c>
      <c r="F1445">
        <f>IF(Skills!N22=TRUE,(Skills!L22/10)*(E1445/1000),Skills!L22/10)+Skills!O22</f>
        <v/>
      </c>
      <c r="G1445">
        <f>Skills!G22*IF(Skills!H22&gt;0,Skills!I22/Skills!H22,1)</f>
        <v/>
      </c>
      <c r="H1445">
        <f>1-(1-Skills!J22/100)^Skills!K22</f>
        <v/>
      </c>
      <c r="I1445" t="inlineStr">
        <is>
          <t>1</t>
        </is>
      </c>
      <c r="J1445" t="inlineStr"/>
      <c r="K1445" t="inlineStr"/>
      <c r="L1445" t="inlineStr"/>
      <c r="M1445" t="inlineStr"/>
      <c r="N1445" t="inlineStr"/>
      <c r="O1445">
        <f>(1-Summary!$B$55)*T1445+Summary!$B$55*V1445</f>
        <v/>
      </c>
      <c r="P1445">
        <f>IF(B1463=0,0,O1445/B1463)</f>
        <v/>
      </c>
      <c r="Q1445" t="n">
        <v>0</v>
      </c>
      <c r="R1445" t="n">
        <v>0</v>
      </c>
      <c r="S1445">
        <f>IFERROR(O1445/N1445,0)</f>
        <v/>
      </c>
      <c r="T1445" t="n">
        <v>0</v>
      </c>
      <c r="V1445" t="n">
        <v>0</v>
      </c>
    </row>
    <row r="1446">
      <c r="A1446">
        <f>Skills!A23</f>
        <v/>
      </c>
      <c r="B1446">
        <f>Skills!B23</f>
        <v/>
      </c>
      <c r="C1446">
        <f>Inputs!$B$3&gt;=38</f>
        <v/>
      </c>
      <c r="D1446">
        <f>IF(Skills!C23=1,60+Inputs!$B$25+Inputs!$B$29,IF(Skills!C23=2,90+Inputs!$B$26+Inputs!$B$29,IF(Skills!C23=3,120+Inputs!$B$27+Inputs!$B$29,MAX(0,(Inputs!$B$3-100)*3)+Inputs!$B$28+Inputs!$B$29)))</f>
        <v/>
      </c>
      <c r="E1446">
        <f>INDEX(FactorTable!$B$2:$Y$301, MATCH(ROUND(MIN(300,MAX(1,D1446)),0), FactorTable!$A$2:$A$301,0), Skills!M23+1)</f>
        <v/>
      </c>
      <c r="F1446">
        <f>IF(Skills!N23=TRUE,(Skills!L23/10)*(E1446/1000),Skills!L23/10)+Skills!O23</f>
        <v/>
      </c>
      <c r="G1446">
        <f>Skills!G23*IF(Skills!H23&gt;0,Skills!I23/Skills!H23,1)</f>
        <v/>
      </c>
      <c r="H1446">
        <f>1-(1-Skills!J23/100)^Skills!K23</f>
        <v/>
      </c>
      <c r="I1446" t="inlineStr">
        <is>
          <t>1</t>
        </is>
      </c>
      <c r="J1446" t="inlineStr"/>
      <c r="K1446" t="inlineStr"/>
      <c r="L1446" t="inlineStr"/>
      <c r="M1446" t="inlineStr"/>
      <c r="N1446" t="inlineStr"/>
      <c r="O1446">
        <f>(1-Summary!$B$55)*T1446+Summary!$B$55*V1446</f>
        <v/>
      </c>
      <c r="P1446">
        <f>IF(B1463=0,0,O1446/B1463)</f>
        <v/>
      </c>
      <c r="Q1446" t="n">
        <v>0</v>
      </c>
      <c r="R1446" t="n">
        <v>0</v>
      </c>
      <c r="S1446">
        <f>IFERROR(O1446/N1446,0)</f>
        <v/>
      </c>
      <c r="T1446" t="n">
        <v>0</v>
      </c>
      <c r="V1446" t="n">
        <v>0</v>
      </c>
    </row>
    <row r="1447">
      <c r="A1447">
        <f>Skills!A24</f>
        <v/>
      </c>
      <c r="B1447">
        <f>Skills!B24</f>
        <v/>
      </c>
      <c r="C1447">
        <f>Inputs!$B$3&gt;=40</f>
        <v/>
      </c>
      <c r="D1447">
        <f>IF(Skills!C24=1,60+Inputs!$B$25+Inputs!$B$29,IF(Skills!C24=2,90+Inputs!$B$26+Inputs!$B$29,IF(Skills!C24=3,120+Inputs!$B$27+Inputs!$B$29,MAX(0,(Inputs!$B$3-100)*3)+Inputs!$B$28+Inputs!$B$29)))</f>
        <v/>
      </c>
      <c r="E1447">
        <f>INDEX(FactorTable!$B$2:$Y$301, MATCH(ROUND(MIN(300,MAX(1,D1447)),0), FactorTable!$A$2:$A$301,0), Skills!M24+1)</f>
        <v/>
      </c>
      <c r="F1447">
        <f>IF(Skills!N24=TRUE,(Skills!L24/10)*(E1447/1000),Skills!L24/10)+Skills!O24</f>
        <v/>
      </c>
      <c r="G1447">
        <f>Skills!G24*IF(Skills!H24&gt;0,Skills!I24/Skills!H24,1)</f>
        <v/>
      </c>
      <c r="H1447">
        <f>1-(1-Skills!J24/100)^Skills!K24</f>
        <v/>
      </c>
      <c r="I1447" t="inlineStr">
        <is>
          <t>1</t>
        </is>
      </c>
      <c r="J1447" t="inlineStr"/>
      <c r="K1447" t="inlineStr"/>
      <c r="L1447" t="inlineStr"/>
      <c r="M1447" t="inlineStr"/>
      <c r="N1447" t="inlineStr"/>
      <c r="O1447">
        <f>(1-Summary!$B$55)*T1447+Summary!$B$55*V1447</f>
        <v/>
      </c>
      <c r="P1447">
        <f>IF(B1463=0,0,O1447/B1463)</f>
        <v/>
      </c>
      <c r="Q1447" t="n">
        <v>0</v>
      </c>
      <c r="R1447" t="n">
        <v>0</v>
      </c>
      <c r="S1447">
        <f>IFERROR(O1447/N1447,0)</f>
        <v/>
      </c>
      <c r="T1447" t="n">
        <v>0</v>
      </c>
      <c r="V1447" t="n">
        <v>0</v>
      </c>
    </row>
    <row r="1448">
      <c r="A1448">
        <f>Skills!A25</f>
        <v/>
      </c>
      <c r="B1448">
        <f>Skills!B25</f>
        <v/>
      </c>
      <c r="C1448">
        <f>Inputs!$B$3&gt;=72</f>
        <v/>
      </c>
      <c r="D1448">
        <f>IF(Skills!C25=1,60+Inputs!$B$25+Inputs!$B$29,IF(Skills!C25=2,90+Inputs!$B$26+Inputs!$B$29,IF(Skills!C25=3,120+Inputs!$B$27+Inputs!$B$29,MAX(0,(Inputs!$B$3-100)*3)+Inputs!$B$28+Inputs!$B$29)))</f>
        <v/>
      </c>
      <c r="E1448">
        <f>INDEX(FactorTable!$B$2:$Y$301, MATCH(ROUND(MIN(300,MAX(1,D1448)),0), FactorTable!$A$2:$A$301,0), Skills!M25+1)</f>
        <v/>
      </c>
      <c r="F1448">
        <f>IF(Skills!N25=TRUE,(Skills!L25/10)*(E1448/1000),Skills!L25/10)+Skills!O25</f>
        <v/>
      </c>
      <c r="G1448">
        <f>Skills!G25*IF(Skills!H25&gt;0,Skills!I25/Skills!H25,1)</f>
        <v/>
      </c>
      <c r="H1448">
        <f>1-(1-Skills!J25/100)^Skills!K25</f>
        <v/>
      </c>
      <c r="I1448" t="inlineStr">
        <is>
          <t>1</t>
        </is>
      </c>
      <c r="J1448" t="inlineStr"/>
      <c r="K1448" t="inlineStr"/>
      <c r="L1448" t="inlineStr"/>
      <c r="M1448" t="inlineStr"/>
      <c r="N1448" t="inlineStr"/>
      <c r="O1448">
        <f>(1-Summary!$B$55)*T1448+Summary!$B$55*V1448</f>
        <v/>
      </c>
      <c r="P1448">
        <f>IF(B1463=0,0,O1448/B1463)</f>
        <v/>
      </c>
      <c r="Q1448" t="n">
        <v>0</v>
      </c>
      <c r="R1448" t="n">
        <v>0</v>
      </c>
      <c r="S1448">
        <f>IFERROR(O1448/N1448,0)</f>
        <v/>
      </c>
      <c r="T1448" t="n">
        <v>0</v>
      </c>
      <c r="V1448" t="n">
        <v>0</v>
      </c>
    </row>
    <row r="1449">
      <c r="A1449">
        <f>Skills!A26</f>
        <v/>
      </c>
      <c r="B1449">
        <f>Skills!B26</f>
        <v/>
      </c>
      <c r="C1449">
        <f>Inputs!$B$3&gt;=75</f>
        <v/>
      </c>
      <c r="D1449">
        <f>IF(Skills!C26=1,60+Inputs!$B$25+Inputs!$B$29,IF(Skills!C26=2,90+Inputs!$B$26+Inputs!$B$29,IF(Skills!C26=3,120+Inputs!$B$27+Inputs!$B$29,MAX(0,(Inputs!$B$3-100)*3)+Inputs!$B$28+Inputs!$B$29)))</f>
        <v/>
      </c>
      <c r="E1449">
        <f>INDEX(FactorTable!$B$2:$Y$301, MATCH(ROUND(MIN(300,MAX(1,D1449)),0), FactorTable!$A$2:$A$301,0), Skills!M26+1)</f>
        <v/>
      </c>
      <c r="F1449">
        <f>IF(Skills!N26=TRUE,(Skills!L26/10)*(E1449/1000),Skills!L26/10)+Skills!O26</f>
        <v/>
      </c>
      <c r="G1449">
        <f>Skills!G26*IF(Skills!H26&gt;0,Skills!I26/Skills!H26,1)</f>
        <v/>
      </c>
      <c r="H1449">
        <f>1-(1-Skills!J26/100)^Skills!K26</f>
        <v/>
      </c>
      <c r="I1449" t="inlineStr">
        <is>
          <t>1</t>
        </is>
      </c>
      <c r="J1449" t="inlineStr"/>
      <c r="K1449" t="inlineStr"/>
      <c r="L1449" t="inlineStr"/>
      <c r="M1449" t="inlineStr"/>
      <c r="N1449" t="inlineStr"/>
      <c r="O1449">
        <f>(1-Summary!$B$55)*T1449+Summary!$B$55*V1449</f>
        <v/>
      </c>
      <c r="P1449">
        <f>IF(B1463=0,0,O1449/B1463)</f>
        <v/>
      </c>
      <c r="Q1449" t="n">
        <v>0</v>
      </c>
      <c r="R1449" t="n">
        <v>0</v>
      </c>
      <c r="S1449">
        <f>IFERROR(O1449/N1449,0)</f>
        <v/>
      </c>
      <c r="T1449" t="n">
        <v>0</v>
      </c>
      <c r="V1449" t="n">
        <v>0</v>
      </c>
    </row>
    <row r="1450">
      <c r="A1450">
        <f>Skills!A27</f>
        <v/>
      </c>
      <c r="B1450">
        <f>Skills!B27</f>
        <v/>
      </c>
      <c r="C1450">
        <f>Inputs!$B$3&gt;=117</f>
        <v/>
      </c>
      <c r="D1450">
        <f>IF(Skills!C27=1,60+Inputs!$B$25+Inputs!$B$29,IF(Skills!C27=2,90+Inputs!$B$26+Inputs!$B$29,IF(Skills!C27=3,120+Inputs!$B$27+Inputs!$B$29,MAX(0,(Inputs!$B$3-100)*3)+Inputs!$B$28+Inputs!$B$29)))</f>
        <v/>
      </c>
      <c r="E1450">
        <f>INDEX(FactorTable!$B$2:$Y$301, MATCH(ROUND(MIN(300,MAX(1,D1450)),0), FactorTable!$A$2:$A$301,0), Skills!M27+1)</f>
        <v/>
      </c>
      <c r="F1450">
        <f>IF(Skills!N27=TRUE,(Skills!L27/10)*(E1450/1000),Skills!L27/10)+Skills!O27</f>
        <v/>
      </c>
      <c r="G1450">
        <f>Skills!G27*IF(Skills!H27&gt;0,Skills!I27/Skills!H27,1)</f>
        <v/>
      </c>
      <c r="H1450">
        <f>1-(1-Skills!J27/100)^Skills!K27</f>
        <v/>
      </c>
      <c r="I1450" t="inlineStr">
        <is>
          <t>1</t>
        </is>
      </c>
      <c r="J1450" t="inlineStr"/>
      <c r="K1450" t="inlineStr"/>
      <c r="L1450" t="inlineStr"/>
      <c r="M1450" t="inlineStr"/>
      <c r="N1450" t="inlineStr"/>
      <c r="O1450">
        <f>(1-Summary!$B$55)*T1450+Summary!$B$55*V1450</f>
        <v/>
      </c>
      <c r="P1450">
        <f>IF(B1463=0,0,O1450/B1463)</f>
        <v/>
      </c>
      <c r="Q1450" t="n">
        <v>0</v>
      </c>
      <c r="R1450" t="n">
        <v>0</v>
      </c>
      <c r="S1450">
        <f>IFERROR(O1450/N1450,0)</f>
        <v/>
      </c>
      <c r="T1450" t="n">
        <v>0</v>
      </c>
      <c r="V1450" t="n">
        <v>0</v>
      </c>
    </row>
    <row r="1452">
      <c r="A1452" t="inlineStr">
        <is>
          <t>Attack% Bucket Multiplier</t>
        </is>
      </c>
      <c r="B1452">
        <f>(1+(((C1440=TRUE)*F1440)+((C1447=TRUE)*(F1447-Calc!F24)))/100)</f>
        <v/>
      </c>
    </row>
    <row r="1453">
      <c r="A1453" t="inlineStr">
        <is>
          <t>Global Crit Rate Bonus %</t>
        </is>
      </c>
      <c r="B1453" t="n">
        <v>0</v>
      </c>
    </row>
    <row r="1454">
      <c r="A1454" t="inlineStr">
        <is>
          <t>Attack Speed Buff Bonus % (unused)</t>
        </is>
      </c>
      <c r="B1454" t="n">
        <v>0</v>
      </c>
    </row>
    <row r="1455">
      <c r="A1455" t="inlineStr">
        <is>
          <t>Actions Per Second</t>
        </is>
      </c>
      <c r="B1455">
        <f>1+MIN(150,150*(1-(1-(Inputs!$B$11+((C1443=TRUE)*(F1443-Calc!F20))+((C1444=TRUE)*(F1444-Calc!F21)))/150)*(1-B1454/150)))/100</f>
        <v/>
      </c>
    </row>
    <row r="1456">
      <c r="A1456" t="inlineStr">
        <is>
          <t>Skill + Buff Cast Rate</t>
        </is>
      </c>
      <c r="B1456">
        <f>IF(AND(Inputs!$B$38&lt;&gt;"pvp",Inputs!$B$43&gt;0),SUMPRODUCT((Skills!E2:E27=TRUE)*(C1425:C1450=TRUE)*R1425:R1450*Skills!F2:F27)/Inputs!$B$43,SUMPRODUCT((Skills!E2:E27=TRUE)*(C1425:C1450=TRUE)*Q1425:Q1450*Skills!F2:F27))</f>
        <v/>
      </c>
    </row>
    <row r="1457">
      <c r="A1457" t="inlineStr">
        <is>
          <t>Eight-Legs Easton Casts Per Second</t>
        </is>
      </c>
      <c r="B1457">
        <f>MAX(0,B1455-B1456)</f>
        <v/>
      </c>
    </row>
    <row r="1458">
      <c r="A1458" t="inlineStr">
        <is>
          <t>Global Critical Damage Bonus % (unused)</t>
        </is>
      </c>
      <c r="B1458" t="n">
        <v>0</v>
      </c>
    </row>
    <row r="1459">
      <c r="A1459" t="inlineStr">
        <is>
          <t>Global Final Damage Bonus % (Jolly Roger only)</t>
        </is>
      </c>
      <c r="B1459">
        <f>((C1441=TRUE)*F1441)</f>
        <v/>
      </c>
    </row>
    <row r="1460">
      <c r="A1460" t="inlineStr">
        <is>
          <t>Buff-Casting Startup Delay (s, fixed-duration only)</t>
        </is>
      </c>
      <c r="B1460">
        <f>IF(AND(Inputs!$B$38&lt;&gt;"pvp",Inputs!$B$43&gt;0),SUMPRODUCT((Skills!T2:T27&gt;0)*(Skills!E2:E27=TRUE)*(C1425:C1450=TRUE))/B1455,0)</f>
        <v/>
      </c>
    </row>
    <row r="1461">
      <c r="A1461" t="inlineStr">
        <is>
          <t>Boss-Only Total DPS (this block's swept value)</t>
        </is>
      </c>
      <c r="B1461">
        <f>SUM(T1425:T1450)</f>
        <v/>
      </c>
    </row>
    <row r="1462">
      <c r="A1462" t="inlineStr">
        <is>
          <t>Normal-Only Total DPS (this block's swept value)</t>
        </is>
      </c>
      <c r="B1462">
        <f>SUM(V1425:V1450)</f>
        <v/>
      </c>
    </row>
    <row r="1463">
      <c r="A1463" s="5" t="inlineStr">
        <is>
          <t>TOTAL DPS</t>
        </is>
      </c>
      <c r="B1463" s="5">
        <f>SUM(O1425:O1450)</f>
        <v/>
      </c>
    </row>
    <row r="1466">
      <c r="A1466" s="5" t="inlineStr">
        <is>
          <t>Stat: CDR = 4.0s</t>
        </is>
      </c>
    </row>
    <row r="1467">
      <c r="A1467" s="9" t="inlineStr">
        <is>
          <t>Key</t>
        </is>
      </c>
      <c r="B1467" s="9" t="inlineStr">
        <is>
          <t>Name</t>
        </is>
      </c>
      <c r="C1467" s="9" t="inlineStr">
        <is>
          <t>Unlocked</t>
        </is>
      </c>
      <c r="D1467" s="9" t="inlineStr">
        <is>
          <t>InputLevel</t>
        </is>
      </c>
      <c r="E1467" s="9" t="inlineStr">
        <is>
          <t>Factor</t>
        </is>
      </c>
      <c r="F1467" s="9" t="inlineStr">
        <is>
          <t>CoefficientPercent</t>
        </is>
      </c>
      <c r="G1467" s="9" t="inlineStr">
        <is>
          <t>EffectiveHits</t>
        </is>
      </c>
      <c r="H1467" s="9" t="inlineStr">
        <is>
          <t>ProcProbability</t>
        </is>
      </c>
      <c r="I1467" s="9" t="inlineStr">
        <is>
          <t>MapleHeroMultiplier</t>
        </is>
      </c>
      <c r="J1467" s="9" t="inlineStr">
        <is>
          <t>BaseDamage</t>
        </is>
      </c>
      <c r="K1467" s="9" t="inlineStr">
        <is>
          <t>BaseHitDamage</t>
        </is>
      </c>
      <c r="L1467" s="9" t="inlineStr">
        <is>
          <t>NonCritAvg</t>
        </is>
      </c>
      <c r="M1467" s="9" t="inlineStr">
        <is>
          <t>CritAvg</t>
        </is>
      </c>
      <c r="N1467" s="9" t="inlineStr">
        <is>
          <t>ExpectedDamage(perHit)</t>
        </is>
      </c>
      <c r="O1467" s="9" t="inlineStr">
        <is>
          <t>DPS</t>
        </is>
      </c>
      <c r="P1467" s="9" t="inlineStr">
        <is>
          <t>% of Total</t>
        </is>
      </c>
      <c r="Q1467" s="9" t="inlineStr">
        <is>
          <t>InvCooldown</t>
        </is>
      </c>
      <c r="R1467" s="9" t="inlineStr">
        <is>
          <t>CastsInFight</t>
        </is>
      </c>
      <c r="S1467" s="9" t="inlineStr">
        <is>
          <t>HitRate(perSec)</t>
        </is>
      </c>
      <c r="U1467" t="inlineStr">
        <is>
          <t>helpers</t>
        </is>
      </c>
    </row>
    <row r="1468">
      <c r="A1468">
        <f>Skills!A2</f>
        <v/>
      </c>
      <c r="B1468">
        <f>Skills!B2</f>
        <v/>
      </c>
      <c r="C1468">
        <f>Inputs!$B$3&gt;=100</f>
        <v/>
      </c>
      <c r="D1468" t="inlineStr"/>
      <c r="E1468" t="inlineStr"/>
      <c r="F1468">
        <f>U1470+Skills!O2</f>
        <v/>
      </c>
      <c r="G1468">
        <f>Skills!G2*IF(Skills!H2&gt;0,Skills!I2/Skills!H2,1)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Inputs!$B$19+0)/100)))*(1+(Inputs!$B$24+((C1492=TRUE)*(F1492-Calc!F26))+B1502)/100)*(1+(IF(Skills!A2="EIGHT_LEGS_EASTON",Inputs!$B$17+((C1489=TRUE)*(F1489-Calc!F23))+((C1493=TRUE)*(F1493-Calc!F27)),Inputs!$B$18+0))/100)*((1+(((C1483=TRUE)*F1483)+((C1490=TRUE)*(F1490-Calc!F24)))/100)*I1468)</f>
        <v/>
      </c>
      <c r="L1468">
        <f>K1468*(MIN(Inputs!$B$22+((C1488=TRUE)*(F1488-Calc!F22)),Inputs!$B$23+0)/100+(Inputs!$B$23+0)/100)/2</f>
        <v/>
      </c>
      <c r="M1468">
        <f>L1468*(1+(Inputs!$B$10+((C1491=TRUE)*(F1491-Calc!F25))+B1501)/100)</f>
        <v/>
      </c>
      <c r="N1468">
        <f>L1468*(1-MIN((Inputs!$B$9+((C1485=TRUE)*(F1485-Calc!F19))+B1496),100)/100)+M1468*(MIN((Inputs!$B$9+((C1485=TRUE)*(F1485-Calc!F19))+B1496),100)/100)</f>
        <v/>
      </c>
      <c r="O1468">
        <f>(1-Summary!$B$55)*T1468+Summary!$B$55*V1468</f>
        <v/>
      </c>
      <c r="P1468">
        <f>IF(B1506=0,0,O1468/B1506)</f>
        <v/>
      </c>
      <c r="Q1468" t="n">
        <v>0</v>
      </c>
      <c r="R1468" t="n">
        <v>0</v>
      </c>
      <c r="S1468">
        <f>IFERROR(O1468/N1468,0)</f>
        <v/>
      </c>
      <c r="T1468">
        <f>IF(C1468,(Skills!G2*N1468*B1500)*IF(Inputs!$B$38="pvp",1,1+(Inputs!$B$20+0+Skills!P2)/100),0)</f>
        <v/>
      </c>
      <c r="U1468">
        <f>MAX(0,(Inputs!$B$3-100)*3)+Inputs!$B$28+Inputs!$B$29</f>
        <v/>
      </c>
      <c r="V1468">
        <f>IF(C1468,(Skills!G2*N1468*B1500)*IF(Inputs!$B$38="pvp",1,(1+(Inputs!$B$21+Skills!Q2)/100)*(MIN((6+Inputs!$B$33),Inputs!$B$37))),0)</f>
        <v/>
      </c>
    </row>
    <row r="1469">
      <c r="A1469">
        <f>Skills!A3</f>
        <v/>
      </c>
      <c r="B1469">
        <f>Skills!B3</f>
        <v/>
      </c>
      <c r="C1469">
        <f>Inputs!$B$3&gt;=35</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f>Skills!G3*IF(Skills!H3&gt;0,Skills!I3/Skills!H3,1)</f>
        <v/>
      </c>
      <c r="H1469">
        <f>1-(1-Skills!J3/100)^Skills!K3</f>
        <v/>
      </c>
      <c r="I1469" t="inlineStr">
        <is>
          <t>1</t>
        </is>
      </c>
      <c r="J1469">
        <f>((Inputs!$B$6*(1+Inputs!$B$7/100))+(((Inputs!$B$12*(1+Inputs!$B$13/100))-(Inputs!$B$12*(1+Inputs!$B$13/100)))+0.25*(Inputs!$B$14-Inputs!$B$14))*(1+Inputs!$B$7/100))*(F1469/100)</f>
        <v/>
      </c>
      <c r="K1469">
        <f>J1469*(1+((Inputs!$B$12*(1+Inputs!$B$13/100))*0.01+Inputs!$B$14*0.0025)/100)*(1+Inputs!$B$15/100)*(1+Inputs!$B$16/100)*(5000/(6000+Inputs!$B$42*(1-(Inputs!$B$19+0)/100)))*(1+(Inputs!$B$24+((C1492=TRUE)*(F1492-Calc!F26))+B1502)/100)*(1+4.0*IF(C1481=TRUE,F1481,0)/100)*(1+(IF(Skills!A3="EIGHT_LEGS_EASTON",Inputs!$B$17+((C1489=TRUE)*(F1489-Calc!F23))+((C1493=TRUE)*(F1493-Calc!F27)),Inputs!$B$18+0))/100)*((1+(((C1483=TRUE)*F1483)+((C1490=TRUE)*(F1490-Calc!F24)))/100)*I1469)</f>
        <v/>
      </c>
      <c r="L1469">
        <f>K1469*(MIN(Inputs!$B$22+((C1488=TRUE)*(F1488-Calc!F22)),Inputs!$B$23+0)/100+(Inputs!$B$23+0)/100)/2</f>
        <v/>
      </c>
      <c r="M1469">
        <f>L1469*(1+(Inputs!$B$10+((C1491=TRUE)*(F1491-Calc!F25))+B1501)/100)</f>
        <v/>
      </c>
      <c r="N1469">
        <f>L1469*(1-MIN((Inputs!$B$9+((C1485=TRUE)*(F1485-Calc!F19))+B1496),100)/100)+M1469*(MIN((Inputs!$B$9+((C1485=TRUE)*(F1485-Calc!F19))+B1496),100)/100)</f>
        <v/>
      </c>
      <c r="O1469">
        <f>(1-Summary!$B$55)*T1469+Summary!$B$55*V1469</f>
        <v/>
      </c>
      <c r="P1469">
        <f>IF(B1506=0,0,O1469/B1506)</f>
        <v/>
      </c>
      <c r="Q1469">
        <f>IFERROR(1/IF(Inputs!$B$38="pvp",15,MAX(0.1,Skills!D3-IF(Skills!E3=TRUE,4.0,0))),0)</f>
        <v/>
      </c>
      <c r="R1469">
        <f>IF(AND(Inputs!$B$38&lt;&gt;"pvp",Inputs!$B$43&gt;0),IF(MAX(0,Inputs!$B$43-B1503)&lt;=0,0,(INT(MAX(0,Inputs!$B$43-B1503)/IF(Inputs!$B$38="pvp",15,MAX(0.1,Skills!D3-IF(Skills!E3=TRUE,4.0,0))))+1)),0)</f>
        <v/>
      </c>
      <c r="S1469">
        <f>IFERROR(O1469/N1469,0)</f>
        <v/>
      </c>
      <c r="T1469">
        <f>IF(C1469,(H1469*N1469*IF(AND(Inputs!$B$38&lt;&gt;"pvp",Inputs!$B$43&gt;0),((Skills!G3*((R1469-1)*IF(Skills!H3&gt;0,Skills!I3/Skills!H3,1)+IF(Skills!H3&gt;0,MIN(Skills!I3,MAX(0,MAX(0,Inputs!$B$43-B1503)-((R1469-1)*IF(Inputs!$B$38="pvp",15,MAX(0.1,Skills!D3-IF(Skills!E3=TRUE,4.0,0))))))/Skills!H3,1)))/Inputs!$B$43),G1469*Q1469))*IF(Inputs!$B$38="pvp",1,1+(Inputs!$B$20+0+Skills!P3)/100),0)</f>
        <v/>
      </c>
      <c r="U1469">
        <f>INDEX(FactorTable!$B$2:$Y$301, MATCH(ROUND(MIN(300,MAX(1,U1468)),0), FactorTable!$A$2:$A$301,0), 22)</f>
        <v/>
      </c>
      <c r="V1469">
        <f>IF(C1469,(H1469*N1469*IF(AND(Inputs!$B$38&lt;&gt;"pvp",Inputs!$B$43&gt;0),((Skills!G3*((R1469-1)*IF(Skills!H3&gt;0,Skills!I3/Skills!H3,1)+IF(Skills!H3&gt;0,MIN(Skills!I3,MAX(0,MAX(0,Inputs!$B$43-B1503)-((R1469-1)*IF(Inputs!$B$38="pvp",15,MAX(0.1,Skills!D3-IF(Skills!E3=TRUE,4.0,0))))))/Skills!H3,1)))/Inputs!$B$43),G1469*Q1469))*IF(Inputs!$B$38="pvp",1,(1+(Inputs!$B$21+Skills!Q3)/100)*(MIN(Skills!R3,Inputs!$B$37))),0)</f>
        <v/>
      </c>
    </row>
    <row r="1470">
      <c r="A1470">
        <f>Skills!A4</f>
        <v/>
      </c>
      <c r="B1470">
        <f>Skills!B4</f>
        <v/>
      </c>
      <c r="C1470">
        <f>Inputs!$B$3&gt;=40</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f>Skills!G4*IF(Skills!H4&gt;0,Skills!I4/Skills!H4,1)</f>
        <v/>
      </c>
      <c r="H1470">
        <f>1-(1-Skills!J4/100)^Skills!K4</f>
        <v/>
      </c>
      <c r="I1470" t="inlineStr">
        <is>
          <t>1</t>
        </is>
      </c>
      <c r="J1470">
        <f>((Inputs!$B$6*(1+Inputs!$B$7/100))+(((Inputs!$B$12*(1+Inputs!$B$13/100))-(Inputs!$B$12*(1+Inputs!$B$13/100)))+0.25*(Inputs!$B$14-Inputs!$B$14))*(1+Inputs!$B$7/100))*(F1470/100)</f>
        <v/>
      </c>
      <c r="K1470">
        <f>J1470*(1+((Inputs!$B$12*(1+Inputs!$B$13/100))*0.01+Inputs!$B$14*0.0025)/100)*(1+Inputs!$B$15/100)*(1+Inputs!$B$16/100)*(5000/(6000+Inputs!$B$42*(1-(Inputs!$B$19+0)/100)))*(1+(Inputs!$B$24+((C1492=TRUE)*(F1492-Calc!F26))+B1502)/100)*(1+1.0*IF(C1482=TRUE,F1482,0)/100)*(1+(IF(Skills!A4="EIGHT_LEGS_EASTON",Inputs!$B$17+((C1489=TRUE)*(F1489-Calc!F23))+((C1493=TRUE)*(F1493-Calc!F27)),Inputs!$B$18+0))/100)*((1+(((C1483=TRUE)*F1483)+((C1490=TRUE)*(F1490-Calc!F24)))/100)*I1470)</f>
        <v/>
      </c>
      <c r="L1470">
        <f>K1470*(MIN(Inputs!$B$22+((C1488=TRUE)*(F1488-Calc!F22)),Inputs!$B$23+0)/100+(Inputs!$B$23+0)/100)/2</f>
        <v/>
      </c>
      <c r="M1470">
        <f>L1470*(1+(Inputs!$B$10+((C1491=TRUE)*(F1491-Calc!F25))+B1501)/100)</f>
        <v/>
      </c>
      <c r="N1470">
        <f>L1470*(1-MIN((Inputs!$B$9+((C1485=TRUE)*(F1485-Calc!F19))+B1496),100)/100)+M1470*(MIN((Inputs!$B$9+((C1485=TRUE)*(F1485-Calc!F19))+B1496),100)/100)</f>
        <v/>
      </c>
      <c r="O1470">
        <f>(1-Summary!$B$55)*T1470+Summary!$B$55*V1470</f>
        <v/>
      </c>
      <c r="P1470">
        <f>IF(B1506=0,0,O1470/B1506)</f>
        <v/>
      </c>
      <c r="Q1470">
        <f>IFERROR(1/IF(Inputs!$B$38="pvp",15,MAX(0.1,Skills!D4-IF(Skills!E4=TRUE,4.0,0))),0)</f>
        <v/>
      </c>
      <c r="R1470">
        <f>IF(AND(Inputs!$B$38&lt;&gt;"pvp",Inputs!$B$43&gt;0),IF(MAX(0,Inputs!$B$43-B1503)&lt;=0,0,(INT(MAX(0,Inputs!$B$43-B1503)/IF(Inputs!$B$38="pvp",15,MAX(0.1,Skills!D4-IF(Skills!E4=TRUE,4.0,0))))+1)),0)</f>
        <v/>
      </c>
      <c r="S1470">
        <f>IFERROR(O1470/N1470,0)</f>
        <v/>
      </c>
      <c r="T1470">
        <f>IF(C1470,(H1470*N1470*IF(AND(Inputs!$B$38&lt;&gt;"pvp",Inputs!$B$43&gt;0),((Skills!G4*((R1470-1)*IF(Skills!H4&gt;0,Skills!I4/Skills!H4,1)+IF(Skills!H4&gt;0,MIN(Skills!I4,MAX(0,MAX(0,Inputs!$B$43-B1503)-((R1470-1)*IF(Inputs!$B$38="pvp",15,MAX(0.1,Skills!D4-IF(Skills!E4=TRUE,4.0,0))))))/Skills!H4,1)))/Inputs!$B$43),G1470*Q1470))*IF(Inputs!$B$38="pvp",1,1+(Inputs!$B$20+0+Skills!P4)/100),0)</f>
        <v/>
      </c>
      <c r="U1470">
        <f>290*U1469/1000</f>
        <v/>
      </c>
      <c r="V1470">
        <f>IF(C1470,(H1470*N1470*IF(AND(Inputs!$B$38&lt;&gt;"pvp",Inputs!$B$43&gt;0),((Skills!G4*((R1470-1)*IF(Skills!H4&gt;0,Skills!I4/Skills!H4,1)+IF(Skills!H4&gt;0,MIN(Skills!I4,MAX(0,MAX(0,Inputs!$B$43-B1503)-((R1470-1)*IF(Inputs!$B$38="pvp",15,MAX(0.1,Skills!D4-IF(Skills!E4=TRUE,4.0,0))))))/Skills!H4,1)))/Inputs!$B$43),G1470*Q1470))*IF(Inputs!$B$38="pvp",1,(1+(Inputs!$B$21+Skills!Q4)/100)*(MIN(Skills!R4,Inputs!$B$37))),0)</f>
        <v/>
      </c>
    </row>
    <row r="1471">
      <c r="A1471">
        <f>Skills!A5</f>
        <v/>
      </c>
      <c r="B1471">
        <f>Skills!B5</f>
        <v/>
      </c>
      <c r="C1471">
        <f>Inputs!$B$3&gt;=45</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Skills!G5*IF(Skills!H5&gt;0,Skills!I5/Skills!H5,1)</f>
        <v/>
      </c>
      <c r="H1471">
        <f>1-(1-Skills!J5/100)^Skills!K5</f>
        <v/>
      </c>
      <c r="I1471" t="inlineStr">
        <is>
          <t>1</t>
        </is>
      </c>
      <c r="J1471">
        <f>((Inputs!$B$6*(1+Inputs!$B$7/100))+(((Inputs!$B$12*(1+Inputs!$B$13/100))-(Inputs!$B$12*(1+Inputs!$B$13/100)))+0.25*(Inputs!$B$14-Inputs!$B$14))*(1+Inputs!$B$7/100))*(F1471/100)</f>
        <v/>
      </c>
      <c r="K1471">
        <f>J1471*(1+((Inputs!$B$12*(1+Inputs!$B$13/100))*0.01+Inputs!$B$14*0.0025)/100)*(1+Inputs!$B$15/100)*(1+Inputs!$B$16/100)*(5000/(6000+Inputs!$B$42*(1-(Inputs!$B$19+0)/100)))*(1+(Inputs!$B$24+((C1492=TRUE)*(F1492-Calc!F26))+B1502)/100)*(1+0.4*IF(C1482=TRUE,F1482,0)/100)*(1+(IF(Skills!A5="EIGHT_LEGS_EASTON",Inputs!$B$17+((C1489=TRUE)*(F1489-Calc!F23))+((C1493=TRUE)*(F1493-Calc!F27)),Inputs!$B$18+0))/100)*((1+(((C1483=TRUE)*F1483)+((C1490=TRUE)*(F1490-Calc!F24)))/100)*I1471)</f>
        <v/>
      </c>
      <c r="L1471">
        <f>K1471*(MIN(Inputs!$B$22+((C1488=TRUE)*(F1488-Calc!F22)),Inputs!$B$23+0)/100+(Inputs!$B$23+0)/100)/2</f>
        <v/>
      </c>
      <c r="M1471">
        <f>L1471*(1+(Inputs!$B$10+((C1491=TRUE)*(F1491-Calc!F25))+B1501)/100)</f>
        <v/>
      </c>
      <c r="N1471">
        <f>L1471*(1-MIN((Inputs!$B$9+((C1485=TRUE)*(F1485-Calc!F19))+B1496),100)/100)+M1471*(MIN((Inputs!$B$9+((C1485=TRUE)*(F1485-Calc!F19))+B1496),100)/100)</f>
        <v/>
      </c>
      <c r="O1471">
        <f>(1-Summary!$B$55)*T1471+Summary!$B$55*V1471</f>
        <v/>
      </c>
      <c r="P1471">
        <f>IF(B1506=0,0,O1471/B1506)</f>
        <v/>
      </c>
      <c r="Q1471">
        <f>IFERROR(1/IF(Inputs!$B$38="pvp",15,MAX(0.1,Skills!D5-IF(Skills!E5=TRUE,4.0,0))),0)</f>
        <v/>
      </c>
      <c r="R1471">
        <f>IF(AND(Inputs!$B$38&lt;&gt;"pvp",Inputs!$B$43&gt;0),IF(MAX(0,Inputs!$B$43-B1503)&lt;=0,0,(INT(MAX(0,Inputs!$B$43-B1503)/IF(Inputs!$B$38="pvp",15,MAX(0.1,Skills!D5-IF(Skills!E5=TRUE,4.0,0))))+1)),0)</f>
        <v/>
      </c>
      <c r="S1471">
        <f>IFERROR(O1471/N1471,0)</f>
        <v/>
      </c>
      <c r="T1471">
        <f>IF(C1471,(H1471*N1471*IF(AND(Inputs!$B$38&lt;&gt;"pvp",Inputs!$B$43&gt;0),((Skills!G5*((R1471-1)*IF(Skills!H5&gt;0,Skills!I5/Skills!H5,1)+IF(Skills!H5&gt;0,MIN(Skills!I5,MAX(0,MAX(0,Inputs!$B$43-B1503)-((R1471-1)*IF(Inputs!$B$38="pvp",15,MAX(0.1,Skills!D5-IF(Skills!E5=TRUE,4.0,0))))))/Skills!H5,1)))/Inputs!$B$43),G1471*Q1471))*IF(Inputs!$B$38="pvp",1,1+(Inputs!$B$20+0+Skills!P5)/100),0)</f>
        <v/>
      </c>
      <c r="V1471">
        <f>IF(C1471,(H1471*N1471*IF(AND(Inputs!$B$38&lt;&gt;"pvp",Inputs!$B$43&gt;0),((Skills!G5*((R1471-1)*IF(Skills!H5&gt;0,Skills!I5/Skills!H5,1)+IF(Skills!H5&gt;0,MIN(Skills!I5,MAX(0,MAX(0,Inputs!$B$43-B1503)-((R1471-1)*IF(Inputs!$B$38="pvp",15,MAX(0.1,Skills!D5-IF(Skills!E5=TRUE,4.0,0))))))/Skills!H5,1)))/Inputs!$B$43),G1471*Q1471))*IF(Inputs!$B$38="pvp",1,(1+(Inputs!$B$21+Skills!Q5)/100)*(MIN(Skills!R5,Inputs!$B$37))),0)</f>
        <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Skills!G6*IF(Skills!H6&gt;0,Skills!I6/Skills!H6,1)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Inputs!$B$19+0)/100)))*(1+(Inputs!$B$24+((C1492=TRUE)*(F1492-Calc!F26))+B1502)/100)*(1+2.0*IF(C1481=TRUE,F1481,0)/100)*(1+(IF(Skills!A6="EIGHT_LEGS_EASTON",Inputs!$B$17+((C1489=TRUE)*(F1489-Calc!F23))+((C1493=TRUE)*(F1493-Calc!F27)),Inputs!$B$18+0))/100)*((1+(((C1483=TRUE)*F1483)+((C1490=TRUE)*(F1490-Calc!F24)))/100)*I1472)</f>
        <v/>
      </c>
      <c r="L1472">
        <f>K1472*(MIN(Inputs!$B$22+((C1488=TRUE)*(F1488-Calc!F22)),Inputs!$B$23+0)/100+(Inputs!$B$23+0)/100)/2</f>
        <v/>
      </c>
      <c r="M1472">
        <f>L1472*(1+(Inputs!$B$10+((C1491=TRUE)*(F1491-Calc!F25))+B1501)/100)</f>
        <v/>
      </c>
      <c r="N1472">
        <f>L1472*(1-MIN((Inputs!$B$9+((C1485=TRUE)*(F1485-Calc!F19))+B1496),100)/100)+M1472*(MIN((Inputs!$B$9+((C1485=TRUE)*(F1485-Calc!F19))+B1496),100)/100)</f>
        <v/>
      </c>
      <c r="O1472">
        <f>(1-Summary!$B$55)*T1472+Summary!$B$55*V1472</f>
        <v/>
      </c>
      <c r="P1472">
        <f>IF(B1506=0,0,O1472/B1506)</f>
        <v/>
      </c>
      <c r="Q1472">
        <f>IFERROR(1/IF(Inputs!$B$38="pvp",15,MAX(0.1,Skills!D6-IF(Skills!E6=TRUE,4.0,0))),0)</f>
        <v/>
      </c>
      <c r="R1472">
        <f>IF(AND(Inputs!$B$38&lt;&gt;"pvp",Inputs!$B$43&gt;0),IF(MAX(0,Inputs!$B$43-B1503)&lt;=0,0,(INT(MAX(0,Inputs!$B$43-B1503)/IF(Inputs!$B$38="pvp",15,MAX(0.1,Skills!D6-IF(Skills!E6=TRUE,4.0,0))))+1)),0)</f>
        <v/>
      </c>
      <c r="S1472">
        <f>IFERROR(O1472/N1472,0)</f>
        <v/>
      </c>
      <c r="T1472">
        <f>IF(C1472,(H1472*N1472*IF(AND(Inputs!$B$38&lt;&gt;"pvp",Inputs!$B$43&gt;0),((Skills!G6*((R1472-1)*IF(Skills!H6&gt;0,Skills!I6/Skills!H6,1)+IF(Skills!H6&gt;0,MIN(Skills!I6,MAX(0,MAX(0,Inputs!$B$43-B1503)-((R1472-1)*IF(Inputs!$B$38="pvp",15,MAX(0.1,Skills!D6-IF(Skills!E6=TRUE,4.0,0))))))/Skills!H6,1)))/Inputs!$B$43),G1472*Q1472))*IF(Inputs!$B$38="pvp",1,1+(Inputs!$B$20+0+Skills!P6)/100),0)</f>
        <v/>
      </c>
      <c r="V1472">
        <f>IF(C1472,(H1472*N1472*IF(AND(Inputs!$B$38&lt;&gt;"pvp",Inputs!$B$43&gt;0),((Skills!G6*((R1472-1)*IF(Skills!H6&gt;0,Skills!I6/Skills!H6,1)+IF(Skills!H6&gt;0,MIN(Skills!I6,MAX(0,MAX(0,Inputs!$B$43-B1503)-((R1472-1)*IF(Inputs!$B$38="pvp",15,MAX(0.1,Skills!D6-IF(Skills!E6=TRUE,4.0,0))))))/Skills!H6,1)))/Inputs!$B$43),G1472*Q1472))*IF(Inputs!$B$38="pvp",1,(1+(Inputs!$B$21+Skills!Q6)/100)*(MIN(Skills!R6,Inputs!$B$37))),0)</f>
        <v/>
      </c>
    </row>
    <row r="1473">
      <c r="A1473">
        <f>Skills!A7</f>
        <v/>
      </c>
      <c r="B1473">
        <f>Skills!B7</f>
        <v/>
      </c>
      <c r="C1473">
        <f>Inputs!$B$3&gt;=66</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Skills!G7*IF(Skills!H7&gt;0,Skills!I7/Skills!H7,1)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Inputs!$B$19+0)/100)))*(1+(Inputs!$B$24+((C1492=TRUE)*(F1492-Calc!F26))+B1502)/100)*(1+1.0*IF(C1481=TRUE,F1481,0)/100)*(1+(IF(Skills!A7="EIGHT_LEGS_EASTON",Inputs!$B$17+((C1489=TRUE)*(F1489-Calc!F23))+((C1493=TRUE)*(F1493-Calc!F27)),Inputs!$B$18+0))/100)*((1+(((C1483=TRUE)*F1483)+((C1490=TRUE)*(F1490-Calc!F24)))/100)*I1473)</f>
        <v/>
      </c>
      <c r="L1473">
        <f>K1473*(MIN(Inputs!$B$22+((C1488=TRUE)*(F1488-Calc!F22)),Inputs!$B$23+0)/100+(Inputs!$B$23+0)/100)/2</f>
        <v/>
      </c>
      <c r="M1473">
        <f>L1473*(1+(Inputs!$B$10+((C1491=TRUE)*(F1491-Calc!F25))+B1501)/100)</f>
        <v/>
      </c>
      <c r="N1473">
        <f>L1473*(1-MIN((Inputs!$B$9+((C1485=TRUE)*(F1485-Calc!F19))+B1496),100)/100)+M1473*(MIN((Inputs!$B$9+((C1485=TRUE)*(F1485-Calc!F19))+B1496),100)/100)</f>
        <v/>
      </c>
      <c r="O1473">
        <f>(1-Summary!$B$55)*T1473+Summary!$B$55*V1473</f>
        <v/>
      </c>
      <c r="P1473">
        <f>IF(B1506=0,0,O1473/B1506)</f>
        <v/>
      </c>
      <c r="Q1473">
        <f>IFERROR(1/IF(Inputs!$B$38="pvp",15,MAX(0.1,Skills!D7-IF(Skills!E7=TRUE,4.0,0))),0)</f>
        <v/>
      </c>
      <c r="R1473">
        <f>IF(AND(Inputs!$B$38&lt;&gt;"pvp",Inputs!$B$43&gt;0),IF(MAX(0,Inputs!$B$43-B1503)&lt;=0,0,(INT(MAX(0,Inputs!$B$43-B1503)/IF(Inputs!$B$38="pvp",15,MAX(0.1,Skills!D7-IF(Skills!E7=TRUE,4.0,0))))+1)),0)</f>
        <v/>
      </c>
      <c r="S1473">
        <f>IFERROR(O1473/N1473,0)</f>
        <v/>
      </c>
      <c r="T1473">
        <f>IF(C1473,(H1473*N1473*IF(AND(Inputs!$B$38&lt;&gt;"pvp",Inputs!$B$43&gt;0),((Skills!G7*((R1473-1)*IF(Skills!H7&gt;0,Skills!I7/Skills!H7,1)+IF(Skills!H7&gt;0,MIN(Skills!I7,MAX(0,MAX(0,Inputs!$B$43-B1503)-((R1473-1)*IF(Inputs!$B$38="pvp",15,MAX(0.1,Skills!D7-IF(Skills!E7=TRUE,4.0,0))))))/Skills!H7,1)))/Inputs!$B$43),G1473*Q1473))*IF(Inputs!$B$38="pvp",1,1+(Inputs!$B$20+0+Skills!P7)/100),0)</f>
        <v/>
      </c>
      <c r="V1473">
        <f>IF(C1473,(H1473*N1473*IF(AND(Inputs!$B$38&lt;&gt;"pvp",Inputs!$B$43&gt;0),((Skills!G7*((R1473-1)*IF(Skills!H7&gt;0,Skills!I7/Skills!H7,1)+IF(Skills!H7&gt;0,MIN(Skills!I7,MAX(0,MAX(0,Inputs!$B$43-B1503)-((R1473-1)*IF(Inputs!$B$38="pvp",15,MAX(0.1,Skills!D7-IF(Skills!E7=TRUE,4.0,0))))))/Skills!H7,1)))/Inputs!$B$43),G1473*Q1473))*IF(Inputs!$B$38="pvp",1,(1+(Inputs!$B$21+Skills!Q7)/100)*(MIN(Skills!R7,Inputs!$B$37))),0)</f>
        <v/>
      </c>
    </row>
    <row r="1474">
      <c r="A1474">
        <f>Skills!A8</f>
        <v/>
      </c>
      <c r="B1474">
        <f>Skills!B8</f>
        <v/>
      </c>
      <c r="C1474">
        <f>Inputs!$B$3&gt;=100</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f>Skills!G8*IF(Skills!H8&gt;0,Skills!I8/Skills!H8,1)</f>
        <v/>
      </c>
      <c r="H1474">
        <f>1-(1-Skills!J8/100)^Skills!K8</f>
        <v/>
      </c>
      <c r="I1474" t="inlineStr">
        <is>
          <t>1</t>
        </is>
      </c>
      <c r="J1474">
        <f>((Inputs!$B$6*(1+Inputs!$B$7/100))+(((Inputs!$B$12*(1+Inputs!$B$13/100))-(Inputs!$B$12*(1+Inputs!$B$13/100)))+0.25*(Inputs!$B$14-Inputs!$B$14))*(1+Inputs!$B$7/100))*(F1474/100)</f>
        <v/>
      </c>
      <c r="K1474">
        <f>J1474*(1+((Inputs!$B$12*(1+Inputs!$B$13/100))*0.01+Inputs!$B$14*0.0025)/100)*(1+Inputs!$B$15/100)*(1+Inputs!$B$16/100)*(5000/(6000+Inputs!$B$42*(1-(Inputs!$B$19+0)/100)))*(1+(Inputs!$B$24+((C1492=TRUE)*(F1492-Calc!F26))+B1502)/100)*(1+(IF(Skills!A8="EIGHT_LEGS_EASTON",Inputs!$B$17+((C1489=TRUE)*(F1489-Calc!F23))+((C1493=TRUE)*(F1493-Calc!F27)),Inputs!$B$18+0))/100)*((1+(((C1483=TRUE)*F1483)+((C1490=TRUE)*(F1490-Calc!F24)))/100)*I1474)</f>
        <v/>
      </c>
      <c r="L1474">
        <f>K1474*(MIN(Inputs!$B$22+((C1488=TRUE)*(F1488-Calc!F22)),Inputs!$B$23+0)/100+(Inputs!$B$23+0)/100)/2</f>
        <v/>
      </c>
      <c r="M1474">
        <f>L1474*(1+(Inputs!$B$10+((C1491=TRUE)*(F1491-Calc!F25))+B1501)/100)</f>
        <v/>
      </c>
      <c r="N1474">
        <f>L1474*(1-MIN((Inputs!$B$9+((C1485=TRUE)*(F1485-Calc!F19))+B1496),100)/100)+M1474*(MIN((Inputs!$B$9+((C1485=TRUE)*(F1485-Calc!F19))+B1496),100)/100)</f>
        <v/>
      </c>
      <c r="O1474">
        <f>(1-Summary!$B$55)*T1474+Summary!$B$55*V1474</f>
        <v/>
      </c>
      <c r="P1474">
        <f>IF(B1506=0,0,O1474/B1506)</f>
        <v/>
      </c>
      <c r="Q1474">
        <f>IFERROR(1/IF(Inputs!$B$38="pvp",15,MAX(0.1,Skills!D8-IF(Skills!E8=TRUE,4.0,0))),0)</f>
        <v/>
      </c>
      <c r="R1474">
        <f>IF(AND(Inputs!$B$38&lt;&gt;"pvp",Inputs!$B$43&gt;0),IF(MAX(0,Inputs!$B$43-B1503)&lt;=0,0,(INT(MAX(0,Inputs!$B$43-B1503)/IF(Inputs!$B$38="pvp",15,MAX(0.1,Skills!D8-IF(Skills!E8=TRUE,4.0,0))))+1)),0)</f>
        <v/>
      </c>
      <c r="S1474">
        <f>IFERROR(O1474/N1474,0)</f>
        <v/>
      </c>
      <c r="T1474">
        <f>IF(C1474,(H1474*N1474*IF(AND(Inputs!$B$38&lt;&gt;"pvp",Inputs!$B$43&gt;0),((Skills!G8*((R1474-1)*IF(Skills!H8&gt;0,Skills!I8/Skills!H8,1)+IF(Skills!H8&gt;0,MIN(Skills!I8,MAX(0,MAX(0,Inputs!$B$43-B1503)-((R1474-1)*IF(Inputs!$B$38="pvp",15,MAX(0.1,Skills!D8-IF(Skills!E8=TRUE,4.0,0))))))/Skills!H8,1)))/Inputs!$B$43),G1474*Q1474))*IF(Inputs!$B$38="pvp",1,1+(Inputs!$B$20+0+Skills!P8)/100),0)</f>
        <v/>
      </c>
      <c r="V1474">
        <f>IF(C1474,(H1474*N1474*IF(AND(Inputs!$B$38&lt;&gt;"pvp",Inputs!$B$43&gt;0),((Skills!G8*((R1474-1)*IF(Skills!H8&gt;0,Skills!I8/Skills!H8,1)+IF(Skills!H8&gt;0,MIN(Skills!I8,MAX(0,MAX(0,Inputs!$B$43-B1503)-((R1474-1)*IF(Inputs!$B$38="pvp",15,MAX(0.1,Skills!D8-IF(Skills!E8=TRUE,4.0,0))))))/Skills!H8,1)))/Inputs!$B$43),G1474*Q1474))*IF(Inputs!$B$38="pvp",1,(1+(Inputs!$B$21+Skills!Q8)/100)*(MIN(Skills!R8,Inputs!$B$37))),0)</f>
        <v/>
      </c>
    </row>
    <row r="1475">
      <c r="A1475">
        <f>Skills!A9</f>
        <v/>
      </c>
      <c r="B1475">
        <f>Skills!B9</f>
        <v/>
      </c>
      <c r="C1475">
        <f>Inputs!$B$3&gt;=103</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Skills!G9*IF(Skills!H9&gt;0,Skills!I9/Skills!H9,1)</f>
        <v/>
      </c>
      <c r="H1475">
        <f>1-(1-Skills!J9/100)^Skills!K9</f>
        <v/>
      </c>
      <c r="I1475" t="inlineStr">
        <is>
          <t>1</t>
        </is>
      </c>
      <c r="J1475">
        <f>((Inputs!$B$6*(1+Inputs!$B$7/100))+(((Inputs!$B$12*(1+Inputs!$B$13/100))-(Inputs!$B$12*(1+Inputs!$B$13/100)))+0.25*(Inputs!$B$14-Inputs!$B$14))*(1+Inputs!$B$7/100))*(F1475/100)</f>
        <v/>
      </c>
      <c r="K1475">
        <f>J1475*(1+((Inputs!$B$12*(1+Inputs!$B$13/100))*0.01+Inputs!$B$14*0.0025)/100)*(1+Inputs!$B$15/100)*(1+Inputs!$B$16/100)*(5000/(6000+Inputs!$B$42*(1-(Inputs!$B$19+0)/100)))*(1+(Inputs!$B$24+((C1492=TRUE)*(F1492-Calc!F26))+B1502)/100)*(1+(IF(Skills!A9="EIGHT_LEGS_EASTON",Inputs!$B$17+((C1489=TRUE)*(F1489-Calc!F23))+((C1493=TRUE)*(F1493-Calc!F27)),Inputs!$B$18+0))/100)*((1+(((C1483=TRUE)*F1483)+((C1490=TRUE)*(F1490-Calc!F24)))/100)*I1475)</f>
        <v/>
      </c>
      <c r="L1475">
        <f>K1475*(MIN(Inputs!$B$22+((C1488=TRUE)*(F1488-Calc!F22)),Inputs!$B$23+0)/100+(Inputs!$B$23+0)/100)/2</f>
        <v/>
      </c>
      <c r="M1475">
        <f>L1475*(1+(Inputs!$B$10+((C1491=TRUE)*(F1491-Calc!F25))+B1501)/100)</f>
        <v/>
      </c>
      <c r="N1475">
        <f>L1475*(1-MIN((Inputs!$B$9+((C1485=TRUE)*(F1485-Calc!F19))+B1496),100)/100)+M1475*(MIN((Inputs!$B$9+((C1485=TRUE)*(F1485-Calc!F19))+B1496),100)/100)</f>
        <v/>
      </c>
      <c r="O1475">
        <f>(1-Summary!$B$55)*T1475+Summary!$B$55*V1475</f>
        <v/>
      </c>
      <c r="P1475">
        <f>IF(B1506=0,0,O1475/B1506)</f>
        <v/>
      </c>
      <c r="Q1475">
        <f>IFERROR(1/IF(Inputs!$B$38="pvp",15,MAX(0.1,Skills!D9-IF(Skills!E9=TRUE,4.0,0))),0)</f>
        <v/>
      </c>
      <c r="R1475">
        <f>IF(AND(Inputs!$B$38&lt;&gt;"pvp",Inputs!$B$43&gt;0),IF(MAX(0,Inputs!$B$43-B1503)&lt;=0,0,(INT(MAX(0,Inputs!$B$43-B1503)/IF(Inputs!$B$38="pvp",15,MAX(0.1,Skills!D9-IF(Skills!E9=TRUE,4.0,0))))+1)),0)</f>
        <v/>
      </c>
      <c r="S1475">
        <f>IFERROR(O1475/N1475,0)</f>
        <v/>
      </c>
      <c r="T1475">
        <f>IF(C1475,(H1475*N1475*IF(AND(Inputs!$B$38&lt;&gt;"pvp",Inputs!$B$43&gt;0),((Skills!G9*((R1475-1)*IF(Skills!H9&gt;0,Skills!I9/Skills!H9,1)+IF(Skills!H9&gt;0,MIN(Skills!I9,MAX(0,MAX(0,Inputs!$B$43-B1503)-((R1475-1)*IF(Inputs!$B$38="pvp",15,MAX(0.1,Skills!D9-IF(Skills!E9=TRUE,4.0,0))))))/Skills!H9,1)))/Inputs!$B$43),G1475*Q1475))*IF(Inputs!$B$38="pvp",1,1+(Inputs!$B$20+0+Skills!P9)/100),0)</f>
        <v/>
      </c>
      <c r="V1475">
        <f>IF(C1475,(H1475*N1475*IF(AND(Inputs!$B$38&lt;&gt;"pvp",Inputs!$B$43&gt;0),((Skills!G9*((R1475-1)*IF(Skills!H9&gt;0,Skills!I9/Skills!H9,1)+IF(Skills!H9&gt;0,MIN(Skills!I9,MAX(0,MAX(0,Inputs!$B$43-B1503)-((R1475-1)*IF(Inputs!$B$38="pvp",15,MAX(0.1,Skills!D9-IF(Skills!E9=TRUE,4.0,0))))))/Skills!H9,1)))/Inputs!$B$43),G1475*Q1475))*IF(Inputs!$B$38="pvp",1,(1+(Inputs!$B$21+Skills!Q9)/100)*(MIN(Skills!R9,Inputs!$B$37))),0)</f>
        <v/>
      </c>
    </row>
    <row r="1476">
      <c r="A1476">
        <f>Skills!A10</f>
        <v/>
      </c>
      <c r="B1476">
        <f>Skills!B10</f>
        <v/>
      </c>
      <c r="C1476">
        <f>Inputs!$B$3&gt;=113</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Skills!G10*IF(Skills!H10&gt;0,Skills!I10/Skills!H10,1)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Inputs!$B$19+0)/100)))*(1+(Inputs!$B$24+((C1492=TRUE)*(F1492-Calc!F26))+B1502)/100)*(1+(IF(Skills!A10="EIGHT_LEGS_EASTON",Inputs!$B$17+((C1489=TRUE)*(F1489-Calc!F23))+((C1493=TRUE)*(F1493-Calc!F27)),Inputs!$B$18+0))/100)*((1+(((C1483=TRUE)*F1483)+((C1490=TRUE)*(F1490-Calc!F24)))/100)*I1476)</f>
        <v/>
      </c>
      <c r="L1476">
        <f>K1476*(MIN(Inputs!$B$22+((C1488=TRUE)*(F1488-Calc!F22)),Inputs!$B$23+0)/100+(Inputs!$B$23+0)/100)/2</f>
        <v/>
      </c>
      <c r="M1476">
        <f>L1476*(1+(Inputs!$B$10+((C1491=TRUE)*(F1491-Calc!F25))+B1501)/100)</f>
        <v/>
      </c>
      <c r="N1476">
        <f>L1476*(1-MIN((Inputs!$B$9+((C1485=TRUE)*(F1485-Calc!F19))+B1496),100)/100)+M1476*(MIN((Inputs!$B$9+((C1485=TRUE)*(F1485-Calc!F19))+B1496),100)/100)</f>
        <v/>
      </c>
      <c r="O1476">
        <f>(1-Summary!$B$55)*T1476+Summary!$B$55*V1476</f>
        <v/>
      </c>
      <c r="P1476">
        <f>IF(B1506=0,0,O1476/B1506)</f>
        <v/>
      </c>
      <c r="Q1476">
        <f>IFERROR(1/IF(Inputs!$B$38="pvp",15,MAX(0.1,Skills!D10-IF(Skills!E10=TRUE,4.0,0))),0)</f>
        <v/>
      </c>
      <c r="R1476">
        <f>IF(AND(Inputs!$B$38&lt;&gt;"pvp",Inputs!$B$43&gt;0),IF(MAX(0,Inputs!$B$43-B1503)&lt;=0,0,(INT(MAX(0,Inputs!$B$43-B1503)/IF(Inputs!$B$38="pvp",15,MAX(0.1,Skills!D10-IF(Skills!E10=TRUE,4.0,0))))+1)),0)</f>
        <v/>
      </c>
      <c r="S1476">
        <f>IFERROR(O1476/N1476,0)</f>
        <v/>
      </c>
      <c r="T1476">
        <f>IF(C1476,(H1476*N1476*IF(AND(Inputs!$B$38&lt;&gt;"pvp",Inputs!$B$43&gt;0),((Skills!G10*((R1476-1)*IF(Skills!H10&gt;0,Skills!I10/Skills!H10,1)+IF(Skills!H10&gt;0,MIN(Skills!I10,MAX(0,MAX(0,Inputs!$B$43-B1503)-((R1476-1)*IF(Inputs!$B$38="pvp",15,MAX(0.1,Skills!D10-IF(Skills!E10=TRUE,4.0,0))))))/Skills!H10,1)))/Inputs!$B$43),G1476*Q1476))*IF(Inputs!$B$38="pvp",1,1+(Inputs!$B$20+0+Skills!P10)/100),0)</f>
        <v/>
      </c>
      <c r="V1476">
        <f>IF(C1476,(H1476*N1476*IF(AND(Inputs!$B$38&lt;&gt;"pvp",Inputs!$B$43&gt;0),((Skills!G10*((R1476-1)*IF(Skills!H10&gt;0,Skills!I10/Skills!H10,1)+IF(Skills!H10&gt;0,MIN(Skills!I10,MAX(0,MAX(0,Inputs!$B$43-B1503)-((R1476-1)*IF(Inputs!$B$38="pvp",15,MAX(0.1,Skills!D10-IF(Skills!E10=TRUE,4.0,0))))))/Skills!H10,1)))/Inputs!$B$43),G1476*Q1476))*IF(Inputs!$B$38="pvp",1,(1+(Inputs!$B$21+Skills!Q10)/100)*(MIN(Skills!R10,Inputs!$B$37))),0)</f>
        <v/>
      </c>
    </row>
    <row r="1477">
      <c r="A1477">
        <f>Skills!A11</f>
        <v/>
      </c>
      <c r="B1477">
        <f>Skills!B11</f>
        <v/>
      </c>
      <c r="C1477">
        <f>Inputs!$B$3&gt;=107</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Skills!G11*IF(Skills!H11&gt;0,Skills!I11/Skills!H11,1)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Inputs!$B$19+0)/100)))*(1+(Inputs!$B$24+((C1492=TRUE)*(F1492-Calc!F26))+B1502)/100)*(1+(IF(Skills!A11="EIGHT_LEGS_EASTON",Inputs!$B$17+((C1489=TRUE)*(F1489-Calc!F23))+((C1493=TRUE)*(F1493-Calc!F27)),Inputs!$B$18+0))/100)*((1+(((C1483=TRUE)*F1483)+((C1490=TRUE)*(F1490-Calc!F24)))/100)*I1477)</f>
        <v/>
      </c>
      <c r="L1477">
        <f>K1477*(MIN(Inputs!$B$22+((C1488=TRUE)*(F1488-Calc!F22)),Inputs!$B$23+0)/100+(Inputs!$B$23+0)/100)/2</f>
        <v/>
      </c>
      <c r="M1477">
        <f>L1477*(1+(Inputs!$B$10+((C1491=TRUE)*(F1491-Calc!F25))+B1501)/100)</f>
        <v/>
      </c>
      <c r="N1477">
        <f>L1477*(1-MIN((Inputs!$B$9+((C1485=TRUE)*(F1485-Calc!F19))+B1496),100)/100)+M1477*(MIN((Inputs!$B$9+((C1485=TRUE)*(F1485-Calc!F19))+B1496),100)/100)</f>
        <v/>
      </c>
      <c r="O1477">
        <f>(1-Summary!$B$55)*T1477+Summary!$B$55*V1477</f>
        <v/>
      </c>
      <c r="P1477">
        <f>IF(B1506=0,0,O1477/B1506)</f>
        <v/>
      </c>
      <c r="Q1477">
        <f>IFERROR(1/IF(Inputs!$B$38="pvp",15,MAX(0.1,Skills!D11-IF(Skills!E11=TRUE,4.0,0))),0)</f>
        <v/>
      </c>
      <c r="R1477">
        <f>IF(AND(Inputs!$B$38&lt;&gt;"pvp",Inputs!$B$43&gt;0),IF(MAX(0,Inputs!$B$43-B1503)&lt;=0,0,(INT(MAX(0,Inputs!$B$43-B1503)/IF(Inputs!$B$38="pvp",15,MAX(0.1,Skills!D11-IF(Skills!E11=TRUE,4.0,0))))+1)),0)</f>
        <v/>
      </c>
      <c r="S1477">
        <f>IFERROR(O1477/N1477,0)</f>
        <v/>
      </c>
      <c r="T1477">
        <f>IF(C1477,(H1477*N1477*IF(AND(Inputs!$B$38&lt;&gt;"pvp",Inputs!$B$43&gt;0),((Skills!G11*((R1477-1)*IF(Skills!H11&gt;0,Skills!I11/Skills!H11,1)+IF(Skills!H11&gt;0,MIN(Skills!I11,MAX(0,MAX(0,Inputs!$B$43-B1503)-((R1477-1)*IF(Inputs!$B$38="pvp",15,MAX(0.1,Skills!D11-IF(Skills!E11=TRUE,4.0,0))))))/Skills!H11,1)))/Inputs!$B$43),G1477*Q1477))*IF(Inputs!$B$38="pvp",1,1+(Inputs!$B$20+0+Skills!P11)/100),0)</f>
        <v/>
      </c>
      <c r="V1477">
        <f>IF(C1477,(H1477*N1477*IF(AND(Inputs!$B$38&lt;&gt;"pvp",Inputs!$B$43&gt;0),((Skills!G11*((R1477-1)*IF(Skills!H11&gt;0,Skills!I11/Skills!H11,1)+IF(Skills!H11&gt;0,MIN(Skills!I11,MAX(0,MAX(0,Inputs!$B$43-B1503)-((R1477-1)*IF(Inputs!$B$38="pvp",15,MAX(0.1,Skills!D11-IF(Skills!E11=TRUE,4.0,0))))))/Skills!H11,1)))/Inputs!$B$43),G1477*Q1477))*IF(Inputs!$B$38="pvp",1,(1+(Inputs!$B$21+Skills!Q11)/100)*(MIN(Skills!R11,Inputs!$B$37))),0)</f>
        <v/>
      </c>
    </row>
    <row r="1478">
      <c r="A1478">
        <f>Skills!A12</f>
        <v/>
      </c>
      <c r="B1478">
        <f>Skills!B12</f>
        <v/>
      </c>
      <c r="C1478">
        <f>Inputs!$B$3&gt;=110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f>Skills!G12*IF(Skills!H12&gt;0,Skills!I12/Skills!H12,1)</f>
        <v/>
      </c>
      <c r="H1478">
        <f>1-(1-Skills!J12/100)^Skills!K12</f>
        <v/>
      </c>
      <c r="I1478" t="inlineStr">
        <is>
          <t>1</t>
        </is>
      </c>
      <c r="J1478">
        <f>((Inputs!$B$6*(1+Inputs!$B$7/100))+(((Inputs!$B$12*(1+Inputs!$B$13/100))-(Inputs!$B$12*(1+Inputs!$B$13/100)))+0.25*(Inputs!$B$14-Inputs!$B$14))*(1+Inputs!$B$7/100))*(F1478/100)</f>
        <v/>
      </c>
      <c r="K1478">
        <f>J1478*(1+((Inputs!$B$12*(1+Inputs!$B$13/100))*0.01+Inputs!$B$14*0.0025)/100)*(1+Inputs!$B$15/100)*(1+Inputs!$B$16/100)*(5000/(6000+Inputs!$B$42*(1-(Inputs!$B$19+0)/100)))*(1+(Inputs!$B$24+((C1492=TRUE)*(F1492-Calc!F26))+B1502)/100)*(1+(IF(Skills!A12="EIGHT_LEGS_EASTON",Inputs!$B$17+((C1489=TRUE)*(F1489-Calc!F23))+((C1493=TRUE)*(F1493-Calc!F27)),Inputs!$B$18+0))/100)*((1+(((C1483=TRUE)*F1483)+((C1490=TRUE)*(F1490-Calc!F24)))/100)*I1478)</f>
        <v/>
      </c>
      <c r="L1478">
        <f>K1478*(MIN(Inputs!$B$22+((C1488=TRUE)*(F1488-Calc!F22)),Inputs!$B$23+0)/100+(Inputs!$B$23+0)/100)/2</f>
        <v/>
      </c>
      <c r="M1478">
        <f>L1478*(1+(Inputs!$B$10+((C1491=TRUE)*(F1491-Calc!F25))+B1501)/100)</f>
        <v/>
      </c>
      <c r="N1478">
        <f>L1478*(1-MIN((Inputs!$B$9+((C1485=TRUE)*(F1485-Calc!F19))+B1496),100)/100)+M1478*(MIN((Inputs!$B$9+((C1485=TRUE)*(F1485-Calc!F19))+B1496),100)/100)</f>
        <v/>
      </c>
      <c r="O1478">
        <f>(1-Summary!$B$55)*T1478+Summary!$B$55*V1478</f>
        <v/>
      </c>
      <c r="P1478">
        <f>IF(B1506=0,0,O1478/B1506)</f>
        <v/>
      </c>
      <c r="Q1478">
        <f>IFERROR(1/IF(Inputs!$B$38="pvp",15,MAX(0.1,Skills!D12-IF(Skills!E12=TRUE,4.0,0))),0)</f>
        <v/>
      </c>
      <c r="R1478">
        <f>IF(AND(Inputs!$B$38&lt;&gt;"pvp",Inputs!$B$43&gt;0),IF(MAX(0,Inputs!$B$43-B1503)&lt;=0,0,(INT(MAX(0,Inputs!$B$43-B1503)/IF(Inputs!$B$38="pvp",15,MAX(0.1,Skills!D12-IF(Skills!E12=TRUE,4.0,0))))+1)),0)</f>
        <v/>
      </c>
      <c r="S1478">
        <f>IFERROR(O1478/N1478,0)</f>
        <v/>
      </c>
      <c r="T1478">
        <f>IF(C1478,(H1478*N1478*IF(AND(Inputs!$B$38&lt;&gt;"pvp",Inputs!$B$43&gt;0),((Skills!G12*((R1478-1)*IF(Skills!H12&gt;0,Skills!I12/Skills!H12,1)+IF(Skills!H12&gt;0,MIN(Skills!I12,MAX(0,MAX(0,Inputs!$B$43-B1503)-((R1478-1)*IF(Inputs!$B$38="pvp",15,MAX(0.1,Skills!D12-IF(Skills!E12=TRUE,4.0,0))))))/Skills!H12,1)))/Inputs!$B$43),G1478*Q1478))*IF(Inputs!$B$38="pvp",1,1+(Inputs!$B$20+0+Skills!P12)/100),0)</f>
        <v/>
      </c>
      <c r="V1478">
        <f>IF(C1478,(H1478*N1478*IF(AND(Inputs!$B$38&lt;&gt;"pvp",Inputs!$B$43&gt;0),((Skills!G12*((R1478-1)*IF(Skills!H12&gt;0,Skills!I12/Skills!H12,1)+IF(Skills!H12&gt;0,MIN(Skills!I12,MAX(0,MAX(0,Inputs!$B$43-B1503)-((R1478-1)*IF(Inputs!$B$38="pvp",15,MAX(0.1,Skills!D12-IF(Skills!E12=TRUE,4.0,0))))))/Skills!H12,1)))/Inputs!$B$43),G1478*Q1478))*IF(Inputs!$B$38="pvp",1,(1+(Inputs!$B$21+Skills!Q12)/100)*(MIN(Skills!R12,Inputs!$B$37))),0)</f>
        <v/>
      </c>
    </row>
    <row r="1479">
      <c r="A1479">
        <f>Skills!A13</f>
        <v/>
      </c>
      <c r="B1479">
        <f>Skills!B13</f>
        <v/>
      </c>
      <c r="C1479">
        <f>Inputs!$B$3&gt;=110</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Skills!G13*IF(Skills!H13&gt;0,Skills!I13/Skills!H13,1)</f>
        <v/>
      </c>
      <c r="H1479">
        <f>1-(1-Skills!J13/100)^Skills!K13</f>
        <v/>
      </c>
      <c r="I1479" t="inlineStr">
        <is>
          <t>1</t>
        </is>
      </c>
      <c r="J1479">
        <f>((Inputs!$B$6*(1+Inputs!$B$7/100))+(((Inputs!$B$12*(1+Inputs!$B$13/100))-(Inputs!$B$12*(1+Inputs!$B$13/100)))+0.25*(Inputs!$B$14-Inputs!$B$14))*(1+Inputs!$B$7/100))*(F1479/100)</f>
        <v/>
      </c>
      <c r="K1479">
        <f>J1479*(1+((Inputs!$B$12*(1+Inputs!$B$13/100))*0.01+Inputs!$B$14*0.0025)/100)*(1+Inputs!$B$15/100)*(1+Inputs!$B$16/100)*(5000/(6000+Inputs!$B$42*(1-(Inputs!$B$19+0)/100)))*(1+(Inputs!$B$24+((C1492=TRUE)*(F1492-Calc!F26))+B1502)/100)*(1+(IF(Skills!A13="EIGHT_LEGS_EASTON",Inputs!$B$17+((C1489=TRUE)*(F1489-Calc!F23))+((C1493=TRUE)*(F1493-Calc!F27)),Inputs!$B$18+0))/100)*((1+(((C1483=TRUE)*F1483)+((C1490=TRUE)*(F1490-Calc!F24)))/100)*I1479)</f>
        <v/>
      </c>
      <c r="L1479">
        <f>K1479*(MIN(Inputs!$B$22+((C1488=TRUE)*(F1488-Calc!F22)),Inputs!$B$23+0)/100+(Inputs!$B$23+0)/100)/2</f>
        <v/>
      </c>
      <c r="M1479">
        <f>L1479*(1+(Inputs!$B$10+((C1491=TRUE)*(F1491-Calc!F25))+B1501)/100)</f>
        <v/>
      </c>
      <c r="N1479">
        <f>L1479*(1-MIN((Inputs!$B$9+((C1485=TRUE)*(F1485-Calc!F19))+B1496),100)/100)+M1479*(MIN((Inputs!$B$9+((C1485=TRUE)*(F1485-Calc!F19))+B1496),100)/100)</f>
        <v/>
      </c>
      <c r="O1479">
        <f>(1-Summary!$B$55)*T1479+Summary!$B$55*V1479</f>
        <v/>
      </c>
      <c r="P1479">
        <f>IF(B1506=0,0,O1479/B1506)</f>
        <v/>
      </c>
      <c r="Q1479">
        <f>IFERROR(1/IF(Inputs!$B$38="pvp",15,MAX(0.1,Skills!D13-IF(Skills!E13=TRUE,4.0,0))),0)</f>
        <v/>
      </c>
      <c r="R1479">
        <f>IF(AND(Inputs!$B$38&lt;&gt;"pvp",Inputs!$B$43&gt;0),IF(MAX(0,Inputs!$B$43-B1503)&lt;=0,0,(INT(MAX(0,Inputs!$B$43-B1503)/IF(Inputs!$B$38="pvp",15,MAX(0.1,Skills!D13-IF(Skills!E13=TRUE,4.0,0))))+1)),0)</f>
        <v/>
      </c>
      <c r="S1479">
        <f>IFERROR(O1479/N1479,0)</f>
        <v/>
      </c>
      <c r="T1479">
        <f>IF(C1479,(H1479*N1479*IF(AND(Inputs!$B$38&lt;&gt;"pvp",Inputs!$B$43&gt;0),((Skills!G13*((R1479-1)*IF(Skills!H13&gt;0,Skills!I13/Skills!H13,1)+IF(Skills!H13&gt;0,MIN(Skills!I13,MAX(0,MAX(0,Inputs!$B$43-B1503)-((R1479-1)*IF(Inputs!$B$38="pvp",15,MAX(0.1,Skills!D13-IF(Skills!E13=TRUE,4.0,0))))))/Skills!H13,1)))/Inputs!$B$43),G1479*Q1479))*IF(Inputs!$B$38="pvp",1,1+(Inputs!$B$20+0+Skills!P13)/100),0)</f>
        <v/>
      </c>
      <c r="V1479">
        <f>IF(C1479,(H1479*N1479*IF(AND(Inputs!$B$38&lt;&gt;"pvp",Inputs!$B$43&gt;0),((Skills!G13*((R1479-1)*IF(Skills!H13&gt;0,Skills!I13/Skills!H13,1)+IF(Skills!H13&gt;0,MIN(Skills!I13,MAX(0,MAX(0,Inputs!$B$43-B1503)-((R1479-1)*IF(Inputs!$B$38="pvp",15,MAX(0.1,Skills!D13-IF(Skills!E13=TRUE,4.0,0))))))/Skills!H13,1)))/Inputs!$B$43),G1479*Q1479))*IF(Inputs!$B$38="pvp",1,(1+(Inputs!$B$21+Skills!Q13)/100)*(MIN(Skills!R13,Inputs!$B$37))),0)</f>
        <v/>
      </c>
    </row>
    <row r="1480">
      <c r="A1480">
        <f>Skills!A14</f>
        <v/>
      </c>
      <c r="B1480">
        <f>Skills!B14</f>
        <v/>
      </c>
      <c r="C1480">
        <f>Inputs!$B$3&gt;=125</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Skills!G14*IF(Skills!H14&gt;0,Skills!I14/Skills!H14,1)</f>
        <v/>
      </c>
      <c r="H1480">
        <f>1-(1-Skills!J14/100)^Skills!K14</f>
        <v/>
      </c>
      <c r="I1480" t="inlineStr">
        <is>
          <t>1</t>
        </is>
      </c>
      <c r="J1480">
        <f>((Inputs!$B$6*(1+Inputs!$B$7/100))+(((Inputs!$B$12*(1+Inputs!$B$13/100))-(Inputs!$B$12*(1+Inputs!$B$13/100)))+0.25*(Inputs!$B$14-Inputs!$B$14))*(1+Inputs!$B$7/100))*(F1480/100)</f>
        <v/>
      </c>
      <c r="K1480">
        <f>J1480*(1+((Inputs!$B$12*(1+Inputs!$B$13/100))*0.01+Inputs!$B$14*0.0025)/100)*(1+Inputs!$B$15/100)*(1+Inputs!$B$16/100)*(5000/(6000+Inputs!$B$42*(1-(Inputs!$B$19+0)/100)))*(1+(Inputs!$B$24+((C1492=TRUE)*(F1492-Calc!F26))+B1502)/100)*(1+(IF(Skills!A14="EIGHT_LEGS_EASTON",Inputs!$B$17+((C1489=TRUE)*(F1489-Calc!F23))+((C1493=TRUE)*(F1493-Calc!F27)),Inputs!$B$18+0))/100)*((1+(((C1483=TRUE)*F1483)+((C1490=TRUE)*(F1490-Calc!F24)))/100)*I1480)</f>
        <v/>
      </c>
      <c r="L1480">
        <f>K1480*(MIN(Inputs!$B$22+((C1488=TRUE)*(F1488-Calc!F22)),Inputs!$B$23+0)/100+(Inputs!$B$23+0)/100)/2</f>
        <v/>
      </c>
      <c r="M1480">
        <f>L1480*(1+(Inputs!$B$10+((C1491=TRUE)*(F1491-Calc!F25))+B1501)/100)</f>
        <v/>
      </c>
      <c r="N1480">
        <f>L1480*(1-MIN((Inputs!$B$9+((C1485=TRUE)*(F1485-Calc!F19))+B1496),100)/100)+M1480*(MIN((Inputs!$B$9+((C1485=TRUE)*(F1485-Calc!F19))+B1496),100)/100)</f>
        <v/>
      </c>
      <c r="O1480">
        <f>(1-Summary!$B$55)*T1480+Summary!$B$55*V1480</f>
        <v/>
      </c>
      <c r="P1480">
        <f>IF(B1506=0,0,O1480/B1506)</f>
        <v/>
      </c>
      <c r="Q1480" t="n">
        <v>0</v>
      </c>
      <c r="R1480" t="n">
        <v>0</v>
      </c>
      <c r="S1480">
        <f>IFERROR(O1480/N1480,0)</f>
        <v/>
      </c>
      <c r="T1480">
        <f>IF(C1480,(H1480*N1480*(B1500+IF(AND(Inputs!$B$38&lt;&gt;"pvp",Inputs!$B$43&gt;0),((Skills!G8*((R1474-1)*IF(Skills!H8&gt;0,Skills!I8/Skills!H8,1)+IF(Skills!H8&gt;0,MIN(Skills!I8,MAX(0,MAX(0,Inputs!$B$43-B1503)-((R1474-1)*IF(Inputs!$B$38="pvp",15,MAX(0.1,Skills!D8-IF(Skills!E8=TRUE,4.0,0))))))/Skills!H8,1)))/Inputs!$B$43),G1474*Q1474)+IF(AND(Inputs!$B$38&lt;&gt;"pvp",Inputs!$B$43&gt;0),((Skills!G11*((R1477-1)*IF(Skills!H11&gt;0,Skills!I11/Skills!H11,1)+IF(Skills!H11&gt;0,MIN(Skills!I11,MAX(0,MAX(0,Inputs!$B$43-B1503)-((R1477-1)*IF(Inputs!$B$38="pvp",15,MAX(0.1,Skills!D11-IF(Skills!E11=TRUE,4.0,0))))))/Skills!H11,1)))/Inputs!$B$43),G1477*Q1477)))*IF(Inputs!$B$38="pvp",1,1+(Inputs!$B$20+0+Skills!P14)/100),0)</f>
        <v/>
      </c>
      <c r="V1480">
        <f>IF(C1480,(H1480*N1480*(B1500+IF(AND(Inputs!$B$38&lt;&gt;"pvp",Inputs!$B$43&gt;0),((Skills!G8*((R1474-1)*IF(Skills!H8&gt;0,Skills!I8/Skills!H8,1)+IF(Skills!H8&gt;0,MIN(Skills!I8,MAX(0,MAX(0,Inputs!$B$43-B1503)-((R1474-1)*IF(Inputs!$B$38="pvp",15,MAX(0.1,Skills!D8-IF(Skills!E8=TRUE,4.0,0))))))/Skills!H8,1)))/Inputs!$B$43),G1474*Q1474)+IF(AND(Inputs!$B$38&lt;&gt;"pvp",Inputs!$B$43&gt;0),((Skills!G11*((R1477-1)*IF(Skills!H11&gt;0,Skills!I11/Skills!H11,1)+IF(Skills!H11&gt;0,MIN(Skills!I11,MAX(0,MAX(0,Inputs!$B$43-B1503)-((R1477-1)*IF(Inputs!$B$38="pvp",15,MAX(0.1,Skills!D11-IF(Skills!E11=TRUE,4.0,0))))))/Skills!H11,1)))/Inputs!$B$43),G1477*Q1477)))*IF(Inputs!$B$38="pvp",1,(1+(Inputs!$B$21+Skills!Q14)/100)*(MIN(Skills!R14,Inputs!$B$37))),0)</f>
        <v/>
      </c>
    </row>
    <row r="1481">
      <c r="A1481">
        <f>Skills!A15</f>
        <v/>
      </c>
      <c r="B1481">
        <f>Skills!B15</f>
        <v/>
      </c>
      <c r="C1481">
        <f>Inputs!$B$3&gt;=100</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t="inlineStr"/>
      <c r="H1481" t="inlineStr"/>
      <c r="I1481" t="inlineStr">
        <is>
          <t>1</t>
        </is>
      </c>
      <c r="J1481" t="inlineStr"/>
      <c r="K1481" t="inlineStr"/>
      <c r="L1481" t="inlineStr"/>
      <c r="M1481" t="inlineStr"/>
      <c r="N1481" t="inlineStr"/>
      <c r="O1481" t="inlineStr"/>
      <c r="P1481" t="inlineStr"/>
      <c r="Q1481" t="inlineStr"/>
      <c r="R1481" t="inlineStr"/>
      <c r="S1481" t="inlineStr"/>
    </row>
    <row r="1482">
      <c r="A1482">
        <f>Skills!A16</f>
        <v/>
      </c>
      <c r="B1482">
        <f>Skills!B16</f>
        <v/>
      </c>
      <c r="C1482">
        <f>Inputs!$B$3&gt;=120</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t="inlineStr"/>
      <c r="H1482" t="inlineStr"/>
      <c r="I1482" t="inlineStr">
        <is>
          <t>1</t>
        </is>
      </c>
      <c r="J1482" t="inlineStr"/>
      <c r="K1482" t="inlineStr"/>
      <c r="L1482" t="inlineStr"/>
      <c r="M1482" t="inlineStr"/>
      <c r="N1482" t="inlineStr"/>
      <c r="O1482" t="inlineStr"/>
      <c r="P1482" t="inlineStr"/>
      <c r="Q1482" t="inlineStr"/>
      <c r="R1482" t="inlineStr"/>
      <c r="S1482" t="inlineStr"/>
    </row>
    <row r="1483">
      <c r="A1483">
        <f>Skills!A17</f>
        <v/>
      </c>
      <c r="B1483">
        <f>Skills!B17</f>
        <v/>
      </c>
      <c r="C1483">
        <f>Inputs!$B$3&gt;=66</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Skills!G17*IF(Skills!H17&gt;0,Skills!I17/Skills!H17,1)</f>
        <v/>
      </c>
      <c r="H1483">
        <f>1-(1-Skills!J17/100)^Skills!K17</f>
        <v/>
      </c>
      <c r="I1483" t="inlineStr">
        <is>
          <t>1</t>
        </is>
      </c>
      <c r="J1483" t="inlineStr"/>
      <c r="K1483" t="inlineStr"/>
      <c r="L1483" t="inlineStr"/>
      <c r="M1483" t="inlineStr"/>
      <c r="N1483" t="inlineStr"/>
      <c r="O1483">
        <f>(1-Summary!$B$55)*T1483+Summary!$B$55*V1483</f>
        <v/>
      </c>
      <c r="P1483">
        <f>IF(B1506=0,0,O1483/B1506)</f>
        <v/>
      </c>
      <c r="Q1483" t="n">
        <v>0</v>
      </c>
      <c r="R1483" t="n">
        <v>0</v>
      </c>
      <c r="S1483">
        <f>IFERROR(O1483/N1483,0)</f>
        <v/>
      </c>
      <c r="T1483" t="n">
        <v>0</v>
      </c>
      <c r="V1483" t="n">
        <v>0</v>
      </c>
    </row>
    <row r="1484">
      <c r="A1484">
        <f>Skills!A18</f>
        <v/>
      </c>
      <c r="B1484">
        <f>Skills!B18</f>
        <v/>
      </c>
      <c r="C1484">
        <f>Inputs!$B$3&gt;=115</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Skills!G18*IF(Skills!H18&gt;0,Skills!I18/Skills!H18,1)</f>
        <v/>
      </c>
      <c r="H1484">
        <f>1-(1-Skills!J18/100)^Skills!K18</f>
        <v/>
      </c>
      <c r="I1484" t="inlineStr">
        <is>
          <t>1</t>
        </is>
      </c>
      <c r="J1484" t="inlineStr"/>
      <c r="K1484" t="inlineStr"/>
      <c r="L1484" t="inlineStr"/>
      <c r="M1484" t="inlineStr"/>
      <c r="N1484" t="inlineStr"/>
      <c r="O1484">
        <f>(1-Summary!$B$55)*T1484+Summary!$B$55*V1484</f>
        <v/>
      </c>
      <c r="P1484">
        <f>IF(B1506=0,0,O1484/B1506)</f>
        <v/>
      </c>
      <c r="Q1484" t="n">
        <v>0</v>
      </c>
      <c r="R1484" t="n">
        <v>0</v>
      </c>
      <c r="S1484">
        <f>IFERROR(O1484/N1484,0)</f>
        <v/>
      </c>
      <c r="T1484" t="n">
        <v>0</v>
      </c>
      <c r="V1484" t="n">
        <v>0</v>
      </c>
    </row>
    <row r="1485">
      <c r="A1485">
        <f>Skills!A19</f>
        <v/>
      </c>
      <c r="B1485">
        <f>Skills!B19</f>
        <v/>
      </c>
      <c r="C1485">
        <f>Inputs!$B$3&gt;=15</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Skills!G19*IF(Skills!H19&gt;0,Skills!I19/Skills!H19,1)</f>
        <v/>
      </c>
      <c r="H1485">
        <f>1-(1-Skills!J19/100)^Skills!K19</f>
        <v/>
      </c>
      <c r="I1485" t="inlineStr">
        <is>
          <t>1</t>
        </is>
      </c>
      <c r="J1485" t="inlineStr"/>
      <c r="K1485" t="inlineStr"/>
      <c r="L1485" t="inlineStr"/>
      <c r="M1485" t="inlineStr"/>
      <c r="N1485" t="inlineStr"/>
      <c r="O1485">
        <f>(1-Summary!$B$55)*T1485+Summary!$B$55*V1485</f>
        <v/>
      </c>
      <c r="P1485">
        <f>IF(B1506=0,0,O1485/B1506)</f>
        <v/>
      </c>
      <c r="Q1485" t="n">
        <v>0</v>
      </c>
      <c r="R1485" t="n">
        <v>0</v>
      </c>
      <c r="S1485">
        <f>IFERROR(O1485/N1485,0)</f>
        <v/>
      </c>
      <c r="T1485" t="n">
        <v>0</v>
      </c>
      <c r="V1485" t="n">
        <v>0</v>
      </c>
    </row>
    <row r="1486">
      <c r="A1486">
        <f>Skills!A20</f>
        <v/>
      </c>
      <c r="B1486">
        <f>Skills!B20</f>
        <v/>
      </c>
      <c r="C1486">
        <f>Inputs!$B$3&gt;=10</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Skills!G20*IF(Skills!H20&gt;0,Skills!I20/Skills!H20,1)</f>
        <v/>
      </c>
      <c r="H1486">
        <f>1-(1-Skills!J20/100)^Skills!K20</f>
        <v/>
      </c>
      <c r="I1486" t="inlineStr">
        <is>
          <t>1</t>
        </is>
      </c>
      <c r="J1486" t="inlineStr"/>
      <c r="K1486" t="inlineStr"/>
      <c r="L1486" t="inlineStr"/>
      <c r="M1486" t="inlineStr"/>
      <c r="N1486" t="inlineStr"/>
      <c r="O1486">
        <f>(1-Summary!$B$55)*T1486+Summary!$B$55*V1486</f>
        <v/>
      </c>
      <c r="P1486">
        <f>IF(B1506=0,0,O1486/B1506)</f>
        <v/>
      </c>
      <c r="Q1486" t="n">
        <v>0</v>
      </c>
      <c r="R1486" t="n">
        <v>0</v>
      </c>
      <c r="S1486">
        <f>IFERROR(O1486/N1486,0)</f>
        <v/>
      </c>
      <c r="T1486" t="n">
        <v>0</v>
      </c>
      <c r="V1486" t="n">
        <v>0</v>
      </c>
    </row>
    <row r="1487">
      <c r="A1487">
        <f>Skills!A21</f>
        <v/>
      </c>
      <c r="B1487">
        <f>Skills!B21</f>
        <v/>
      </c>
      <c r="C1487">
        <f>Inputs!$B$3&gt;=33</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Skills!G21*IF(Skills!H21&gt;0,Skills!I21/Skills!H21,1)</f>
        <v/>
      </c>
      <c r="H1487">
        <f>1-(1-Skills!J21/100)^Skills!K21</f>
        <v/>
      </c>
      <c r="I1487" t="inlineStr">
        <is>
          <t>1</t>
        </is>
      </c>
      <c r="J1487" t="inlineStr"/>
      <c r="K1487" t="inlineStr"/>
      <c r="L1487" t="inlineStr"/>
      <c r="M1487" t="inlineStr"/>
      <c r="N1487" t="inlineStr"/>
      <c r="O1487">
        <f>(1-Summary!$B$55)*T1487+Summary!$B$55*V1487</f>
        <v/>
      </c>
      <c r="P1487">
        <f>IF(B1506=0,0,O1487/B1506)</f>
        <v/>
      </c>
      <c r="Q1487" t="n">
        <v>0</v>
      </c>
      <c r="R1487" t="n">
        <v>0</v>
      </c>
      <c r="S1487">
        <f>IFERROR(O1487/N1487,0)</f>
        <v/>
      </c>
      <c r="T1487" t="n">
        <v>0</v>
      </c>
      <c r="V1487" t="n">
        <v>0</v>
      </c>
    </row>
    <row r="1488">
      <c r="A1488">
        <f>Skills!A22</f>
        <v/>
      </c>
      <c r="B1488">
        <f>Skills!B22</f>
        <v/>
      </c>
      <c r="C1488">
        <f>Inputs!$B$3&gt;=43</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Skills!G22*IF(Skills!H22&gt;0,Skills!I22/Skills!H22,1)</f>
        <v/>
      </c>
      <c r="H1488">
        <f>1-(1-Skills!J22/100)^Skills!K22</f>
        <v/>
      </c>
      <c r="I1488" t="inlineStr">
        <is>
          <t>1</t>
        </is>
      </c>
      <c r="J1488" t="inlineStr"/>
      <c r="K1488" t="inlineStr"/>
      <c r="L1488" t="inlineStr"/>
      <c r="M1488" t="inlineStr"/>
      <c r="N1488" t="inlineStr"/>
      <c r="O1488">
        <f>(1-Summary!$B$55)*T1488+Summary!$B$55*V1488</f>
        <v/>
      </c>
      <c r="P1488">
        <f>IF(B1506=0,0,O1488/B1506)</f>
        <v/>
      </c>
      <c r="Q1488" t="n">
        <v>0</v>
      </c>
      <c r="R1488" t="n">
        <v>0</v>
      </c>
      <c r="S1488">
        <f>IFERROR(O1488/N1488,0)</f>
        <v/>
      </c>
      <c r="T1488" t="n">
        <v>0</v>
      </c>
      <c r="V1488" t="n">
        <v>0</v>
      </c>
    </row>
    <row r="1489">
      <c r="A1489">
        <f>Skills!A23</f>
        <v/>
      </c>
      <c r="B1489">
        <f>Skills!B23</f>
        <v/>
      </c>
      <c r="C1489">
        <f>Inputs!$B$3&gt;=38</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Skills!G23*IF(Skills!H23&gt;0,Skills!I23/Skills!H23,1)</f>
        <v/>
      </c>
      <c r="H1489">
        <f>1-(1-Skills!J23/100)^Skills!K23</f>
        <v/>
      </c>
      <c r="I1489" t="inlineStr">
        <is>
          <t>1</t>
        </is>
      </c>
      <c r="J1489" t="inlineStr"/>
      <c r="K1489" t="inlineStr"/>
      <c r="L1489" t="inlineStr"/>
      <c r="M1489" t="inlineStr"/>
      <c r="N1489" t="inlineStr"/>
      <c r="O1489">
        <f>(1-Summary!$B$55)*T1489+Summary!$B$55*V1489</f>
        <v/>
      </c>
      <c r="P1489">
        <f>IF(B1506=0,0,O1489/B1506)</f>
        <v/>
      </c>
      <c r="Q1489" t="n">
        <v>0</v>
      </c>
      <c r="R1489" t="n">
        <v>0</v>
      </c>
      <c r="S1489">
        <f>IFERROR(O1489/N1489,0)</f>
        <v/>
      </c>
      <c r="T1489" t="n">
        <v>0</v>
      </c>
      <c r="V1489" t="n">
        <v>0</v>
      </c>
    </row>
    <row r="1490">
      <c r="A1490">
        <f>Skills!A24</f>
        <v/>
      </c>
      <c r="B1490">
        <f>Skills!B24</f>
        <v/>
      </c>
      <c r="C1490">
        <f>Inputs!$B$3&gt;=40</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Skills!G24*IF(Skills!H24&gt;0,Skills!I24/Skills!H24,1)</f>
        <v/>
      </c>
      <c r="H1490">
        <f>1-(1-Skills!J24/100)^Skills!K24</f>
        <v/>
      </c>
      <c r="I1490" t="inlineStr">
        <is>
          <t>1</t>
        </is>
      </c>
      <c r="J1490" t="inlineStr"/>
      <c r="K1490" t="inlineStr"/>
      <c r="L1490" t="inlineStr"/>
      <c r="M1490" t="inlineStr"/>
      <c r="N1490" t="inlineStr"/>
      <c r="O1490">
        <f>(1-Summary!$B$55)*T1490+Summary!$B$55*V1490</f>
        <v/>
      </c>
      <c r="P1490">
        <f>IF(B1506=0,0,O1490/B1506)</f>
        <v/>
      </c>
      <c r="Q1490" t="n">
        <v>0</v>
      </c>
      <c r="R1490" t="n">
        <v>0</v>
      </c>
      <c r="S1490">
        <f>IFERROR(O1490/N1490,0)</f>
        <v/>
      </c>
      <c r="T1490" t="n">
        <v>0</v>
      </c>
      <c r="V1490" t="n">
        <v>0</v>
      </c>
    </row>
    <row r="1491">
      <c r="A1491">
        <f>Skills!A25</f>
        <v/>
      </c>
      <c r="B1491">
        <f>Skills!B25</f>
        <v/>
      </c>
      <c r="C1491">
        <f>Inputs!$B$3&gt;=72</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f>Skills!G25*IF(Skills!H25&gt;0,Skills!I25/Skills!H25,1)</f>
        <v/>
      </c>
      <c r="H1491">
        <f>1-(1-Skills!J25/100)^Skills!K25</f>
        <v/>
      </c>
      <c r="I1491" t="inlineStr">
        <is>
          <t>1</t>
        </is>
      </c>
      <c r="J1491" t="inlineStr"/>
      <c r="K1491" t="inlineStr"/>
      <c r="L1491" t="inlineStr"/>
      <c r="M1491" t="inlineStr"/>
      <c r="N1491" t="inlineStr"/>
      <c r="O1491">
        <f>(1-Summary!$B$55)*T1491+Summary!$B$55*V1491</f>
        <v/>
      </c>
      <c r="P1491">
        <f>IF(B1506=0,0,O1491/B1506)</f>
        <v/>
      </c>
      <c r="Q1491" t="n">
        <v>0</v>
      </c>
      <c r="R1491" t="n">
        <v>0</v>
      </c>
      <c r="S1491">
        <f>IFERROR(O1491/N1491,0)</f>
        <v/>
      </c>
      <c r="T1491" t="n">
        <v>0</v>
      </c>
      <c r="V1491" t="n">
        <v>0</v>
      </c>
    </row>
    <row r="1492">
      <c r="A1492">
        <f>Skills!A26</f>
        <v/>
      </c>
      <c r="B1492">
        <f>Skills!B26</f>
        <v/>
      </c>
      <c r="C1492">
        <f>Inputs!$B$3&gt;=75</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f>Skills!G26*IF(Skills!H26&gt;0,Skills!I26/Skills!H26,1)</f>
        <v/>
      </c>
      <c r="H1492">
        <f>1-(1-Skills!J26/100)^Skills!K26</f>
        <v/>
      </c>
      <c r="I1492" t="inlineStr">
        <is>
          <t>1</t>
        </is>
      </c>
      <c r="J1492" t="inlineStr"/>
      <c r="K1492" t="inlineStr"/>
      <c r="L1492" t="inlineStr"/>
      <c r="M1492" t="inlineStr"/>
      <c r="N1492" t="inlineStr"/>
      <c r="O1492">
        <f>(1-Summary!$B$55)*T1492+Summary!$B$55*V1492</f>
        <v/>
      </c>
      <c r="P1492">
        <f>IF(B1506=0,0,O1492/B1506)</f>
        <v/>
      </c>
      <c r="Q1492" t="n">
        <v>0</v>
      </c>
      <c r="R1492" t="n">
        <v>0</v>
      </c>
      <c r="S1492">
        <f>IFERROR(O1492/N1492,0)</f>
        <v/>
      </c>
      <c r="T1492" t="n">
        <v>0</v>
      </c>
      <c r="V1492" t="n">
        <v>0</v>
      </c>
    </row>
    <row r="1493">
      <c r="A1493">
        <f>Skills!A27</f>
        <v/>
      </c>
      <c r="B1493">
        <f>Skills!B27</f>
        <v/>
      </c>
      <c r="C1493">
        <f>Inputs!$B$3&gt;=117</f>
        <v/>
      </c>
      <c r="D1493">
        <f>IF(Skills!C27=1,60+Inputs!$B$25+Inputs!$B$29,IF(Skills!C27=2,90+Inputs!$B$26+Inputs!$B$29,IF(Skills!C27=3,120+Inputs!$B$27+Inputs!$B$29,MAX(0,(Inputs!$B$3-100)*3)+Inputs!$B$28+Inputs!$B$29)))</f>
        <v/>
      </c>
      <c r="E1493">
        <f>INDEX(FactorTable!$B$2:$Y$301, MATCH(ROUND(MIN(300,MAX(1,D1493)),0), FactorTable!$A$2:$A$301,0), Skills!M27+1)</f>
        <v/>
      </c>
      <c r="F1493">
        <f>IF(Skills!N27=TRUE,(Skills!L27/10)*(E1493/1000),Skills!L27/10)+Skills!O27</f>
        <v/>
      </c>
      <c r="G1493">
        <f>Skills!G27*IF(Skills!H27&gt;0,Skills!I27/Skills!H27,1)</f>
        <v/>
      </c>
      <c r="H1493">
        <f>1-(1-Skills!J27/100)^Skills!K27</f>
        <v/>
      </c>
      <c r="I1493" t="inlineStr">
        <is>
          <t>1</t>
        </is>
      </c>
      <c r="J1493" t="inlineStr"/>
      <c r="K1493" t="inlineStr"/>
      <c r="L1493" t="inlineStr"/>
      <c r="M1493" t="inlineStr"/>
      <c r="N1493" t="inlineStr"/>
      <c r="O1493">
        <f>(1-Summary!$B$55)*T1493+Summary!$B$55*V1493</f>
        <v/>
      </c>
      <c r="P1493">
        <f>IF(B1506=0,0,O1493/B1506)</f>
        <v/>
      </c>
      <c r="Q1493" t="n">
        <v>0</v>
      </c>
      <c r="R1493" t="n">
        <v>0</v>
      </c>
      <c r="S1493">
        <f>IFERROR(O1493/N1493,0)</f>
        <v/>
      </c>
      <c r="T1493" t="n">
        <v>0</v>
      </c>
      <c r="V1493" t="n">
        <v>0</v>
      </c>
    </row>
    <row r="1495">
      <c r="A1495" t="inlineStr">
        <is>
          <t>Attack% Bucket Multiplier</t>
        </is>
      </c>
      <c r="B1495">
        <f>(1+(((C1483=TRUE)*F1483)+((C1490=TRUE)*(F1490-Calc!F24)))/100)</f>
        <v/>
      </c>
    </row>
    <row r="1496">
      <c r="A1496" t="inlineStr">
        <is>
          <t>Global Crit Rate Bonus %</t>
        </is>
      </c>
      <c r="B1496" t="n">
        <v>0</v>
      </c>
    </row>
    <row r="1497">
      <c r="A1497" t="inlineStr">
        <is>
          <t>Attack Speed Buff Bonus % (unused)</t>
        </is>
      </c>
      <c r="B1497" t="n">
        <v>0</v>
      </c>
    </row>
    <row r="1498">
      <c r="A1498" t="inlineStr">
        <is>
          <t>Actions Per Second</t>
        </is>
      </c>
      <c r="B1498">
        <f>1+MIN(150,150*(1-(1-(Inputs!$B$11+((C1486=TRUE)*(F1486-Calc!F20))+((C1487=TRUE)*(F1487-Calc!F21)))/150)*(1-B1497/150)))/100</f>
        <v/>
      </c>
    </row>
    <row r="1499">
      <c r="A1499" t="inlineStr">
        <is>
          <t>Skill + Buff Cast Rate</t>
        </is>
      </c>
      <c r="B1499">
        <f>IF(AND(Inputs!$B$38&lt;&gt;"pvp",Inputs!$B$43&gt;0),SUMPRODUCT((Skills!E2:E27=TRUE)*(C1468:C1493=TRUE)*R1468:R1493*Skills!F2:F27)/Inputs!$B$43,SUMPRODUCT((Skills!E2:E27=TRUE)*(C1468:C1493=TRUE)*Q1468:Q1493*Skills!F2:F27))</f>
        <v/>
      </c>
    </row>
    <row r="1500">
      <c r="A1500" t="inlineStr">
        <is>
          <t>Eight-Legs Easton Casts Per Second</t>
        </is>
      </c>
      <c r="B1500">
        <f>MAX(0,B1498-B1499)</f>
        <v/>
      </c>
    </row>
    <row r="1501">
      <c r="A1501" t="inlineStr">
        <is>
          <t>Global Critical Damage Bonus % (unused)</t>
        </is>
      </c>
      <c r="B1501" t="n">
        <v>0</v>
      </c>
    </row>
    <row r="1502">
      <c r="A1502" t="inlineStr">
        <is>
          <t>Global Final Damage Bonus % (Jolly Roger only)</t>
        </is>
      </c>
      <c r="B1502">
        <f>((C1484=TRUE)*F1484)</f>
        <v/>
      </c>
    </row>
    <row r="1503">
      <c r="A1503" t="inlineStr">
        <is>
          <t>Buff-Casting Startup Delay (s, fixed-duration only)</t>
        </is>
      </c>
      <c r="B1503">
        <f>IF(AND(Inputs!$B$38&lt;&gt;"pvp",Inputs!$B$43&gt;0),SUMPRODUCT((Skills!T2:T27&gt;0)*(Skills!E2:E27=TRUE)*(C1468:C1493=TRUE))/B1498,0)</f>
        <v/>
      </c>
    </row>
    <row r="1504">
      <c r="A1504" t="inlineStr">
        <is>
          <t>Boss-Only Total DPS (this block's swept value)</t>
        </is>
      </c>
      <c r="B1504">
        <f>SUM(T1468:T1493)</f>
        <v/>
      </c>
    </row>
    <row r="1505">
      <c r="A1505" t="inlineStr">
        <is>
          <t>Normal-Only Total DPS (this block's swept value)</t>
        </is>
      </c>
      <c r="B1505">
        <f>SUM(V1468:V1493)</f>
        <v/>
      </c>
    </row>
    <row r="1506">
      <c r="A1506" s="5" t="inlineStr">
        <is>
          <t>TOTAL DPS</t>
        </is>
      </c>
      <c r="B1506" s="5">
        <f>SUM(O1468:O1493)</f>
        <v/>
      </c>
    </row>
    <row r="1509">
      <c r="A1509" s="5" t="inlineStr">
        <is>
          <t>Stat: CDR = 4.5s</t>
        </is>
      </c>
    </row>
    <row r="1510">
      <c r="A1510" s="9" t="inlineStr">
        <is>
          <t>Key</t>
        </is>
      </c>
      <c r="B1510" s="9" t="inlineStr">
        <is>
          <t>Name</t>
        </is>
      </c>
      <c r="C1510" s="9" t="inlineStr">
        <is>
          <t>Unlocked</t>
        </is>
      </c>
      <c r="D1510" s="9" t="inlineStr">
        <is>
          <t>InputLevel</t>
        </is>
      </c>
      <c r="E1510" s="9" t="inlineStr">
        <is>
          <t>Factor</t>
        </is>
      </c>
      <c r="F1510" s="9" t="inlineStr">
        <is>
          <t>CoefficientPercent</t>
        </is>
      </c>
      <c r="G1510" s="9" t="inlineStr">
        <is>
          <t>EffectiveHits</t>
        </is>
      </c>
      <c r="H1510" s="9" t="inlineStr">
        <is>
          <t>ProcProbability</t>
        </is>
      </c>
      <c r="I1510" s="9" t="inlineStr">
        <is>
          <t>MapleHeroMultiplier</t>
        </is>
      </c>
      <c r="J1510" s="9" t="inlineStr">
        <is>
          <t>BaseDamage</t>
        </is>
      </c>
      <c r="K1510" s="9" t="inlineStr">
        <is>
          <t>BaseHitDamage</t>
        </is>
      </c>
      <c r="L1510" s="9" t="inlineStr">
        <is>
          <t>NonCritAvg</t>
        </is>
      </c>
      <c r="M1510" s="9" t="inlineStr">
        <is>
          <t>CritAvg</t>
        </is>
      </c>
      <c r="N1510" s="9" t="inlineStr">
        <is>
          <t>ExpectedDamage(perHit)</t>
        </is>
      </c>
      <c r="O1510" s="9" t="inlineStr">
        <is>
          <t>DPS</t>
        </is>
      </c>
      <c r="P1510" s="9" t="inlineStr">
        <is>
          <t>% of Total</t>
        </is>
      </c>
      <c r="Q1510" s="9" t="inlineStr">
        <is>
          <t>InvCooldown</t>
        </is>
      </c>
      <c r="R1510" s="9" t="inlineStr">
        <is>
          <t>CastsInFight</t>
        </is>
      </c>
      <c r="S1510" s="9" t="inlineStr">
        <is>
          <t>HitRate(perSec)</t>
        </is>
      </c>
      <c r="U1510" t="inlineStr">
        <is>
          <t>helpers</t>
        </is>
      </c>
    </row>
    <row r="1511">
      <c r="A1511">
        <f>Skills!A2</f>
        <v/>
      </c>
      <c r="B1511">
        <f>Skills!B2</f>
        <v/>
      </c>
      <c r="C1511">
        <f>Inputs!$B$3&gt;=100</f>
        <v/>
      </c>
      <c r="D1511" t="inlineStr"/>
      <c r="E1511" t="inlineStr"/>
      <c r="F1511">
        <f>U1513+Skills!O2</f>
        <v/>
      </c>
      <c r="G1511">
        <f>Skills!G2*IF(Skills!H2&gt;0,Skills!I2/Skills!H2,1)</f>
        <v/>
      </c>
      <c r="H1511">
        <f>1-(1-Skills!J2/100)^Skills!K2</f>
        <v/>
      </c>
      <c r="I1511" t="inlineStr">
        <is>
          <t>1</t>
        </is>
      </c>
      <c r="J1511">
        <f>((Inputs!$B$6*(1+Inputs!$B$7/100))+(((Inputs!$B$12*(1+Inputs!$B$13/100))-(Inputs!$B$12*(1+Inputs!$B$13/100)))+0.25*(Inputs!$B$14-Inputs!$B$14))*(1+Inputs!$B$7/100))*(F1511/100)</f>
        <v/>
      </c>
      <c r="K1511">
        <f>J1511*(1+((Inputs!$B$12*(1+Inputs!$B$13/100))*0.01+Inputs!$B$14*0.0025)/100)*(1+Inputs!$B$15/100)*(1+Inputs!$B$16/100)*(5000/(6000+Inputs!$B$42*(1-(Inputs!$B$19+0)/100)))*(1+(Inputs!$B$24+((C1535=TRUE)*(F1535-Calc!F26))+B1545)/100)*(1+(IF(Skills!A2="EIGHT_LEGS_EASTON",Inputs!$B$17+((C1532=TRUE)*(F1532-Calc!F23))+((C1536=TRUE)*(F1536-Calc!F27)),Inputs!$B$18+0))/100)*((1+(((C1526=TRUE)*F1526)+((C1533=TRUE)*(F1533-Calc!F24)))/100)*I1511)</f>
        <v/>
      </c>
      <c r="L1511">
        <f>K1511*(MIN(Inputs!$B$22+((C1531=TRUE)*(F1531-Calc!F22)),Inputs!$B$23+0)/100+(Inputs!$B$23+0)/100)/2</f>
        <v/>
      </c>
      <c r="M1511">
        <f>L1511*(1+(Inputs!$B$10+((C1534=TRUE)*(F1534-Calc!F25))+B1544)/100)</f>
        <v/>
      </c>
      <c r="N1511">
        <f>L1511*(1-MIN((Inputs!$B$9+((C1528=TRUE)*(F1528-Calc!F19))+B1539),100)/100)+M1511*(MIN((Inputs!$B$9+((C1528=TRUE)*(F1528-Calc!F19))+B1539),100)/100)</f>
        <v/>
      </c>
      <c r="O1511">
        <f>(1-Summary!$B$55)*T1511+Summary!$B$55*V1511</f>
        <v/>
      </c>
      <c r="P1511">
        <f>IF(B1549=0,0,O1511/B1549)</f>
        <v/>
      </c>
      <c r="Q1511" t="n">
        <v>0</v>
      </c>
      <c r="R1511" t="n">
        <v>0</v>
      </c>
      <c r="S1511">
        <f>IFERROR(O1511/N1511,0)</f>
        <v/>
      </c>
      <c r="T1511">
        <f>IF(C1511,(Skills!G2*N1511*B1543)*IF(Inputs!$B$38="pvp",1,1+(Inputs!$B$20+0+Skills!P2)/100),0)</f>
        <v/>
      </c>
      <c r="U1511">
        <f>MAX(0,(Inputs!$B$3-100)*3)+Inputs!$B$28+Inputs!$B$29</f>
        <v/>
      </c>
      <c r="V1511">
        <f>IF(C1511,(Skills!G2*N1511*B1543)*IF(Inputs!$B$38="pvp",1,(1+(Inputs!$B$21+Skills!Q2)/100)*(MIN((6+Inputs!$B$33),Inputs!$B$37))),0)</f>
        <v/>
      </c>
    </row>
    <row r="1512">
      <c r="A1512">
        <f>Skills!A3</f>
        <v/>
      </c>
      <c r="B1512">
        <f>Skills!B3</f>
        <v/>
      </c>
      <c r="C1512">
        <f>Inputs!$B$3&gt;=35</f>
        <v/>
      </c>
      <c r="D1512">
        <f>IF(Skills!C3=1,60+Inputs!$B$25+Inputs!$B$29,IF(Skills!C3=2,90+Inputs!$B$26+Inputs!$B$29,IF(Skills!C3=3,120+Inputs!$B$27+Inputs!$B$29,MAX(0,(Inputs!$B$3-100)*3)+Inputs!$B$28+Inputs!$B$29)))</f>
        <v/>
      </c>
      <c r="E1512">
        <f>INDEX(FactorTable!$B$2:$Y$301, MATCH(ROUND(MIN(300,MAX(1,D1512)),0), FactorTable!$A$2:$A$301,0), Skills!M3+1)</f>
        <v/>
      </c>
      <c r="F1512">
        <f>IF(Skills!N3=TRUE,(Skills!L3/10)*(E1512/1000),Skills!L3/10)+Skills!O3</f>
        <v/>
      </c>
      <c r="G1512">
        <f>Skills!G3*IF(Skills!H3&gt;0,Skills!I3/Skills!H3,1)</f>
        <v/>
      </c>
      <c r="H1512">
        <f>1-(1-Skills!J3/100)^Skills!K3</f>
        <v/>
      </c>
      <c r="I1512" t="inlineStr">
        <is>
          <t>1</t>
        </is>
      </c>
      <c r="J1512">
        <f>((Inputs!$B$6*(1+Inputs!$B$7/100))+(((Inputs!$B$12*(1+Inputs!$B$13/100))-(Inputs!$B$12*(1+Inputs!$B$13/100)))+0.25*(Inputs!$B$14-Inputs!$B$14))*(1+Inputs!$B$7/100))*(F1512/100)</f>
        <v/>
      </c>
      <c r="K1512">
        <f>J1512*(1+((Inputs!$B$12*(1+Inputs!$B$13/100))*0.01+Inputs!$B$14*0.0025)/100)*(1+Inputs!$B$15/100)*(1+Inputs!$B$16/100)*(5000/(6000+Inputs!$B$42*(1-(Inputs!$B$19+0)/100)))*(1+(Inputs!$B$24+((C1535=TRUE)*(F1535-Calc!F26))+B1545)/100)*(1+4.0*IF(C1524=TRUE,F1524,0)/100)*(1+(IF(Skills!A3="EIGHT_LEGS_EASTON",Inputs!$B$17+((C1532=TRUE)*(F1532-Calc!F23))+((C1536=TRUE)*(F1536-Calc!F27)),Inputs!$B$18+0))/100)*((1+(((C1526=TRUE)*F1526)+((C1533=TRUE)*(F1533-Calc!F24)))/100)*I1512)</f>
        <v/>
      </c>
      <c r="L1512">
        <f>K1512*(MIN(Inputs!$B$22+((C1531=TRUE)*(F1531-Calc!F22)),Inputs!$B$23+0)/100+(Inputs!$B$23+0)/100)/2</f>
        <v/>
      </c>
      <c r="M1512">
        <f>L1512*(1+(Inputs!$B$10+((C1534=TRUE)*(F1534-Calc!F25))+B1544)/100)</f>
        <v/>
      </c>
      <c r="N1512">
        <f>L1512*(1-MIN((Inputs!$B$9+((C1528=TRUE)*(F1528-Calc!F19))+B1539),100)/100)+M1512*(MIN((Inputs!$B$9+((C1528=TRUE)*(F1528-Calc!F19))+B1539),100)/100)</f>
        <v/>
      </c>
      <c r="O1512">
        <f>(1-Summary!$B$55)*T1512+Summary!$B$55*V1512</f>
        <v/>
      </c>
      <c r="P1512">
        <f>IF(B1549=0,0,O1512/B1549)</f>
        <v/>
      </c>
      <c r="Q1512">
        <f>IFERROR(1/IF(Inputs!$B$38="pvp",15,MAX(0.1,Skills!D3-IF(Skills!E3=TRUE,4.5,0))),0)</f>
        <v/>
      </c>
      <c r="R1512">
        <f>IF(AND(Inputs!$B$38&lt;&gt;"pvp",Inputs!$B$43&gt;0),IF(MAX(0,Inputs!$B$43-B1546)&lt;=0,0,(INT(MAX(0,Inputs!$B$43-B1546)/IF(Inputs!$B$38="pvp",15,MAX(0.1,Skills!D3-IF(Skills!E3=TRUE,4.5,0))))+1)),0)</f>
        <v/>
      </c>
      <c r="S1512">
        <f>IFERROR(O1512/N1512,0)</f>
        <v/>
      </c>
      <c r="T1512">
        <f>IF(C1512,(H1512*N1512*IF(AND(Inputs!$B$38&lt;&gt;"pvp",Inputs!$B$43&gt;0),((Skills!G3*((R1512-1)*IF(Skills!H3&gt;0,Skills!I3/Skills!H3,1)+IF(Skills!H3&gt;0,MIN(Skills!I3,MAX(0,MAX(0,Inputs!$B$43-B1546)-((R1512-1)*IF(Inputs!$B$38="pvp",15,MAX(0.1,Skills!D3-IF(Skills!E3=TRUE,4.5,0))))))/Skills!H3,1)))/Inputs!$B$43),G1512*Q1512))*IF(Inputs!$B$38="pvp",1,1+(Inputs!$B$20+0+Skills!P3)/100),0)</f>
        <v/>
      </c>
      <c r="U1512">
        <f>INDEX(FactorTable!$B$2:$Y$301, MATCH(ROUND(MIN(300,MAX(1,U1511)),0), FactorTable!$A$2:$A$301,0), 22)</f>
        <v/>
      </c>
      <c r="V1512">
        <f>IF(C1512,(H1512*N1512*IF(AND(Inputs!$B$38&lt;&gt;"pvp",Inputs!$B$43&gt;0),((Skills!G3*((R1512-1)*IF(Skills!H3&gt;0,Skills!I3/Skills!H3,1)+IF(Skills!H3&gt;0,MIN(Skills!I3,MAX(0,MAX(0,Inputs!$B$43-B1546)-((R1512-1)*IF(Inputs!$B$38="pvp",15,MAX(0.1,Skills!D3-IF(Skills!E3=TRUE,4.5,0))))))/Skills!H3,1)))/Inputs!$B$43),G1512*Q1512))*IF(Inputs!$B$38="pvp",1,(1+(Inputs!$B$21+Skills!Q3)/100)*(MIN(Skills!R3,Inputs!$B$37))),0)</f>
        <v/>
      </c>
    </row>
    <row r="1513">
      <c r="A1513">
        <f>Skills!A4</f>
        <v/>
      </c>
      <c r="B1513">
        <f>Skills!B4</f>
        <v/>
      </c>
      <c r="C1513">
        <f>Inputs!$B$3&gt;=40</f>
        <v/>
      </c>
      <c r="D1513">
        <f>IF(Skills!C4=1,60+Inputs!$B$25+Inputs!$B$29,IF(Skills!C4=2,90+Inputs!$B$26+Inputs!$B$29,IF(Skills!C4=3,120+Inputs!$B$27+Inputs!$B$29,MAX(0,(Inputs!$B$3-100)*3)+Inputs!$B$28+Inputs!$B$29)))</f>
        <v/>
      </c>
      <c r="E1513">
        <f>INDEX(FactorTable!$B$2:$Y$301, MATCH(ROUND(MIN(300,MAX(1,D1513)),0), FactorTable!$A$2:$A$301,0), Skills!M4+1)</f>
        <v/>
      </c>
      <c r="F1513">
        <f>IF(Skills!N4=TRUE,(Skills!L4/10)*(E1513/1000),Skills!L4/10)+Skills!O4</f>
        <v/>
      </c>
      <c r="G1513">
        <f>Skills!G4*IF(Skills!H4&gt;0,Skills!I4/Skills!H4,1)</f>
        <v/>
      </c>
      <c r="H1513">
        <f>1-(1-Skills!J4/100)^Skills!K4</f>
        <v/>
      </c>
      <c r="I1513" t="inlineStr">
        <is>
          <t>1</t>
        </is>
      </c>
      <c r="J1513">
        <f>((Inputs!$B$6*(1+Inputs!$B$7/100))+(((Inputs!$B$12*(1+Inputs!$B$13/100))-(Inputs!$B$12*(1+Inputs!$B$13/100)))+0.25*(Inputs!$B$14-Inputs!$B$14))*(1+Inputs!$B$7/100))*(F1513/100)</f>
        <v/>
      </c>
      <c r="K1513">
        <f>J1513*(1+((Inputs!$B$12*(1+Inputs!$B$13/100))*0.01+Inputs!$B$14*0.0025)/100)*(1+Inputs!$B$15/100)*(1+Inputs!$B$16/100)*(5000/(6000+Inputs!$B$42*(1-(Inputs!$B$19+0)/100)))*(1+(Inputs!$B$24+((C1535=TRUE)*(F1535-Calc!F26))+B1545)/100)*(1+1.0*IF(C1525=TRUE,F1525,0)/100)*(1+(IF(Skills!A4="EIGHT_LEGS_EASTON",Inputs!$B$17+((C1532=TRUE)*(F1532-Calc!F23))+((C1536=TRUE)*(F1536-Calc!F27)),Inputs!$B$18+0))/100)*((1+(((C1526=TRUE)*F1526)+((C1533=TRUE)*(F1533-Calc!F24)))/100)*I1513)</f>
        <v/>
      </c>
      <c r="L1513">
        <f>K1513*(MIN(Inputs!$B$22+((C1531=TRUE)*(F1531-Calc!F22)),Inputs!$B$23+0)/100+(Inputs!$B$23+0)/100)/2</f>
        <v/>
      </c>
      <c r="M1513">
        <f>L1513*(1+(Inputs!$B$10+((C1534=TRUE)*(F1534-Calc!F25))+B1544)/100)</f>
        <v/>
      </c>
      <c r="N1513">
        <f>L1513*(1-MIN((Inputs!$B$9+((C1528=TRUE)*(F1528-Calc!F19))+B1539),100)/100)+M1513*(MIN((Inputs!$B$9+((C1528=TRUE)*(F1528-Calc!F19))+B1539),100)/100)</f>
        <v/>
      </c>
      <c r="O1513">
        <f>(1-Summary!$B$55)*T1513+Summary!$B$55*V1513</f>
        <v/>
      </c>
      <c r="P1513">
        <f>IF(B1549=0,0,O1513/B1549)</f>
        <v/>
      </c>
      <c r="Q1513">
        <f>IFERROR(1/IF(Inputs!$B$38="pvp",15,MAX(0.1,Skills!D4-IF(Skills!E4=TRUE,4.5,0))),0)</f>
        <v/>
      </c>
      <c r="R1513">
        <f>IF(AND(Inputs!$B$38&lt;&gt;"pvp",Inputs!$B$43&gt;0),IF(MAX(0,Inputs!$B$43-B1546)&lt;=0,0,(INT(MAX(0,Inputs!$B$43-B1546)/IF(Inputs!$B$38="pvp",15,MAX(0.1,Skills!D4-IF(Skills!E4=TRUE,4.5,0))))+1)),0)</f>
        <v/>
      </c>
      <c r="S1513">
        <f>IFERROR(O1513/N1513,0)</f>
        <v/>
      </c>
      <c r="T1513">
        <f>IF(C1513,(H1513*N1513*IF(AND(Inputs!$B$38&lt;&gt;"pvp",Inputs!$B$43&gt;0),((Skills!G4*((R1513-1)*IF(Skills!H4&gt;0,Skills!I4/Skills!H4,1)+IF(Skills!H4&gt;0,MIN(Skills!I4,MAX(0,MAX(0,Inputs!$B$43-B1546)-((R1513-1)*IF(Inputs!$B$38="pvp",15,MAX(0.1,Skills!D4-IF(Skills!E4=TRUE,4.5,0))))))/Skills!H4,1)))/Inputs!$B$43),G1513*Q1513))*IF(Inputs!$B$38="pvp",1,1+(Inputs!$B$20+0+Skills!P4)/100),0)</f>
        <v/>
      </c>
      <c r="U1513">
        <f>290*U1512/1000</f>
        <v/>
      </c>
      <c r="V1513">
        <f>IF(C1513,(H1513*N1513*IF(AND(Inputs!$B$38&lt;&gt;"pvp",Inputs!$B$43&gt;0),((Skills!G4*((R1513-1)*IF(Skills!H4&gt;0,Skills!I4/Skills!H4,1)+IF(Skills!H4&gt;0,MIN(Skills!I4,MAX(0,MAX(0,Inputs!$B$43-B1546)-((R1513-1)*IF(Inputs!$B$38="pvp",15,MAX(0.1,Skills!D4-IF(Skills!E4=TRUE,4.5,0))))))/Skills!H4,1)))/Inputs!$B$43),G1513*Q1513))*IF(Inputs!$B$38="pvp",1,(1+(Inputs!$B$21+Skills!Q4)/100)*(MIN(Skills!R4,Inputs!$B$37))),0)</f>
        <v/>
      </c>
    </row>
    <row r="1514">
      <c r="A1514">
        <f>Skills!A5</f>
        <v/>
      </c>
      <c r="B1514">
        <f>Skills!B5</f>
        <v/>
      </c>
      <c r="C1514">
        <f>Inputs!$B$3&gt;=45</f>
        <v/>
      </c>
      <c r="D1514">
        <f>IF(Skills!C5=1,60+Inputs!$B$25+Inputs!$B$29,IF(Skills!C5=2,90+Inputs!$B$26+Inputs!$B$29,IF(Skills!C5=3,120+Inputs!$B$27+Inputs!$B$29,MAX(0,(Inputs!$B$3-100)*3)+Inputs!$B$28+Inputs!$B$29)))</f>
        <v/>
      </c>
      <c r="E1514">
        <f>INDEX(FactorTable!$B$2:$Y$301, MATCH(ROUND(MIN(300,MAX(1,D1514)),0), FactorTable!$A$2:$A$301,0), Skills!M5+1)</f>
        <v/>
      </c>
      <c r="F1514">
        <f>IF(Skills!N5=TRUE,(Skills!L5/10)*(E1514/1000),Skills!L5/10)+Skills!O5</f>
        <v/>
      </c>
      <c r="G1514">
        <f>Skills!G5*IF(Skills!H5&gt;0,Skills!I5/Skills!H5,1)</f>
        <v/>
      </c>
      <c r="H1514">
        <f>1-(1-Skills!J5/100)^Skills!K5</f>
        <v/>
      </c>
      <c r="I1514" t="inlineStr">
        <is>
          <t>1</t>
        </is>
      </c>
      <c r="J1514">
        <f>((Inputs!$B$6*(1+Inputs!$B$7/100))+(((Inputs!$B$12*(1+Inputs!$B$13/100))-(Inputs!$B$12*(1+Inputs!$B$13/100)))+0.25*(Inputs!$B$14-Inputs!$B$14))*(1+Inputs!$B$7/100))*(F1514/100)</f>
        <v/>
      </c>
      <c r="K1514">
        <f>J1514*(1+((Inputs!$B$12*(1+Inputs!$B$13/100))*0.01+Inputs!$B$14*0.0025)/100)*(1+Inputs!$B$15/100)*(1+Inputs!$B$16/100)*(5000/(6000+Inputs!$B$42*(1-(Inputs!$B$19+0)/100)))*(1+(Inputs!$B$24+((C1535=TRUE)*(F1535-Calc!F26))+B1545)/100)*(1+0.4*IF(C1525=TRUE,F1525,0)/100)*(1+(IF(Skills!A5="EIGHT_LEGS_EASTON",Inputs!$B$17+((C1532=TRUE)*(F1532-Calc!F23))+((C1536=TRUE)*(F1536-Calc!F27)),Inputs!$B$18+0))/100)*((1+(((C1526=TRUE)*F1526)+((C1533=TRUE)*(F1533-Calc!F24)))/100)*I1514)</f>
        <v/>
      </c>
      <c r="L1514">
        <f>K1514*(MIN(Inputs!$B$22+((C1531=TRUE)*(F1531-Calc!F22)),Inputs!$B$23+0)/100+(Inputs!$B$23+0)/100)/2</f>
        <v/>
      </c>
      <c r="M1514">
        <f>L1514*(1+(Inputs!$B$10+((C1534=TRUE)*(F1534-Calc!F25))+B1544)/100)</f>
        <v/>
      </c>
      <c r="N1514">
        <f>L1514*(1-MIN((Inputs!$B$9+((C1528=TRUE)*(F1528-Calc!F19))+B1539),100)/100)+M1514*(MIN((Inputs!$B$9+((C1528=TRUE)*(F1528-Calc!F19))+B1539),100)/100)</f>
        <v/>
      </c>
      <c r="O1514">
        <f>(1-Summary!$B$55)*T1514+Summary!$B$55*V1514</f>
        <v/>
      </c>
      <c r="P1514">
        <f>IF(B1549=0,0,O1514/B1549)</f>
        <v/>
      </c>
      <c r="Q1514">
        <f>IFERROR(1/IF(Inputs!$B$38="pvp",15,MAX(0.1,Skills!D5-IF(Skills!E5=TRUE,4.5,0))),0)</f>
        <v/>
      </c>
      <c r="R1514">
        <f>IF(AND(Inputs!$B$38&lt;&gt;"pvp",Inputs!$B$43&gt;0),IF(MAX(0,Inputs!$B$43-B1546)&lt;=0,0,(INT(MAX(0,Inputs!$B$43-B1546)/IF(Inputs!$B$38="pvp",15,MAX(0.1,Skills!D5-IF(Skills!E5=TRUE,4.5,0))))+1)),0)</f>
        <v/>
      </c>
      <c r="S1514">
        <f>IFERROR(O1514/N1514,0)</f>
        <v/>
      </c>
      <c r="T1514">
        <f>IF(C1514,(H1514*N1514*IF(AND(Inputs!$B$38&lt;&gt;"pvp",Inputs!$B$43&gt;0),((Skills!G5*((R1514-1)*IF(Skills!H5&gt;0,Skills!I5/Skills!H5,1)+IF(Skills!H5&gt;0,MIN(Skills!I5,MAX(0,MAX(0,Inputs!$B$43-B1546)-((R1514-1)*IF(Inputs!$B$38="pvp",15,MAX(0.1,Skills!D5-IF(Skills!E5=TRUE,4.5,0))))))/Skills!H5,1)))/Inputs!$B$43),G1514*Q1514))*IF(Inputs!$B$38="pvp",1,1+(Inputs!$B$20+0+Skills!P5)/100),0)</f>
        <v/>
      </c>
      <c r="V1514">
        <f>IF(C1514,(H1514*N1514*IF(AND(Inputs!$B$38&lt;&gt;"pvp",Inputs!$B$43&gt;0),((Skills!G5*((R1514-1)*IF(Skills!H5&gt;0,Skills!I5/Skills!H5,1)+IF(Skills!H5&gt;0,MIN(Skills!I5,MAX(0,MAX(0,Inputs!$B$43-B1546)-((R1514-1)*IF(Inputs!$B$38="pvp",15,MAX(0.1,Skills!D5-IF(Skills!E5=TRUE,4.5,0))))))/Skills!H5,1)))/Inputs!$B$43),G1514*Q1514))*IF(Inputs!$B$38="pvp",1,(1+(Inputs!$B$21+Skills!Q5)/100)*(MIN(Skills!R5,Inputs!$B$37))),0)</f>
        <v/>
      </c>
    </row>
    <row r="1515">
      <c r="A1515">
        <f>Skills!A6</f>
        <v/>
      </c>
      <c r="B1515">
        <f>Skills!B6</f>
        <v/>
      </c>
      <c r="C1515">
        <f>Inputs!$B$3&gt;=63</f>
        <v/>
      </c>
      <c r="D1515">
        <f>IF(Skills!C6=1,60+Inputs!$B$25+Inputs!$B$29,IF(Skills!C6=2,90+Inputs!$B$26+Inputs!$B$29,IF(Skills!C6=3,120+Inputs!$B$27+Inputs!$B$29,MAX(0,(Inputs!$B$3-100)*3)+Inputs!$B$28+Inputs!$B$29)))</f>
        <v/>
      </c>
      <c r="E1515">
        <f>INDEX(FactorTable!$B$2:$Y$301, MATCH(ROUND(MIN(300,MAX(1,D1515)),0), FactorTable!$A$2:$A$301,0), Skills!M6+1)</f>
        <v/>
      </c>
      <c r="F1515">
        <f>IF(Skills!N6=TRUE,(Skills!L6/10)*(E1515/1000),Skills!L6/10)+Skills!O6</f>
        <v/>
      </c>
      <c r="G1515">
        <f>Skills!G6*IF(Skills!H6&gt;0,Skills!I6/Skills!H6,1)</f>
        <v/>
      </c>
      <c r="H1515">
        <f>1-(1-Skills!J6/100)^Skills!K6</f>
        <v/>
      </c>
      <c r="I1515" t="inlineStr">
        <is>
          <t>1</t>
        </is>
      </c>
      <c r="J1515">
        <f>((Inputs!$B$6*(1+Inputs!$B$7/100))+(((Inputs!$B$12*(1+Inputs!$B$13/100))-(Inputs!$B$12*(1+Inputs!$B$13/100)))+0.25*(Inputs!$B$14-Inputs!$B$14))*(1+Inputs!$B$7/100))*(F1515/100)</f>
        <v/>
      </c>
      <c r="K1515">
        <f>J1515*(1+((Inputs!$B$12*(1+Inputs!$B$13/100))*0.01+Inputs!$B$14*0.0025)/100)*(1+Inputs!$B$15/100)*(1+Inputs!$B$16/100)*(5000/(6000+Inputs!$B$42*(1-(Inputs!$B$19+0)/100)))*(1+(Inputs!$B$24+((C1535=TRUE)*(F1535-Calc!F26))+B1545)/100)*(1+2.0*IF(C1524=TRUE,F1524,0)/100)*(1+(IF(Skills!A6="EIGHT_LEGS_EASTON",Inputs!$B$17+((C1532=TRUE)*(F1532-Calc!F23))+((C1536=TRUE)*(F1536-Calc!F27)),Inputs!$B$18+0))/100)*((1+(((C1526=TRUE)*F1526)+((C1533=TRUE)*(F1533-Calc!F24)))/100)*I1515)</f>
        <v/>
      </c>
      <c r="L1515">
        <f>K1515*(MIN(Inputs!$B$22+((C1531=TRUE)*(F1531-Calc!F22)),Inputs!$B$23+0)/100+(Inputs!$B$23+0)/100)/2</f>
        <v/>
      </c>
      <c r="M1515">
        <f>L1515*(1+(Inputs!$B$10+((C1534=TRUE)*(F1534-Calc!F25))+B1544)/100)</f>
        <v/>
      </c>
      <c r="N1515">
        <f>L1515*(1-MIN((Inputs!$B$9+((C1528=TRUE)*(F1528-Calc!F19))+B1539),100)/100)+M1515*(MIN((Inputs!$B$9+((C1528=TRUE)*(F1528-Calc!F19))+B1539),100)/100)</f>
        <v/>
      </c>
      <c r="O1515">
        <f>(1-Summary!$B$55)*T1515+Summary!$B$55*V1515</f>
        <v/>
      </c>
      <c r="P1515">
        <f>IF(B1549=0,0,O1515/B1549)</f>
        <v/>
      </c>
      <c r="Q1515">
        <f>IFERROR(1/IF(Inputs!$B$38="pvp",15,MAX(0.1,Skills!D6-IF(Skills!E6=TRUE,4.5,0))),0)</f>
        <v/>
      </c>
      <c r="R1515">
        <f>IF(AND(Inputs!$B$38&lt;&gt;"pvp",Inputs!$B$43&gt;0),IF(MAX(0,Inputs!$B$43-B1546)&lt;=0,0,(INT(MAX(0,Inputs!$B$43-B1546)/IF(Inputs!$B$38="pvp",15,MAX(0.1,Skills!D6-IF(Skills!E6=TRUE,4.5,0))))+1)),0)</f>
        <v/>
      </c>
      <c r="S1515">
        <f>IFERROR(O1515/N1515,0)</f>
        <v/>
      </c>
      <c r="T1515">
        <f>IF(C1515,(H1515*N1515*IF(AND(Inputs!$B$38&lt;&gt;"pvp",Inputs!$B$43&gt;0),((Skills!G6*((R1515-1)*IF(Skills!H6&gt;0,Skills!I6/Skills!H6,1)+IF(Skills!H6&gt;0,MIN(Skills!I6,MAX(0,MAX(0,Inputs!$B$43-B1546)-((R1515-1)*IF(Inputs!$B$38="pvp",15,MAX(0.1,Skills!D6-IF(Skills!E6=TRUE,4.5,0))))))/Skills!H6,1)))/Inputs!$B$43),G1515*Q1515))*IF(Inputs!$B$38="pvp",1,1+(Inputs!$B$20+0+Skills!P6)/100),0)</f>
        <v/>
      </c>
      <c r="V1515">
        <f>IF(C1515,(H1515*N1515*IF(AND(Inputs!$B$38&lt;&gt;"pvp",Inputs!$B$43&gt;0),((Skills!G6*((R1515-1)*IF(Skills!H6&gt;0,Skills!I6/Skills!H6,1)+IF(Skills!H6&gt;0,MIN(Skills!I6,MAX(0,MAX(0,Inputs!$B$43-B1546)-((R1515-1)*IF(Inputs!$B$38="pvp",15,MAX(0.1,Skills!D6-IF(Skills!E6=TRUE,4.5,0))))))/Skills!H6,1)))/Inputs!$B$43),G1515*Q1515))*IF(Inputs!$B$38="pvp",1,(1+(Inputs!$B$21+Skills!Q6)/100)*(MIN(Skills!R6,Inputs!$B$37))),0)</f>
        <v/>
      </c>
    </row>
    <row r="1516">
      <c r="A1516">
        <f>Skills!A7</f>
        <v/>
      </c>
      <c r="B1516">
        <f>Skills!B7</f>
        <v/>
      </c>
      <c r="C1516">
        <f>Inputs!$B$3&gt;=66</f>
        <v/>
      </c>
      <c r="D1516">
        <f>IF(Skills!C7=1,60+Inputs!$B$25+Inputs!$B$29,IF(Skills!C7=2,90+Inputs!$B$26+Inputs!$B$29,IF(Skills!C7=3,120+Inputs!$B$27+Inputs!$B$29,MAX(0,(Inputs!$B$3-100)*3)+Inputs!$B$28+Inputs!$B$29)))</f>
        <v/>
      </c>
      <c r="E1516">
        <f>INDEX(FactorTable!$B$2:$Y$301, MATCH(ROUND(MIN(300,MAX(1,D1516)),0), FactorTable!$A$2:$A$301,0), Skills!M7+1)</f>
        <v/>
      </c>
      <c r="F1516">
        <f>IF(Skills!N7=TRUE,(Skills!L7/10)*(E1516/1000),Skills!L7/10)+Skills!O7</f>
        <v/>
      </c>
      <c r="G1516">
        <f>Skills!G7*IF(Skills!H7&gt;0,Skills!I7/Skills!H7,1)</f>
        <v/>
      </c>
      <c r="H1516">
        <f>1-(1-Skills!J7/100)^Skills!K7</f>
        <v/>
      </c>
      <c r="I1516" t="inlineStr">
        <is>
          <t>1</t>
        </is>
      </c>
      <c r="J1516">
        <f>((Inputs!$B$6*(1+Inputs!$B$7/100))+(((Inputs!$B$12*(1+Inputs!$B$13/100))-(Inputs!$B$12*(1+Inputs!$B$13/100)))+0.25*(Inputs!$B$14-Inputs!$B$14))*(1+Inputs!$B$7/100))*(F1516/100)</f>
        <v/>
      </c>
      <c r="K1516">
        <f>J1516*(1+((Inputs!$B$12*(1+Inputs!$B$13/100))*0.01+Inputs!$B$14*0.0025)/100)*(1+Inputs!$B$15/100)*(1+Inputs!$B$16/100)*(5000/(6000+Inputs!$B$42*(1-(Inputs!$B$19+0)/100)))*(1+(Inputs!$B$24+((C1535=TRUE)*(F1535-Calc!F26))+B1545)/100)*(1+1.0*IF(C1524=TRUE,F1524,0)/100)*(1+(IF(Skills!A7="EIGHT_LEGS_EASTON",Inputs!$B$17+((C1532=TRUE)*(F1532-Calc!F23))+((C1536=TRUE)*(F1536-Calc!F27)),Inputs!$B$18+0))/100)*((1+(((C1526=TRUE)*F1526)+((C1533=TRUE)*(F1533-Calc!F24)))/100)*I1516)</f>
        <v/>
      </c>
      <c r="L1516">
        <f>K1516*(MIN(Inputs!$B$22+((C1531=TRUE)*(F1531-Calc!F22)),Inputs!$B$23+0)/100+(Inputs!$B$23+0)/100)/2</f>
        <v/>
      </c>
      <c r="M1516">
        <f>L1516*(1+(Inputs!$B$10+((C1534=TRUE)*(F1534-Calc!F25))+B1544)/100)</f>
        <v/>
      </c>
      <c r="N1516">
        <f>L1516*(1-MIN((Inputs!$B$9+((C1528=TRUE)*(F1528-Calc!F19))+B1539),100)/100)+M1516*(MIN((Inputs!$B$9+((C1528=TRUE)*(F1528-Calc!F19))+B1539),100)/100)</f>
        <v/>
      </c>
      <c r="O1516">
        <f>(1-Summary!$B$55)*T1516+Summary!$B$55*V1516</f>
        <v/>
      </c>
      <c r="P1516">
        <f>IF(B1549=0,0,O1516/B1549)</f>
        <v/>
      </c>
      <c r="Q1516">
        <f>IFERROR(1/IF(Inputs!$B$38="pvp",15,MAX(0.1,Skills!D7-IF(Skills!E7=TRUE,4.5,0))),0)</f>
        <v/>
      </c>
      <c r="R1516">
        <f>IF(AND(Inputs!$B$38&lt;&gt;"pvp",Inputs!$B$43&gt;0),IF(MAX(0,Inputs!$B$43-B1546)&lt;=0,0,(INT(MAX(0,Inputs!$B$43-B1546)/IF(Inputs!$B$38="pvp",15,MAX(0.1,Skills!D7-IF(Skills!E7=TRUE,4.5,0))))+1)),0)</f>
        <v/>
      </c>
      <c r="S1516">
        <f>IFERROR(O1516/N1516,0)</f>
        <v/>
      </c>
      <c r="T1516">
        <f>IF(C1516,(H1516*N1516*IF(AND(Inputs!$B$38&lt;&gt;"pvp",Inputs!$B$43&gt;0),((Skills!G7*((R1516-1)*IF(Skills!H7&gt;0,Skills!I7/Skills!H7,1)+IF(Skills!H7&gt;0,MIN(Skills!I7,MAX(0,MAX(0,Inputs!$B$43-B1546)-((R1516-1)*IF(Inputs!$B$38="pvp",15,MAX(0.1,Skills!D7-IF(Skills!E7=TRUE,4.5,0))))))/Skills!H7,1)))/Inputs!$B$43),G1516*Q1516))*IF(Inputs!$B$38="pvp",1,1+(Inputs!$B$20+0+Skills!P7)/100),0)</f>
        <v/>
      </c>
      <c r="V1516">
        <f>IF(C1516,(H1516*N1516*IF(AND(Inputs!$B$38&lt;&gt;"pvp",Inputs!$B$43&gt;0),((Skills!G7*((R1516-1)*IF(Skills!H7&gt;0,Skills!I7/Skills!H7,1)+IF(Skills!H7&gt;0,MIN(Skills!I7,MAX(0,MAX(0,Inputs!$B$43-B1546)-((R1516-1)*IF(Inputs!$B$38="pvp",15,MAX(0.1,Skills!D7-IF(Skills!E7=TRUE,4.5,0))))))/Skills!H7,1)))/Inputs!$B$43),G1516*Q1516))*IF(Inputs!$B$38="pvp",1,(1+(Inputs!$B$21+Skills!Q7)/100)*(MIN(Skills!R7,Inputs!$B$37))),0)</f>
        <v/>
      </c>
    </row>
    <row r="1517">
      <c r="A1517">
        <f>Skills!A8</f>
        <v/>
      </c>
      <c r="B1517">
        <f>Skills!B8</f>
        <v/>
      </c>
      <c r="C1517">
        <f>Inputs!$B$3&gt;=100</f>
        <v/>
      </c>
      <c r="D1517">
        <f>IF(Skills!C8=1,60+Inputs!$B$25+Inputs!$B$29,IF(Skills!C8=2,90+Inputs!$B$26+Inputs!$B$29,IF(Skills!C8=3,120+Inputs!$B$27+Inputs!$B$29,MAX(0,(Inputs!$B$3-100)*3)+Inputs!$B$28+Inputs!$B$29)))</f>
        <v/>
      </c>
      <c r="E1517">
        <f>INDEX(FactorTable!$B$2:$Y$301, MATCH(ROUND(MIN(300,MAX(1,D1517)),0), FactorTable!$A$2:$A$301,0), Skills!M8+1)</f>
        <v/>
      </c>
      <c r="F1517">
        <f>IF(Skills!N8=TRUE,(Skills!L8/10)*(E1517/1000),Skills!L8/10)+Skills!O8</f>
        <v/>
      </c>
      <c r="G1517">
        <f>Skills!G8*IF(Skills!H8&gt;0,Skills!I8/Skills!H8,1)</f>
        <v/>
      </c>
      <c r="H1517">
        <f>1-(1-Skills!J8/100)^Skills!K8</f>
        <v/>
      </c>
      <c r="I1517" t="inlineStr">
        <is>
          <t>1</t>
        </is>
      </c>
      <c r="J1517">
        <f>((Inputs!$B$6*(1+Inputs!$B$7/100))+(((Inputs!$B$12*(1+Inputs!$B$13/100))-(Inputs!$B$12*(1+Inputs!$B$13/100)))+0.25*(Inputs!$B$14-Inputs!$B$14))*(1+Inputs!$B$7/100))*(F1517/100)</f>
        <v/>
      </c>
      <c r="K1517">
        <f>J1517*(1+((Inputs!$B$12*(1+Inputs!$B$13/100))*0.01+Inputs!$B$14*0.0025)/100)*(1+Inputs!$B$15/100)*(1+Inputs!$B$16/100)*(5000/(6000+Inputs!$B$42*(1-(Inputs!$B$19+0)/100)))*(1+(Inputs!$B$24+((C1535=TRUE)*(F1535-Calc!F26))+B1545)/100)*(1+(IF(Skills!A8="EIGHT_LEGS_EASTON",Inputs!$B$17+((C1532=TRUE)*(F1532-Calc!F23))+((C1536=TRUE)*(F1536-Calc!F27)),Inputs!$B$18+0))/100)*((1+(((C1526=TRUE)*F1526)+((C1533=TRUE)*(F1533-Calc!F24)))/100)*I1517)</f>
        <v/>
      </c>
      <c r="L1517">
        <f>K1517*(MIN(Inputs!$B$22+((C1531=TRUE)*(F1531-Calc!F22)),Inputs!$B$23+0)/100+(Inputs!$B$23+0)/100)/2</f>
        <v/>
      </c>
      <c r="M1517">
        <f>L1517*(1+(Inputs!$B$10+((C1534=TRUE)*(F1534-Calc!F25))+B1544)/100)</f>
        <v/>
      </c>
      <c r="N1517">
        <f>L1517*(1-MIN((Inputs!$B$9+((C1528=TRUE)*(F1528-Calc!F19))+B1539),100)/100)+M1517*(MIN((Inputs!$B$9+((C1528=TRUE)*(F1528-Calc!F19))+B1539),100)/100)</f>
        <v/>
      </c>
      <c r="O1517">
        <f>(1-Summary!$B$55)*T1517+Summary!$B$55*V1517</f>
        <v/>
      </c>
      <c r="P1517">
        <f>IF(B1549=0,0,O1517/B1549)</f>
        <v/>
      </c>
      <c r="Q1517">
        <f>IFERROR(1/IF(Inputs!$B$38="pvp",15,MAX(0.1,Skills!D8-IF(Skills!E8=TRUE,4.5,0))),0)</f>
        <v/>
      </c>
      <c r="R1517">
        <f>IF(AND(Inputs!$B$38&lt;&gt;"pvp",Inputs!$B$43&gt;0),IF(MAX(0,Inputs!$B$43-B1546)&lt;=0,0,(INT(MAX(0,Inputs!$B$43-B1546)/IF(Inputs!$B$38="pvp",15,MAX(0.1,Skills!D8-IF(Skills!E8=TRUE,4.5,0))))+1)),0)</f>
        <v/>
      </c>
      <c r="S1517">
        <f>IFERROR(O1517/N1517,0)</f>
        <v/>
      </c>
      <c r="T1517">
        <f>IF(C1517,(H1517*N1517*IF(AND(Inputs!$B$38&lt;&gt;"pvp",Inputs!$B$43&gt;0),((Skills!G8*((R1517-1)*IF(Skills!H8&gt;0,Skills!I8/Skills!H8,1)+IF(Skills!H8&gt;0,MIN(Skills!I8,MAX(0,MAX(0,Inputs!$B$43-B1546)-((R1517-1)*IF(Inputs!$B$38="pvp",15,MAX(0.1,Skills!D8-IF(Skills!E8=TRUE,4.5,0))))))/Skills!H8,1)))/Inputs!$B$43),G1517*Q1517))*IF(Inputs!$B$38="pvp",1,1+(Inputs!$B$20+0+Skills!P8)/100),0)</f>
        <v/>
      </c>
      <c r="V1517">
        <f>IF(C1517,(H1517*N1517*IF(AND(Inputs!$B$38&lt;&gt;"pvp",Inputs!$B$43&gt;0),((Skills!G8*((R1517-1)*IF(Skills!H8&gt;0,Skills!I8/Skills!H8,1)+IF(Skills!H8&gt;0,MIN(Skills!I8,MAX(0,MAX(0,Inputs!$B$43-B1546)-((R1517-1)*IF(Inputs!$B$38="pvp",15,MAX(0.1,Skills!D8-IF(Skills!E8=TRUE,4.5,0))))))/Skills!H8,1)))/Inputs!$B$43),G1517*Q1517))*IF(Inputs!$B$38="pvp",1,(1+(Inputs!$B$21+Skills!Q8)/100)*(MIN(Skills!R8,Inputs!$B$37))),0)</f>
        <v/>
      </c>
    </row>
    <row r="1518">
      <c r="A1518">
        <f>Skills!A9</f>
        <v/>
      </c>
      <c r="B1518">
        <f>Skills!B9</f>
        <v/>
      </c>
      <c r="C1518">
        <f>Inputs!$B$3&gt;=103</f>
        <v/>
      </c>
      <c r="D1518">
        <f>IF(Skills!C9=1,60+Inputs!$B$25+Inputs!$B$29,IF(Skills!C9=2,90+Inputs!$B$26+Inputs!$B$29,IF(Skills!C9=3,120+Inputs!$B$27+Inputs!$B$29,MAX(0,(Inputs!$B$3-100)*3)+Inputs!$B$28+Inputs!$B$29)))</f>
        <v/>
      </c>
      <c r="E1518">
        <f>INDEX(FactorTable!$B$2:$Y$301, MATCH(ROUND(MIN(300,MAX(1,D1518)),0), FactorTable!$A$2:$A$301,0), Skills!M9+1)</f>
        <v/>
      </c>
      <c r="F1518">
        <f>IF(Skills!N9=TRUE,(Skills!L9/10)*(E1518/1000),Skills!L9/10)+Skills!O9</f>
        <v/>
      </c>
      <c r="G1518">
        <f>Skills!G9*IF(Skills!H9&gt;0,Skills!I9/Skills!H9,1)</f>
        <v/>
      </c>
      <c r="H1518">
        <f>1-(1-Skills!J9/100)^Skills!K9</f>
        <v/>
      </c>
      <c r="I1518" t="inlineStr">
        <is>
          <t>1</t>
        </is>
      </c>
      <c r="J1518">
        <f>((Inputs!$B$6*(1+Inputs!$B$7/100))+(((Inputs!$B$12*(1+Inputs!$B$13/100))-(Inputs!$B$12*(1+Inputs!$B$13/100)))+0.25*(Inputs!$B$14-Inputs!$B$14))*(1+Inputs!$B$7/100))*(F1518/100)</f>
        <v/>
      </c>
      <c r="K1518">
        <f>J1518*(1+((Inputs!$B$12*(1+Inputs!$B$13/100))*0.01+Inputs!$B$14*0.0025)/100)*(1+Inputs!$B$15/100)*(1+Inputs!$B$16/100)*(5000/(6000+Inputs!$B$42*(1-(Inputs!$B$19+0)/100)))*(1+(Inputs!$B$24+((C1535=TRUE)*(F1535-Calc!F26))+B1545)/100)*(1+(IF(Skills!A9="EIGHT_LEGS_EASTON",Inputs!$B$17+((C1532=TRUE)*(F1532-Calc!F23))+((C1536=TRUE)*(F1536-Calc!F27)),Inputs!$B$18+0))/100)*((1+(((C1526=TRUE)*F1526)+((C1533=TRUE)*(F1533-Calc!F24)))/100)*I1518)</f>
        <v/>
      </c>
      <c r="L1518">
        <f>K1518*(MIN(Inputs!$B$22+((C1531=TRUE)*(F1531-Calc!F22)),Inputs!$B$23+0)/100+(Inputs!$B$23+0)/100)/2</f>
        <v/>
      </c>
      <c r="M1518">
        <f>L1518*(1+(Inputs!$B$10+((C1534=TRUE)*(F1534-Calc!F25))+B1544)/100)</f>
        <v/>
      </c>
      <c r="N1518">
        <f>L1518*(1-MIN((Inputs!$B$9+((C1528=TRUE)*(F1528-Calc!F19))+B1539),100)/100)+M1518*(MIN((Inputs!$B$9+((C1528=TRUE)*(F1528-Calc!F19))+B1539),100)/100)</f>
        <v/>
      </c>
      <c r="O1518">
        <f>(1-Summary!$B$55)*T1518+Summary!$B$55*V1518</f>
        <v/>
      </c>
      <c r="P1518">
        <f>IF(B1549=0,0,O1518/B1549)</f>
        <v/>
      </c>
      <c r="Q1518">
        <f>IFERROR(1/IF(Inputs!$B$38="pvp",15,MAX(0.1,Skills!D9-IF(Skills!E9=TRUE,4.5,0))),0)</f>
        <v/>
      </c>
      <c r="R1518">
        <f>IF(AND(Inputs!$B$38&lt;&gt;"pvp",Inputs!$B$43&gt;0),IF(MAX(0,Inputs!$B$43-B1546)&lt;=0,0,(INT(MAX(0,Inputs!$B$43-B1546)/IF(Inputs!$B$38="pvp",15,MAX(0.1,Skills!D9-IF(Skills!E9=TRUE,4.5,0))))+1)),0)</f>
        <v/>
      </c>
      <c r="S1518">
        <f>IFERROR(O1518/N1518,0)</f>
        <v/>
      </c>
      <c r="T1518">
        <f>IF(C1518,(H1518*N1518*IF(AND(Inputs!$B$38&lt;&gt;"pvp",Inputs!$B$43&gt;0),((Skills!G9*((R1518-1)*IF(Skills!H9&gt;0,Skills!I9/Skills!H9,1)+IF(Skills!H9&gt;0,MIN(Skills!I9,MAX(0,MAX(0,Inputs!$B$43-B1546)-((R1518-1)*IF(Inputs!$B$38="pvp",15,MAX(0.1,Skills!D9-IF(Skills!E9=TRUE,4.5,0))))))/Skills!H9,1)))/Inputs!$B$43),G1518*Q1518))*IF(Inputs!$B$38="pvp",1,1+(Inputs!$B$20+0+Skills!P9)/100),0)</f>
        <v/>
      </c>
      <c r="V1518">
        <f>IF(C1518,(H1518*N1518*IF(AND(Inputs!$B$38&lt;&gt;"pvp",Inputs!$B$43&gt;0),((Skills!G9*((R1518-1)*IF(Skills!H9&gt;0,Skills!I9/Skills!H9,1)+IF(Skills!H9&gt;0,MIN(Skills!I9,MAX(0,MAX(0,Inputs!$B$43-B1546)-((R1518-1)*IF(Inputs!$B$38="pvp",15,MAX(0.1,Skills!D9-IF(Skills!E9=TRUE,4.5,0))))))/Skills!H9,1)))/Inputs!$B$43),G1518*Q1518))*IF(Inputs!$B$38="pvp",1,(1+(Inputs!$B$21+Skills!Q9)/100)*(MIN(Skills!R9,Inputs!$B$37))),0)</f>
        <v/>
      </c>
    </row>
    <row r="1519">
      <c r="A1519">
        <f>Skills!A10</f>
        <v/>
      </c>
      <c r="B1519">
        <f>Skills!B10</f>
        <v/>
      </c>
      <c r="C1519">
        <f>Inputs!$B$3&gt;=113</f>
        <v/>
      </c>
      <c r="D1519">
        <f>IF(Skills!C10=1,60+Inputs!$B$25+Inputs!$B$29,IF(Skills!C10=2,90+Inputs!$B$26+Inputs!$B$29,IF(Skills!C10=3,120+Inputs!$B$27+Inputs!$B$29,MAX(0,(Inputs!$B$3-100)*3)+Inputs!$B$28+Inputs!$B$29)))</f>
        <v/>
      </c>
      <c r="E1519">
        <f>INDEX(FactorTable!$B$2:$Y$301, MATCH(ROUND(MIN(300,MAX(1,D1519)),0), FactorTable!$A$2:$A$301,0), Skills!M10+1)</f>
        <v/>
      </c>
      <c r="F1519">
        <f>IF(Skills!N10=TRUE,(Skills!L10/10)*(E1519/1000),Skills!L10/10)+Skills!O10</f>
        <v/>
      </c>
      <c r="G1519">
        <f>Skills!G10*IF(Skills!H10&gt;0,Skills!I10/Skills!H10,1)</f>
        <v/>
      </c>
      <c r="H1519">
        <f>1-(1-Skills!J10/100)^Skills!K10</f>
        <v/>
      </c>
      <c r="I1519" t="inlineStr">
        <is>
          <t>1</t>
        </is>
      </c>
      <c r="J1519">
        <f>((Inputs!$B$6*(1+Inputs!$B$7/100))+(((Inputs!$B$12*(1+Inputs!$B$13/100))-(Inputs!$B$12*(1+Inputs!$B$13/100)))+0.25*(Inputs!$B$14-Inputs!$B$14))*(1+Inputs!$B$7/100))*(F1519/100)</f>
        <v/>
      </c>
      <c r="K1519">
        <f>J1519*(1+((Inputs!$B$12*(1+Inputs!$B$13/100))*0.01+Inputs!$B$14*0.0025)/100)*(1+Inputs!$B$15/100)*(1+Inputs!$B$16/100)*(5000/(6000+Inputs!$B$42*(1-(Inputs!$B$19+0)/100)))*(1+(Inputs!$B$24+((C1535=TRUE)*(F1535-Calc!F26))+B1545)/100)*(1+(IF(Skills!A10="EIGHT_LEGS_EASTON",Inputs!$B$17+((C1532=TRUE)*(F1532-Calc!F23))+((C1536=TRUE)*(F1536-Calc!F27)),Inputs!$B$18+0))/100)*((1+(((C1526=TRUE)*F1526)+((C1533=TRUE)*(F1533-Calc!F24)))/100)*I1519)</f>
        <v/>
      </c>
      <c r="L1519">
        <f>K1519*(MIN(Inputs!$B$22+((C1531=TRUE)*(F1531-Calc!F22)),Inputs!$B$23+0)/100+(Inputs!$B$23+0)/100)/2</f>
        <v/>
      </c>
      <c r="M1519">
        <f>L1519*(1+(Inputs!$B$10+((C1534=TRUE)*(F1534-Calc!F25))+B1544)/100)</f>
        <v/>
      </c>
      <c r="N1519">
        <f>L1519*(1-MIN((Inputs!$B$9+((C1528=TRUE)*(F1528-Calc!F19))+B1539),100)/100)+M1519*(MIN((Inputs!$B$9+((C1528=TRUE)*(F1528-Calc!F19))+B1539),100)/100)</f>
        <v/>
      </c>
      <c r="O1519">
        <f>(1-Summary!$B$55)*T1519+Summary!$B$55*V1519</f>
        <v/>
      </c>
      <c r="P1519">
        <f>IF(B1549=0,0,O1519/B1549)</f>
        <v/>
      </c>
      <c r="Q1519">
        <f>IFERROR(1/IF(Inputs!$B$38="pvp",15,MAX(0.1,Skills!D10-IF(Skills!E10=TRUE,4.5,0))),0)</f>
        <v/>
      </c>
      <c r="R1519">
        <f>IF(AND(Inputs!$B$38&lt;&gt;"pvp",Inputs!$B$43&gt;0),IF(MAX(0,Inputs!$B$43-B1546)&lt;=0,0,(INT(MAX(0,Inputs!$B$43-B1546)/IF(Inputs!$B$38="pvp",15,MAX(0.1,Skills!D10-IF(Skills!E10=TRUE,4.5,0))))+1)),0)</f>
        <v/>
      </c>
      <c r="S1519">
        <f>IFERROR(O1519/N1519,0)</f>
        <v/>
      </c>
      <c r="T1519">
        <f>IF(C1519,(H1519*N1519*IF(AND(Inputs!$B$38&lt;&gt;"pvp",Inputs!$B$43&gt;0),((Skills!G10*((R1519-1)*IF(Skills!H10&gt;0,Skills!I10/Skills!H10,1)+IF(Skills!H10&gt;0,MIN(Skills!I10,MAX(0,MAX(0,Inputs!$B$43-B1546)-((R1519-1)*IF(Inputs!$B$38="pvp",15,MAX(0.1,Skills!D10-IF(Skills!E10=TRUE,4.5,0))))))/Skills!H10,1)))/Inputs!$B$43),G1519*Q1519))*IF(Inputs!$B$38="pvp",1,1+(Inputs!$B$20+0+Skills!P10)/100),0)</f>
        <v/>
      </c>
      <c r="V1519">
        <f>IF(C1519,(H1519*N1519*IF(AND(Inputs!$B$38&lt;&gt;"pvp",Inputs!$B$43&gt;0),((Skills!G10*((R1519-1)*IF(Skills!H10&gt;0,Skills!I10/Skills!H10,1)+IF(Skills!H10&gt;0,MIN(Skills!I10,MAX(0,MAX(0,Inputs!$B$43-B1546)-((R1519-1)*IF(Inputs!$B$38="pvp",15,MAX(0.1,Skills!D10-IF(Skills!E10=TRUE,4.5,0))))))/Skills!H10,1)))/Inputs!$B$43),G1519*Q1519))*IF(Inputs!$B$38="pvp",1,(1+(Inputs!$B$21+Skills!Q10)/100)*(MIN(Skills!R10,Inputs!$B$37))),0)</f>
        <v/>
      </c>
    </row>
    <row r="1520">
      <c r="A1520">
        <f>Skills!A11</f>
        <v/>
      </c>
      <c r="B1520">
        <f>Skills!B11</f>
        <v/>
      </c>
      <c r="C1520">
        <f>Inputs!$B$3&gt;=107</f>
        <v/>
      </c>
      <c r="D1520">
        <f>IF(Skills!C11=1,60+Inputs!$B$25+Inputs!$B$29,IF(Skills!C11=2,90+Inputs!$B$26+Inputs!$B$29,IF(Skills!C11=3,120+Inputs!$B$27+Inputs!$B$29,MAX(0,(Inputs!$B$3-100)*3)+Inputs!$B$28+Inputs!$B$29)))</f>
        <v/>
      </c>
      <c r="E1520">
        <f>INDEX(FactorTable!$B$2:$Y$301, MATCH(ROUND(MIN(300,MAX(1,D1520)),0), FactorTable!$A$2:$A$301,0), Skills!M11+1)</f>
        <v/>
      </c>
      <c r="F1520">
        <f>IF(Skills!N11=TRUE,(Skills!L11/10)*(E1520/1000),Skills!L11/10)+Skills!O11</f>
        <v/>
      </c>
      <c r="G1520">
        <f>Skills!G11*IF(Skills!H11&gt;0,Skills!I11/Skills!H11,1)</f>
        <v/>
      </c>
      <c r="H1520">
        <f>1-(1-Skills!J11/100)^Skills!K11</f>
        <v/>
      </c>
      <c r="I1520" t="inlineStr">
        <is>
          <t>1</t>
        </is>
      </c>
      <c r="J1520">
        <f>((Inputs!$B$6*(1+Inputs!$B$7/100))+(((Inputs!$B$12*(1+Inputs!$B$13/100))-(Inputs!$B$12*(1+Inputs!$B$13/100)))+0.25*(Inputs!$B$14-Inputs!$B$14))*(1+Inputs!$B$7/100))*(F1520/100)</f>
        <v/>
      </c>
      <c r="K1520">
        <f>J1520*(1+((Inputs!$B$12*(1+Inputs!$B$13/100))*0.01+Inputs!$B$14*0.0025)/100)*(1+Inputs!$B$15/100)*(1+Inputs!$B$16/100)*(5000/(6000+Inputs!$B$42*(1-(Inputs!$B$19+0)/100)))*(1+(Inputs!$B$24+((C1535=TRUE)*(F1535-Calc!F26))+B1545)/100)*(1+(IF(Skills!A11="EIGHT_LEGS_EASTON",Inputs!$B$17+((C1532=TRUE)*(F1532-Calc!F23))+((C1536=TRUE)*(F1536-Calc!F27)),Inputs!$B$18+0))/100)*((1+(((C1526=TRUE)*F1526)+((C1533=TRUE)*(F1533-Calc!F24)))/100)*I1520)</f>
        <v/>
      </c>
      <c r="L1520">
        <f>K1520*(MIN(Inputs!$B$22+((C1531=TRUE)*(F1531-Calc!F22)),Inputs!$B$23+0)/100+(Inputs!$B$23+0)/100)/2</f>
        <v/>
      </c>
      <c r="M1520">
        <f>L1520*(1+(Inputs!$B$10+((C1534=TRUE)*(F1534-Calc!F25))+B1544)/100)</f>
        <v/>
      </c>
      <c r="N1520">
        <f>L1520*(1-MIN((Inputs!$B$9+((C1528=TRUE)*(F1528-Calc!F19))+B1539),100)/100)+M1520*(MIN((Inputs!$B$9+((C1528=TRUE)*(F1528-Calc!F19))+B1539),100)/100)</f>
        <v/>
      </c>
      <c r="O1520">
        <f>(1-Summary!$B$55)*T1520+Summary!$B$55*V1520</f>
        <v/>
      </c>
      <c r="P1520">
        <f>IF(B1549=0,0,O1520/B1549)</f>
        <v/>
      </c>
      <c r="Q1520">
        <f>IFERROR(1/IF(Inputs!$B$38="pvp",15,MAX(0.1,Skills!D11-IF(Skills!E11=TRUE,4.5,0))),0)</f>
        <v/>
      </c>
      <c r="R1520">
        <f>IF(AND(Inputs!$B$38&lt;&gt;"pvp",Inputs!$B$43&gt;0),IF(MAX(0,Inputs!$B$43-B1546)&lt;=0,0,(INT(MAX(0,Inputs!$B$43-B1546)/IF(Inputs!$B$38="pvp",15,MAX(0.1,Skills!D11-IF(Skills!E11=TRUE,4.5,0))))+1)),0)</f>
        <v/>
      </c>
      <c r="S1520">
        <f>IFERROR(O1520/N1520,0)</f>
        <v/>
      </c>
      <c r="T1520">
        <f>IF(C1520,(H1520*N1520*IF(AND(Inputs!$B$38&lt;&gt;"pvp",Inputs!$B$43&gt;0),((Skills!G11*((R1520-1)*IF(Skills!H11&gt;0,Skills!I11/Skills!H11,1)+IF(Skills!H11&gt;0,MIN(Skills!I11,MAX(0,MAX(0,Inputs!$B$43-B1546)-((R1520-1)*IF(Inputs!$B$38="pvp",15,MAX(0.1,Skills!D11-IF(Skills!E11=TRUE,4.5,0))))))/Skills!H11,1)))/Inputs!$B$43),G1520*Q1520))*IF(Inputs!$B$38="pvp",1,1+(Inputs!$B$20+0+Skills!P11)/100),0)</f>
        <v/>
      </c>
      <c r="V1520">
        <f>IF(C1520,(H1520*N1520*IF(AND(Inputs!$B$38&lt;&gt;"pvp",Inputs!$B$43&gt;0),((Skills!G11*((R1520-1)*IF(Skills!H11&gt;0,Skills!I11/Skills!H11,1)+IF(Skills!H11&gt;0,MIN(Skills!I11,MAX(0,MAX(0,Inputs!$B$43-B1546)-((R1520-1)*IF(Inputs!$B$38="pvp",15,MAX(0.1,Skills!D11-IF(Skills!E11=TRUE,4.5,0))))))/Skills!H11,1)))/Inputs!$B$43),G1520*Q1520))*IF(Inputs!$B$38="pvp",1,(1+(Inputs!$B$21+Skills!Q11)/100)*(MIN(Skills!R11,Inputs!$B$37))),0)</f>
        <v/>
      </c>
    </row>
    <row r="1521">
      <c r="A1521">
        <f>Skills!A12</f>
        <v/>
      </c>
      <c r="B1521">
        <f>Skills!B12</f>
        <v/>
      </c>
      <c r="C1521">
        <f>Inputs!$B$3&gt;=110</f>
        <v/>
      </c>
      <c r="D1521">
        <f>IF(Skills!C12=1,60+Inputs!$B$25+Inputs!$B$29,IF(Skills!C12=2,90+Inputs!$B$26+Inputs!$B$29,IF(Skills!C12=3,120+Inputs!$B$27+Inputs!$B$29,MAX(0,(Inputs!$B$3-100)*3)+Inputs!$B$28+Inputs!$B$29)))</f>
        <v/>
      </c>
      <c r="E1521">
        <f>INDEX(FactorTable!$B$2:$Y$301, MATCH(ROUND(MIN(300,MAX(1,D1521)),0), FactorTable!$A$2:$A$301,0), Skills!M12+1)</f>
        <v/>
      </c>
      <c r="F1521">
        <f>IF(Skills!N12=TRUE,(Skills!L12/10)*(E1521/1000),Skills!L12/10)+Skills!O12</f>
        <v/>
      </c>
      <c r="G1521">
        <f>Skills!G12*IF(Skills!H12&gt;0,Skills!I12/Skills!H12,1)</f>
        <v/>
      </c>
      <c r="H1521">
        <f>1-(1-Skills!J12/100)^Skills!K12</f>
        <v/>
      </c>
      <c r="I1521" t="inlineStr">
        <is>
          <t>1</t>
        </is>
      </c>
      <c r="J1521">
        <f>((Inputs!$B$6*(1+Inputs!$B$7/100))+(((Inputs!$B$12*(1+Inputs!$B$13/100))-(Inputs!$B$12*(1+Inputs!$B$13/100)))+0.25*(Inputs!$B$14-Inputs!$B$14))*(1+Inputs!$B$7/100))*(F1521/100)</f>
        <v/>
      </c>
      <c r="K1521">
        <f>J1521*(1+((Inputs!$B$12*(1+Inputs!$B$13/100))*0.01+Inputs!$B$14*0.0025)/100)*(1+Inputs!$B$15/100)*(1+Inputs!$B$16/100)*(5000/(6000+Inputs!$B$42*(1-(Inputs!$B$19+0)/100)))*(1+(Inputs!$B$24+((C1535=TRUE)*(F1535-Calc!F26))+B1545)/100)*(1+(IF(Skills!A12="EIGHT_LEGS_EASTON",Inputs!$B$17+((C1532=TRUE)*(F1532-Calc!F23))+((C1536=TRUE)*(F1536-Calc!F27)),Inputs!$B$18+0))/100)*((1+(((C1526=TRUE)*F1526)+((C1533=TRUE)*(F1533-Calc!F24)))/100)*I1521)</f>
        <v/>
      </c>
      <c r="L1521">
        <f>K1521*(MIN(Inputs!$B$22+((C1531=TRUE)*(F1531-Calc!F22)),Inputs!$B$23+0)/100+(Inputs!$B$23+0)/100)/2</f>
        <v/>
      </c>
      <c r="M1521">
        <f>L1521*(1+(Inputs!$B$10+((C1534=TRUE)*(F1534-Calc!F25))+B1544)/100)</f>
        <v/>
      </c>
      <c r="N1521">
        <f>L1521*(1-MIN((Inputs!$B$9+((C1528=TRUE)*(F1528-Calc!F19))+B1539),100)/100)+M1521*(MIN((Inputs!$B$9+((C1528=TRUE)*(F1528-Calc!F19))+B1539),100)/100)</f>
        <v/>
      </c>
      <c r="O1521">
        <f>(1-Summary!$B$55)*T1521+Summary!$B$55*V1521</f>
        <v/>
      </c>
      <c r="P1521">
        <f>IF(B1549=0,0,O1521/B1549)</f>
        <v/>
      </c>
      <c r="Q1521">
        <f>IFERROR(1/IF(Inputs!$B$38="pvp",15,MAX(0.1,Skills!D12-IF(Skills!E12=TRUE,4.5,0))),0)</f>
        <v/>
      </c>
      <c r="R1521">
        <f>IF(AND(Inputs!$B$38&lt;&gt;"pvp",Inputs!$B$43&gt;0),IF(MAX(0,Inputs!$B$43-B1546)&lt;=0,0,(INT(MAX(0,Inputs!$B$43-B1546)/IF(Inputs!$B$38="pvp",15,MAX(0.1,Skills!D12-IF(Skills!E12=TRUE,4.5,0))))+1)),0)</f>
        <v/>
      </c>
      <c r="S1521">
        <f>IFERROR(O1521/N1521,0)</f>
        <v/>
      </c>
      <c r="T1521">
        <f>IF(C1521,(H1521*N1521*IF(AND(Inputs!$B$38&lt;&gt;"pvp",Inputs!$B$43&gt;0),((Skills!G12*((R1521-1)*IF(Skills!H12&gt;0,Skills!I12/Skills!H12,1)+IF(Skills!H12&gt;0,MIN(Skills!I12,MAX(0,MAX(0,Inputs!$B$43-B1546)-((R1521-1)*IF(Inputs!$B$38="pvp",15,MAX(0.1,Skills!D12-IF(Skills!E12=TRUE,4.5,0))))))/Skills!H12,1)))/Inputs!$B$43),G1521*Q1521))*IF(Inputs!$B$38="pvp",1,1+(Inputs!$B$20+0+Skills!P12)/100),0)</f>
        <v/>
      </c>
      <c r="V1521">
        <f>IF(C1521,(H1521*N1521*IF(AND(Inputs!$B$38&lt;&gt;"pvp",Inputs!$B$43&gt;0),((Skills!G12*((R1521-1)*IF(Skills!H12&gt;0,Skills!I12/Skills!H12,1)+IF(Skills!H12&gt;0,MIN(Skills!I12,MAX(0,MAX(0,Inputs!$B$43-B1546)-((R1521-1)*IF(Inputs!$B$38="pvp",15,MAX(0.1,Skills!D12-IF(Skills!E12=TRUE,4.5,0))))))/Skills!H12,1)))/Inputs!$B$43),G1521*Q1521))*IF(Inputs!$B$38="pvp",1,(1+(Inputs!$B$21+Skills!Q12)/100)*(MIN(Skills!R12,Inputs!$B$37))),0)</f>
        <v/>
      </c>
    </row>
    <row r="1522">
      <c r="A1522">
        <f>Skills!A13</f>
        <v/>
      </c>
      <c r="B1522">
        <f>Skills!B13</f>
        <v/>
      </c>
      <c r="C1522">
        <f>Inputs!$B$3&gt;=110</f>
        <v/>
      </c>
      <c r="D1522">
        <f>IF(Skills!C13=1,60+Inputs!$B$25+Inputs!$B$29,IF(Skills!C13=2,90+Inputs!$B$26+Inputs!$B$29,IF(Skills!C13=3,120+Inputs!$B$27+Inputs!$B$29,MAX(0,(Inputs!$B$3-100)*3)+Inputs!$B$28+Inputs!$B$29)))</f>
        <v/>
      </c>
      <c r="E1522">
        <f>INDEX(FactorTable!$B$2:$Y$301, MATCH(ROUND(MIN(300,MAX(1,D1522)),0), FactorTable!$A$2:$A$301,0), Skills!M13+1)</f>
        <v/>
      </c>
      <c r="F1522">
        <f>IF(Skills!N13=TRUE,(Skills!L13/10)*(E1522/1000),Skills!L13/10)+Skills!O13</f>
        <v/>
      </c>
      <c r="G1522">
        <f>Skills!G13*IF(Skills!H13&gt;0,Skills!I13/Skills!H13,1)</f>
        <v/>
      </c>
      <c r="H1522">
        <f>1-(1-Skills!J13/100)^Skills!K13</f>
        <v/>
      </c>
      <c r="I1522" t="inlineStr">
        <is>
          <t>1</t>
        </is>
      </c>
      <c r="J1522">
        <f>((Inputs!$B$6*(1+Inputs!$B$7/100))+(((Inputs!$B$12*(1+Inputs!$B$13/100))-(Inputs!$B$12*(1+Inputs!$B$13/100)))+0.25*(Inputs!$B$14-Inputs!$B$14))*(1+Inputs!$B$7/100))*(F1522/100)</f>
        <v/>
      </c>
      <c r="K1522">
        <f>J1522*(1+((Inputs!$B$12*(1+Inputs!$B$13/100))*0.01+Inputs!$B$14*0.0025)/100)*(1+Inputs!$B$15/100)*(1+Inputs!$B$16/100)*(5000/(6000+Inputs!$B$42*(1-(Inputs!$B$19+0)/100)))*(1+(Inputs!$B$24+((C1535=TRUE)*(F1535-Calc!F26))+B1545)/100)*(1+(IF(Skills!A13="EIGHT_LEGS_EASTON",Inputs!$B$17+((C1532=TRUE)*(F1532-Calc!F23))+((C1536=TRUE)*(F1536-Calc!F27)),Inputs!$B$18+0))/100)*((1+(((C1526=TRUE)*F1526)+((C1533=TRUE)*(F1533-Calc!F24)))/100)*I1522)</f>
        <v/>
      </c>
      <c r="L1522">
        <f>K1522*(MIN(Inputs!$B$22+((C1531=TRUE)*(F1531-Calc!F22)),Inputs!$B$23+0)/100+(Inputs!$B$23+0)/100)/2</f>
        <v/>
      </c>
      <c r="M1522">
        <f>L1522*(1+(Inputs!$B$10+((C1534=TRUE)*(F1534-Calc!F25))+B1544)/100)</f>
        <v/>
      </c>
      <c r="N1522">
        <f>L1522*(1-MIN((Inputs!$B$9+((C1528=TRUE)*(F1528-Calc!F19))+B1539),100)/100)+M1522*(MIN((Inputs!$B$9+((C1528=TRUE)*(F1528-Calc!F19))+B1539),100)/100)</f>
        <v/>
      </c>
      <c r="O1522">
        <f>(1-Summary!$B$55)*T1522+Summary!$B$55*V1522</f>
        <v/>
      </c>
      <c r="P1522">
        <f>IF(B1549=0,0,O1522/B1549)</f>
        <v/>
      </c>
      <c r="Q1522">
        <f>IFERROR(1/IF(Inputs!$B$38="pvp",15,MAX(0.1,Skills!D13-IF(Skills!E13=TRUE,4.5,0))),0)</f>
        <v/>
      </c>
      <c r="R1522">
        <f>IF(AND(Inputs!$B$38&lt;&gt;"pvp",Inputs!$B$43&gt;0),IF(MAX(0,Inputs!$B$43-B1546)&lt;=0,0,(INT(MAX(0,Inputs!$B$43-B1546)/IF(Inputs!$B$38="pvp",15,MAX(0.1,Skills!D13-IF(Skills!E13=TRUE,4.5,0))))+1)),0)</f>
        <v/>
      </c>
      <c r="S1522">
        <f>IFERROR(O1522/N1522,0)</f>
        <v/>
      </c>
      <c r="T1522">
        <f>IF(C1522,(H1522*N1522*IF(AND(Inputs!$B$38&lt;&gt;"pvp",Inputs!$B$43&gt;0),((Skills!G13*((R1522-1)*IF(Skills!H13&gt;0,Skills!I13/Skills!H13,1)+IF(Skills!H13&gt;0,MIN(Skills!I13,MAX(0,MAX(0,Inputs!$B$43-B1546)-((R1522-1)*IF(Inputs!$B$38="pvp",15,MAX(0.1,Skills!D13-IF(Skills!E13=TRUE,4.5,0))))))/Skills!H13,1)))/Inputs!$B$43),G1522*Q1522))*IF(Inputs!$B$38="pvp",1,1+(Inputs!$B$20+0+Skills!P13)/100),0)</f>
        <v/>
      </c>
      <c r="V1522">
        <f>IF(C1522,(H1522*N1522*IF(AND(Inputs!$B$38&lt;&gt;"pvp",Inputs!$B$43&gt;0),((Skills!G13*((R1522-1)*IF(Skills!H13&gt;0,Skills!I13/Skills!H13,1)+IF(Skills!H13&gt;0,MIN(Skills!I13,MAX(0,MAX(0,Inputs!$B$43-B1546)-((R1522-1)*IF(Inputs!$B$38="pvp",15,MAX(0.1,Skills!D13-IF(Skills!E13=TRUE,4.5,0))))))/Skills!H13,1)))/Inputs!$B$43),G1522*Q1522))*IF(Inputs!$B$38="pvp",1,(1+(Inputs!$B$21+Skills!Q13)/100)*(MIN(Skills!R13,Inputs!$B$37))),0)</f>
        <v/>
      </c>
    </row>
    <row r="1523">
      <c r="A1523">
        <f>Skills!A14</f>
        <v/>
      </c>
      <c r="B1523">
        <f>Skills!B14</f>
        <v/>
      </c>
      <c r="C1523">
        <f>Inputs!$B$3&gt;=125</f>
        <v/>
      </c>
      <c r="D1523">
        <f>IF(Skills!C14=1,60+Inputs!$B$25+Inputs!$B$29,IF(Skills!C14=2,90+Inputs!$B$26+Inputs!$B$29,IF(Skills!C14=3,120+Inputs!$B$27+Inputs!$B$29,MAX(0,(Inputs!$B$3-100)*3)+Inputs!$B$28+Inputs!$B$29)))</f>
        <v/>
      </c>
      <c r="E1523">
        <f>INDEX(FactorTable!$B$2:$Y$301, MATCH(ROUND(MIN(300,MAX(1,D1523)),0), FactorTable!$A$2:$A$301,0), Skills!M14+1)</f>
        <v/>
      </c>
      <c r="F1523">
        <f>IF(Skills!N14=TRUE,(Skills!L14/10)*(E1523/1000),Skills!L14/10)+Skills!O14</f>
        <v/>
      </c>
      <c r="G1523">
        <f>Skills!G14*IF(Skills!H14&gt;0,Skills!I14/Skills!H14,1)</f>
        <v/>
      </c>
      <c r="H1523">
        <f>1-(1-Skills!J14/100)^Skills!K14</f>
        <v/>
      </c>
      <c r="I1523" t="inlineStr">
        <is>
          <t>1</t>
        </is>
      </c>
      <c r="J1523">
        <f>((Inputs!$B$6*(1+Inputs!$B$7/100))+(((Inputs!$B$12*(1+Inputs!$B$13/100))-(Inputs!$B$12*(1+Inputs!$B$13/100)))+0.25*(Inputs!$B$14-Inputs!$B$14))*(1+Inputs!$B$7/100))*(F1523/100)</f>
        <v/>
      </c>
      <c r="K1523">
        <f>J1523*(1+((Inputs!$B$12*(1+Inputs!$B$13/100))*0.01+Inputs!$B$14*0.0025)/100)*(1+Inputs!$B$15/100)*(1+Inputs!$B$16/100)*(5000/(6000+Inputs!$B$42*(1-(Inputs!$B$19+0)/100)))*(1+(Inputs!$B$24+((C1535=TRUE)*(F1535-Calc!F26))+B1545)/100)*(1+(IF(Skills!A14="EIGHT_LEGS_EASTON",Inputs!$B$17+((C1532=TRUE)*(F1532-Calc!F23))+((C1536=TRUE)*(F1536-Calc!F27)),Inputs!$B$18+0))/100)*((1+(((C1526=TRUE)*F1526)+((C1533=TRUE)*(F1533-Calc!F24)))/100)*I1523)</f>
        <v/>
      </c>
      <c r="L1523">
        <f>K1523*(MIN(Inputs!$B$22+((C1531=TRUE)*(F1531-Calc!F22)),Inputs!$B$23+0)/100+(Inputs!$B$23+0)/100)/2</f>
        <v/>
      </c>
      <c r="M1523">
        <f>L1523*(1+(Inputs!$B$10+((C1534=TRUE)*(F1534-Calc!F25))+B1544)/100)</f>
        <v/>
      </c>
      <c r="N1523">
        <f>L1523*(1-MIN((Inputs!$B$9+((C1528=TRUE)*(F1528-Calc!F19))+B1539),100)/100)+M1523*(MIN((Inputs!$B$9+((C1528=TRUE)*(F1528-Calc!F19))+B1539),100)/100)</f>
        <v/>
      </c>
      <c r="O1523">
        <f>(1-Summary!$B$55)*T1523+Summary!$B$55*V1523</f>
        <v/>
      </c>
      <c r="P1523">
        <f>IF(B1549=0,0,O1523/B1549)</f>
        <v/>
      </c>
      <c r="Q1523" t="n">
        <v>0</v>
      </c>
      <c r="R1523" t="n">
        <v>0</v>
      </c>
      <c r="S1523">
        <f>IFERROR(O1523/N1523,0)</f>
        <v/>
      </c>
      <c r="T1523">
        <f>IF(C1523,(H1523*N1523*(B1543+IF(AND(Inputs!$B$38&lt;&gt;"pvp",Inputs!$B$43&gt;0),((Skills!G8*((R1517-1)*IF(Skills!H8&gt;0,Skills!I8/Skills!H8,1)+IF(Skills!H8&gt;0,MIN(Skills!I8,MAX(0,MAX(0,Inputs!$B$43-B1546)-((R1517-1)*IF(Inputs!$B$38="pvp",15,MAX(0.1,Skills!D8-IF(Skills!E8=TRUE,4.5,0))))))/Skills!H8,1)))/Inputs!$B$43),G1517*Q1517)+IF(AND(Inputs!$B$38&lt;&gt;"pvp",Inputs!$B$43&gt;0),((Skills!G11*((R1520-1)*IF(Skills!H11&gt;0,Skills!I11/Skills!H11,1)+IF(Skills!H11&gt;0,MIN(Skills!I11,MAX(0,MAX(0,Inputs!$B$43-B1546)-((R1520-1)*IF(Inputs!$B$38="pvp",15,MAX(0.1,Skills!D11-IF(Skills!E11=TRUE,4.5,0))))))/Skills!H11,1)))/Inputs!$B$43),G1520*Q1520)))*IF(Inputs!$B$38="pvp",1,1+(Inputs!$B$20+0+Skills!P14)/100),0)</f>
        <v/>
      </c>
      <c r="V1523">
        <f>IF(C1523,(H1523*N1523*(B1543+IF(AND(Inputs!$B$38&lt;&gt;"pvp",Inputs!$B$43&gt;0),((Skills!G8*((R1517-1)*IF(Skills!H8&gt;0,Skills!I8/Skills!H8,1)+IF(Skills!H8&gt;0,MIN(Skills!I8,MAX(0,MAX(0,Inputs!$B$43-B1546)-((R1517-1)*IF(Inputs!$B$38="pvp",15,MAX(0.1,Skills!D8-IF(Skills!E8=TRUE,4.5,0))))))/Skills!H8,1)))/Inputs!$B$43),G1517*Q1517)+IF(AND(Inputs!$B$38&lt;&gt;"pvp",Inputs!$B$43&gt;0),((Skills!G11*((R1520-1)*IF(Skills!H11&gt;0,Skills!I11/Skills!H11,1)+IF(Skills!H11&gt;0,MIN(Skills!I11,MAX(0,MAX(0,Inputs!$B$43-B1546)-((R1520-1)*IF(Inputs!$B$38="pvp",15,MAX(0.1,Skills!D11-IF(Skills!E11=TRUE,4.5,0))))))/Skills!H11,1)))/Inputs!$B$43),G1520*Q1520)))*IF(Inputs!$B$38="pvp",1,(1+(Inputs!$B$21+Skills!Q14)/100)*(MIN(Skills!R14,Inputs!$B$37))),0)</f>
        <v/>
      </c>
    </row>
    <row r="1524">
      <c r="A1524">
        <f>Skills!A15</f>
        <v/>
      </c>
      <c r="B1524">
        <f>Skills!B15</f>
        <v/>
      </c>
      <c r="C1524">
        <f>Inputs!$B$3&gt;=100</f>
        <v/>
      </c>
      <c r="D1524">
        <f>IF(Skills!C15=1,60+Inputs!$B$25+Inputs!$B$29,IF(Skills!C15=2,90+Inputs!$B$26+Inputs!$B$29,IF(Skills!C15=3,120+Inputs!$B$27+Inputs!$B$29,MAX(0,(Inputs!$B$3-100)*3)+Inputs!$B$28+Inputs!$B$29)))</f>
        <v/>
      </c>
      <c r="E1524">
        <f>INDEX(FactorTable!$B$2:$Y$301, MATCH(ROUND(MIN(300,MAX(1,D1524)),0), FactorTable!$A$2:$A$301,0), Skills!M15+1)</f>
        <v/>
      </c>
      <c r="F1524">
        <f>IF(Skills!N15=TRUE,(Skills!L15/10)*(E1524/1000),Skills!L15/10)+Skills!O15</f>
        <v/>
      </c>
      <c r="G1524" t="inlineStr"/>
      <c r="H1524" t="inlineStr"/>
      <c r="I1524" t="inlineStr">
        <is>
          <t>1</t>
        </is>
      </c>
      <c r="J1524" t="inlineStr"/>
      <c r="K1524" t="inlineStr"/>
      <c r="L1524" t="inlineStr"/>
      <c r="M1524" t="inlineStr"/>
      <c r="N1524" t="inlineStr"/>
      <c r="O1524" t="inlineStr"/>
      <c r="P1524" t="inlineStr"/>
      <c r="Q1524" t="inlineStr"/>
      <c r="R1524" t="inlineStr"/>
      <c r="S1524" t="inlineStr"/>
    </row>
    <row r="1525">
      <c r="A1525">
        <f>Skills!A16</f>
        <v/>
      </c>
      <c r="B1525">
        <f>Skills!B16</f>
        <v/>
      </c>
      <c r="C1525">
        <f>Inputs!$B$3&gt;=120</f>
        <v/>
      </c>
      <c r="D1525">
        <f>IF(Skills!C16=1,60+Inputs!$B$25+Inputs!$B$29,IF(Skills!C16=2,90+Inputs!$B$26+Inputs!$B$29,IF(Skills!C16=3,120+Inputs!$B$27+Inputs!$B$29,MAX(0,(Inputs!$B$3-100)*3)+Inputs!$B$28+Inputs!$B$29)))</f>
        <v/>
      </c>
      <c r="E1525">
        <f>INDEX(FactorTable!$B$2:$Y$301, MATCH(ROUND(MIN(300,MAX(1,D1525)),0), FactorTable!$A$2:$A$301,0), Skills!M16+1)</f>
        <v/>
      </c>
      <c r="F1525">
        <f>IF(Skills!N16=TRUE,(Skills!L16/10)*(E1525/1000),Skills!L16/10)+Skills!O16</f>
        <v/>
      </c>
      <c r="G1525" t="inlineStr"/>
      <c r="H1525" t="inlineStr"/>
      <c r="I1525" t="inlineStr">
        <is>
          <t>1</t>
        </is>
      </c>
      <c r="J1525" t="inlineStr"/>
      <c r="K1525" t="inlineStr"/>
      <c r="L1525" t="inlineStr"/>
      <c r="M1525" t="inlineStr"/>
      <c r="N1525" t="inlineStr"/>
      <c r="O1525" t="inlineStr"/>
      <c r="P1525" t="inlineStr"/>
      <c r="Q1525" t="inlineStr"/>
      <c r="R1525" t="inlineStr"/>
      <c r="S1525" t="inlineStr"/>
    </row>
    <row r="1526">
      <c r="A1526">
        <f>Skills!A17</f>
        <v/>
      </c>
      <c r="B1526">
        <f>Skills!B17</f>
        <v/>
      </c>
      <c r="C1526">
        <f>Inputs!$B$3&gt;=66</f>
        <v/>
      </c>
      <c r="D1526">
        <f>IF(Skills!C17=1,60+Inputs!$B$25+Inputs!$B$29,IF(Skills!C17=2,90+Inputs!$B$26+Inputs!$B$29,IF(Skills!C17=3,120+Inputs!$B$27+Inputs!$B$29,MAX(0,(Inputs!$B$3-100)*3)+Inputs!$B$28+Inputs!$B$29)))</f>
        <v/>
      </c>
      <c r="E1526">
        <f>INDEX(FactorTable!$B$2:$Y$301, MATCH(ROUND(MIN(300,MAX(1,D1526)),0), FactorTable!$A$2:$A$301,0), Skills!M17+1)</f>
        <v/>
      </c>
      <c r="F1526">
        <f>IF(Skills!N17=TRUE,(Skills!L17/10)*(E1526/1000),Skills!L17/10)+Skills!O17</f>
        <v/>
      </c>
      <c r="G1526">
        <f>Skills!G17*IF(Skills!H17&gt;0,Skills!I17/Skills!H17,1)</f>
        <v/>
      </c>
      <c r="H1526">
        <f>1-(1-Skills!J17/100)^Skills!K17</f>
        <v/>
      </c>
      <c r="I1526" t="inlineStr">
        <is>
          <t>1</t>
        </is>
      </c>
      <c r="J1526" t="inlineStr"/>
      <c r="K1526" t="inlineStr"/>
      <c r="L1526" t="inlineStr"/>
      <c r="M1526" t="inlineStr"/>
      <c r="N1526" t="inlineStr"/>
      <c r="O1526">
        <f>(1-Summary!$B$55)*T1526+Summary!$B$55*V1526</f>
        <v/>
      </c>
      <c r="P1526">
        <f>IF(B1549=0,0,O1526/B1549)</f>
        <v/>
      </c>
      <c r="Q1526" t="n">
        <v>0</v>
      </c>
      <c r="R1526" t="n">
        <v>0</v>
      </c>
      <c r="S1526">
        <f>IFERROR(O1526/N1526,0)</f>
        <v/>
      </c>
      <c r="T1526" t="n">
        <v>0</v>
      </c>
      <c r="V1526" t="n">
        <v>0</v>
      </c>
    </row>
    <row r="1527">
      <c r="A1527">
        <f>Skills!A18</f>
        <v/>
      </c>
      <c r="B1527">
        <f>Skills!B18</f>
        <v/>
      </c>
      <c r="C1527">
        <f>Inputs!$B$3&gt;=115</f>
        <v/>
      </c>
      <c r="D1527">
        <f>IF(Skills!C18=1,60+Inputs!$B$25+Inputs!$B$29,IF(Skills!C18=2,90+Inputs!$B$26+Inputs!$B$29,IF(Skills!C18=3,120+Inputs!$B$27+Inputs!$B$29,MAX(0,(Inputs!$B$3-100)*3)+Inputs!$B$28+Inputs!$B$29)))</f>
        <v/>
      </c>
      <c r="E1527">
        <f>INDEX(FactorTable!$B$2:$Y$301, MATCH(ROUND(MIN(300,MAX(1,D1527)),0), FactorTable!$A$2:$A$301,0), Skills!M18+1)</f>
        <v/>
      </c>
      <c r="F1527">
        <f>IF(Skills!N18=TRUE,(Skills!L18/10)*(E1527/1000),Skills!L18/10)+Skills!O18</f>
        <v/>
      </c>
      <c r="G1527">
        <f>Skills!G18*IF(Skills!H18&gt;0,Skills!I18/Skills!H18,1)</f>
        <v/>
      </c>
      <c r="H1527">
        <f>1-(1-Skills!J18/100)^Skills!K18</f>
        <v/>
      </c>
      <c r="I1527" t="inlineStr">
        <is>
          <t>1</t>
        </is>
      </c>
      <c r="J1527" t="inlineStr"/>
      <c r="K1527" t="inlineStr"/>
      <c r="L1527" t="inlineStr"/>
      <c r="M1527" t="inlineStr"/>
      <c r="N1527" t="inlineStr"/>
      <c r="O1527">
        <f>(1-Summary!$B$55)*T1527+Summary!$B$55*V1527</f>
        <v/>
      </c>
      <c r="P1527">
        <f>IF(B1549=0,0,O1527/B1549)</f>
        <v/>
      </c>
      <c r="Q1527" t="n">
        <v>0</v>
      </c>
      <c r="R1527" t="n">
        <v>0</v>
      </c>
      <c r="S1527">
        <f>IFERROR(O1527/N1527,0)</f>
        <v/>
      </c>
      <c r="T1527" t="n">
        <v>0</v>
      </c>
      <c r="V1527" t="n">
        <v>0</v>
      </c>
    </row>
    <row r="1528">
      <c r="A1528">
        <f>Skills!A19</f>
        <v/>
      </c>
      <c r="B1528">
        <f>Skills!B19</f>
        <v/>
      </c>
      <c r="C1528">
        <f>Inputs!$B$3&gt;=15</f>
        <v/>
      </c>
      <c r="D1528">
        <f>IF(Skills!C19=1,60+Inputs!$B$25+Inputs!$B$29,IF(Skills!C19=2,90+Inputs!$B$26+Inputs!$B$29,IF(Skills!C19=3,120+Inputs!$B$27+Inputs!$B$29,MAX(0,(Inputs!$B$3-100)*3)+Inputs!$B$28+Inputs!$B$29)))</f>
        <v/>
      </c>
      <c r="E1528">
        <f>INDEX(FactorTable!$B$2:$Y$301, MATCH(ROUND(MIN(300,MAX(1,D1528)),0), FactorTable!$A$2:$A$301,0), Skills!M19+1)</f>
        <v/>
      </c>
      <c r="F1528">
        <f>IF(Skills!N19=TRUE,(Skills!L19/10)*(E1528/1000),Skills!L19/10)+Skills!O19</f>
        <v/>
      </c>
      <c r="G1528">
        <f>Skills!G19*IF(Skills!H19&gt;0,Skills!I19/Skills!H19,1)</f>
        <v/>
      </c>
      <c r="H1528">
        <f>1-(1-Skills!J19/100)^Skills!K19</f>
        <v/>
      </c>
      <c r="I1528" t="inlineStr">
        <is>
          <t>1</t>
        </is>
      </c>
      <c r="J1528" t="inlineStr"/>
      <c r="K1528" t="inlineStr"/>
      <c r="L1528" t="inlineStr"/>
      <c r="M1528" t="inlineStr"/>
      <c r="N1528" t="inlineStr"/>
      <c r="O1528">
        <f>(1-Summary!$B$55)*T1528+Summary!$B$55*V1528</f>
        <v/>
      </c>
      <c r="P1528">
        <f>IF(B1549=0,0,O1528/B1549)</f>
        <v/>
      </c>
      <c r="Q1528" t="n">
        <v>0</v>
      </c>
      <c r="R1528" t="n">
        <v>0</v>
      </c>
      <c r="S1528">
        <f>IFERROR(O1528/N1528,0)</f>
        <v/>
      </c>
      <c r="T1528" t="n">
        <v>0</v>
      </c>
      <c r="V1528" t="n">
        <v>0</v>
      </c>
    </row>
    <row r="1529">
      <c r="A1529">
        <f>Skills!A20</f>
        <v/>
      </c>
      <c r="B1529">
        <f>Skills!B20</f>
        <v/>
      </c>
      <c r="C1529">
        <f>Inputs!$B$3&gt;=10</f>
        <v/>
      </c>
      <c r="D1529">
        <f>IF(Skills!C20=1,60+Inputs!$B$25+Inputs!$B$29,IF(Skills!C20=2,90+Inputs!$B$26+Inputs!$B$29,IF(Skills!C20=3,120+Inputs!$B$27+Inputs!$B$29,MAX(0,(Inputs!$B$3-100)*3)+Inputs!$B$28+Inputs!$B$29)))</f>
        <v/>
      </c>
      <c r="E1529">
        <f>INDEX(FactorTable!$B$2:$Y$301, MATCH(ROUND(MIN(300,MAX(1,D1529)),0), FactorTable!$A$2:$A$301,0), Skills!M20+1)</f>
        <v/>
      </c>
      <c r="F1529">
        <f>IF(Skills!N20=TRUE,(Skills!L20/10)*(E1529/1000),Skills!L20/10)+Skills!O20</f>
        <v/>
      </c>
      <c r="G1529">
        <f>Skills!G20*IF(Skills!H20&gt;0,Skills!I20/Skills!H20,1)</f>
        <v/>
      </c>
      <c r="H1529">
        <f>1-(1-Skills!J20/100)^Skills!K20</f>
        <v/>
      </c>
      <c r="I1529" t="inlineStr">
        <is>
          <t>1</t>
        </is>
      </c>
      <c r="J1529" t="inlineStr"/>
      <c r="K1529" t="inlineStr"/>
      <c r="L1529" t="inlineStr"/>
      <c r="M1529" t="inlineStr"/>
      <c r="N1529" t="inlineStr"/>
      <c r="O1529">
        <f>(1-Summary!$B$55)*T1529+Summary!$B$55*V1529</f>
        <v/>
      </c>
      <c r="P1529">
        <f>IF(B1549=0,0,O1529/B1549)</f>
        <v/>
      </c>
      <c r="Q1529" t="n">
        <v>0</v>
      </c>
      <c r="R1529" t="n">
        <v>0</v>
      </c>
      <c r="S1529">
        <f>IFERROR(O1529/N1529,0)</f>
        <v/>
      </c>
      <c r="T1529" t="n">
        <v>0</v>
      </c>
      <c r="V1529" t="n">
        <v>0</v>
      </c>
    </row>
    <row r="1530">
      <c r="A1530">
        <f>Skills!A21</f>
        <v/>
      </c>
      <c r="B1530">
        <f>Skills!B21</f>
        <v/>
      </c>
      <c r="C1530">
        <f>Inputs!$B$3&gt;=33</f>
        <v/>
      </c>
      <c r="D1530">
        <f>IF(Skills!C21=1,60+Inputs!$B$25+Inputs!$B$29,IF(Skills!C21=2,90+Inputs!$B$26+Inputs!$B$29,IF(Skills!C21=3,120+Inputs!$B$27+Inputs!$B$29,MAX(0,(Inputs!$B$3-100)*3)+Inputs!$B$28+Inputs!$B$29)))</f>
        <v/>
      </c>
      <c r="E1530">
        <f>INDEX(FactorTable!$B$2:$Y$301, MATCH(ROUND(MIN(300,MAX(1,D1530)),0), FactorTable!$A$2:$A$301,0), Skills!M21+1)</f>
        <v/>
      </c>
      <c r="F1530">
        <f>IF(Skills!N21=TRUE,(Skills!L21/10)*(E1530/1000),Skills!L21/10)+Skills!O21</f>
        <v/>
      </c>
      <c r="G1530">
        <f>Skills!G21*IF(Skills!H21&gt;0,Skills!I21/Skills!H21,1)</f>
        <v/>
      </c>
      <c r="H1530">
        <f>1-(1-Skills!J21/100)^Skills!K21</f>
        <v/>
      </c>
      <c r="I1530" t="inlineStr">
        <is>
          <t>1</t>
        </is>
      </c>
      <c r="J1530" t="inlineStr"/>
      <c r="K1530" t="inlineStr"/>
      <c r="L1530" t="inlineStr"/>
      <c r="M1530" t="inlineStr"/>
      <c r="N1530" t="inlineStr"/>
      <c r="O1530">
        <f>(1-Summary!$B$55)*T1530+Summary!$B$55*V1530</f>
        <v/>
      </c>
      <c r="P1530">
        <f>IF(B1549=0,0,O1530/B1549)</f>
        <v/>
      </c>
      <c r="Q1530" t="n">
        <v>0</v>
      </c>
      <c r="R1530" t="n">
        <v>0</v>
      </c>
      <c r="S1530">
        <f>IFERROR(O1530/N1530,0)</f>
        <v/>
      </c>
      <c r="T1530" t="n">
        <v>0</v>
      </c>
      <c r="V1530" t="n">
        <v>0</v>
      </c>
    </row>
    <row r="1531">
      <c r="A1531">
        <f>Skills!A22</f>
        <v/>
      </c>
      <c r="B1531">
        <f>Skills!B22</f>
        <v/>
      </c>
      <c r="C1531">
        <f>Inputs!$B$3&gt;=43</f>
        <v/>
      </c>
      <c r="D1531">
        <f>IF(Skills!C22=1,60+Inputs!$B$25+Inputs!$B$29,IF(Skills!C22=2,90+Inputs!$B$26+Inputs!$B$29,IF(Skills!C22=3,120+Inputs!$B$27+Inputs!$B$29,MAX(0,(Inputs!$B$3-100)*3)+Inputs!$B$28+Inputs!$B$29)))</f>
        <v/>
      </c>
      <c r="E1531">
        <f>INDEX(FactorTable!$B$2:$Y$301, MATCH(ROUND(MIN(300,MAX(1,D1531)),0), FactorTable!$A$2:$A$301,0), Skills!M22+1)</f>
        <v/>
      </c>
      <c r="F1531">
        <f>IF(Skills!N22=TRUE,(Skills!L22/10)*(E1531/1000),Skills!L22/10)+Skills!O22</f>
        <v/>
      </c>
      <c r="G1531">
        <f>Skills!G22*IF(Skills!H22&gt;0,Skills!I22/Skills!H22,1)</f>
        <v/>
      </c>
      <c r="H1531">
        <f>1-(1-Skills!J22/100)^Skills!K22</f>
        <v/>
      </c>
      <c r="I1531" t="inlineStr">
        <is>
          <t>1</t>
        </is>
      </c>
      <c r="J1531" t="inlineStr"/>
      <c r="K1531" t="inlineStr"/>
      <c r="L1531" t="inlineStr"/>
      <c r="M1531" t="inlineStr"/>
      <c r="N1531" t="inlineStr"/>
      <c r="O1531">
        <f>(1-Summary!$B$55)*T1531+Summary!$B$55*V1531</f>
        <v/>
      </c>
      <c r="P1531">
        <f>IF(B1549=0,0,O1531/B1549)</f>
        <v/>
      </c>
      <c r="Q1531" t="n">
        <v>0</v>
      </c>
      <c r="R1531" t="n">
        <v>0</v>
      </c>
      <c r="S1531">
        <f>IFERROR(O1531/N1531,0)</f>
        <v/>
      </c>
      <c r="T1531" t="n">
        <v>0</v>
      </c>
      <c r="V1531" t="n">
        <v>0</v>
      </c>
    </row>
    <row r="1532">
      <c r="A1532">
        <f>Skills!A23</f>
        <v/>
      </c>
      <c r="B1532">
        <f>Skills!B23</f>
        <v/>
      </c>
      <c r="C1532">
        <f>Inputs!$B$3&gt;=38</f>
        <v/>
      </c>
      <c r="D1532">
        <f>IF(Skills!C23=1,60+Inputs!$B$25+Inputs!$B$29,IF(Skills!C23=2,90+Inputs!$B$26+Inputs!$B$29,IF(Skills!C23=3,120+Inputs!$B$27+Inputs!$B$29,MAX(0,(Inputs!$B$3-100)*3)+Inputs!$B$28+Inputs!$B$29)))</f>
        <v/>
      </c>
      <c r="E1532">
        <f>INDEX(FactorTable!$B$2:$Y$301, MATCH(ROUND(MIN(300,MAX(1,D1532)),0), FactorTable!$A$2:$A$301,0), Skills!M23+1)</f>
        <v/>
      </c>
      <c r="F1532">
        <f>IF(Skills!N23=TRUE,(Skills!L23/10)*(E1532/1000),Skills!L23/10)+Skills!O23</f>
        <v/>
      </c>
      <c r="G1532">
        <f>Skills!G23*IF(Skills!H23&gt;0,Skills!I23/Skills!H23,1)</f>
        <v/>
      </c>
      <c r="H1532">
        <f>1-(1-Skills!J23/100)^Skills!K23</f>
        <v/>
      </c>
      <c r="I1532" t="inlineStr">
        <is>
          <t>1</t>
        </is>
      </c>
      <c r="J1532" t="inlineStr"/>
      <c r="K1532" t="inlineStr"/>
      <c r="L1532" t="inlineStr"/>
      <c r="M1532" t="inlineStr"/>
      <c r="N1532" t="inlineStr"/>
      <c r="O1532">
        <f>(1-Summary!$B$55)*T1532+Summary!$B$55*V1532</f>
        <v/>
      </c>
      <c r="P1532">
        <f>IF(B1549=0,0,O1532/B1549)</f>
        <v/>
      </c>
      <c r="Q1532" t="n">
        <v>0</v>
      </c>
      <c r="R1532" t="n">
        <v>0</v>
      </c>
      <c r="S1532">
        <f>IFERROR(O1532/N1532,0)</f>
        <v/>
      </c>
      <c r="T1532" t="n">
        <v>0</v>
      </c>
      <c r="V1532" t="n">
        <v>0</v>
      </c>
    </row>
    <row r="1533">
      <c r="A1533">
        <f>Skills!A24</f>
        <v/>
      </c>
      <c r="B1533">
        <f>Skills!B24</f>
        <v/>
      </c>
      <c r="C1533">
        <f>Inputs!$B$3&gt;=40</f>
        <v/>
      </c>
      <c r="D1533">
        <f>IF(Skills!C24=1,60+Inputs!$B$25+Inputs!$B$29,IF(Skills!C24=2,90+Inputs!$B$26+Inputs!$B$29,IF(Skills!C24=3,120+Inputs!$B$27+Inputs!$B$29,MAX(0,(Inputs!$B$3-100)*3)+Inputs!$B$28+Inputs!$B$29)))</f>
        <v/>
      </c>
      <c r="E1533">
        <f>INDEX(FactorTable!$B$2:$Y$301, MATCH(ROUND(MIN(300,MAX(1,D1533)),0), FactorTable!$A$2:$A$301,0), Skills!M24+1)</f>
        <v/>
      </c>
      <c r="F1533">
        <f>IF(Skills!N24=TRUE,(Skills!L24/10)*(E1533/1000),Skills!L24/10)+Skills!O24</f>
        <v/>
      </c>
      <c r="G1533">
        <f>Skills!G24*IF(Skills!H24&gt;0,Skills!I24/Skills!H24,1)</f>
        <v/>
      </c>
      <c r="H1533">
        <f>1-(1-Skills!J24/100)^Skills!K24</f>
        <v/>
      </c>
      <c r="I1533" t="inlineStr">
        <is>
          <t>1</t>
        </is>
      </c>
      <c r="J1533" t="inlineStr"/>
      <c r="K1533" t="inlineStr"/>
      <c r="L1533" t="inlineStr"/>
      <c r="M1533" t="inlineStr"/>
      <c r="N1533" t="inlineStr"/>
      <c r="O1533">
        <f>(1-Summary!$B$55)*T1533+Summary!$B$55*V1533</f>
        <v/>
      </c>
      <c r="P1533">
        <f>IF(B1549=0,0,O1533/B1549)</f>
        <v/>
      </c>
      <c r="Q1533" t="n">
        <v>0</v>
      </c>
      <c r="R1533" t="n">
        <v>0</v>
      </c>
      <c r="S1533">
        <f>IFERROR(O1533/N1533,0)</f>
        <v/>
      </c>
      <c r="T1533" t="n">
        <v>0</v>
      </c>
      <c r="V1533" t="n">
        <v>0</v>
      </c>
    </row>
    <row r="1534">
      <c r="A1534">
        <f>Skills!A25</f>
        <v/>
      </c>
      <c r="B1534">
        <f>Skills!B25</f>
        <v/>
      </c>
      <c r="C1534">
        <f>Inputs!$B$3&gt;=72</f>
        <v/>
      </c>
      <c r="D1534">
        <f>IF(Skills!C25=1,60+Inputs!$B$25+Inputs!$B$29,IF(Skills!C25=2,90+Inputs!$B$26+Inputs!$B$29,IF(Skills!C25=3,120+Inputs!$B$27+Inputs!$B$29,MAX(0,(Inputs!$B$3-100)*3)+Inputs!$B$28+Inputs!$B$29)))</f>
        <v/>
      </c>
      <c r="E1534">
        <f>INDEX(FactorTable!$B$2:$Y$301, MATCH(ROUND(MIN(300,MAX(1,D1534)),0), FactorTable!$A$2:$A$301,0), Skills!M25+1)</f>
        <v/>
      </c>
      <c r="F1534">
        <f>IF(Skills!N25=TRUE,(Skills!L25/10)*(E1534/1000),Skills!L25/10)+Skills!O25</f>
        <v/>
      </c>
      <c r="G1534">
        <f>Skills!G25*IF(Skills!H25&gt;0,Skills!I25/Skills!H25,1)</f>
        <v/>
      </c>
      <c r="H1534">
        <f>1-(1-Skills!J25/100)^Skills!K25</f>
        <v/>
      </c>
      <c r="I1534" t="inlineStr">
        <is>
          <t>1</t>
        </is>
      </c>
      <c r="J1534" t="inlineStr"/>
      <c r="K1534" t="inlineStr"/>
      <c r="L1534" t="inlineStr"/>
      <c r="M1534" t="inlineStr"/>
      <c r="N1534" t="inlineStr"/>
      <c r="O1534">
        <f>(1-Summary!$B$55)*T1534+Summary!$B$55*V1534</f>
        <v/>
      </c>
      <c r="P1534">
        <f>IF(B1549=0,0,O1534/B1549)</f>
        <v/>
      </c>
      <c r="Q1534" t="n">
        <v>0</v>
      </c>
      <c r="R1534" t="n">
        <v>0</v>
      </c>
      <c r="S1534">
        <f>IFERROR(O1534/N1534,0)</f>
        <v/>
      </c>
      <c r="T1534" t="n">
        <v>0</v>
      </c>
      <c r="V1534" t="n">
        <v>0</v>
      </c>
    </row>
    <row r="1535">
      <c r="A1535">
        <f>Skills!A26</f>
        <v/>
      </c>
      <c r="B1535">
        <f>Skills!B26</f>
        <v/>
      </c>
      <c r="C1535">
        <f>Inputs!$B$3&gt;=75</f>
        <v/>
      </c>
      <c r="D1535">
        <f>IF(Skills!C26=1,60+Inputs!$B$25+Inputs!$B$29,IF(Skills!C26=2,90+Inputs!$B$26+Inputs!$B$29,IF(Skills!C26=3,120+Inputs!$B$27+Inputs!$B$29,MAX(0,(Inputs!$B$3-100)*3)+Inputs!$B$28+Inputs!$B$29)))</f>
        <v/>
      </c>
      <c r="E1535">
        <f>INDEX(FactorTable!$B$2:$Y$301, MATCH(ROUND(MIN(300,MAX(1,D1535)),0), FactorTable!$A$2:$A$301,0), Skills!M26+1)</f>
        <v/>
      </c>
      <c r="F1535">
        <f>IF(Skills!N26=TRUE,(Skills!L26/10)*(E1535/1000),Skills!L26/10)+Skills!O26</f>
        <v/>
      </c>
      <c r="G1535">
        <f>Skills!G26*IF(Skills!H26&gt;0,Skills!I26/Skills!H26,1)</f>
        <v/>
      </c>
      <c r="H1535">
        <f>1-(1-Skills!J26/100)^Skills!K26</f>
        <v/>
      </c>
      <c r="I1535" t="inlineStr">
        <is>
          <t>1</t>
        </is>
      </c>
      <c r="J1535" t="inlineStr"/>
      <c r="K1535" t="inlineStr"/>
      <c r="L1535" t="inlineStr"/>
      <c r="M1535" t="inlineStr"/>
      <c r="N1535" t="inlineStr"/>
      <c r="O1535">
        <f>(1-Summary!$B$55)*T1535+Summary!$B$55*V1535</f>
        <v/>
      </c>
      <c r="P1535">
        <f>IF(B1549=0,0,O1535/B1549)</f>
        <v/>
      </c>
      <c r="Q1535" t="n">
        <v>0</v>
      </c>
      <c r="R1535" t="n">
        <v>0</v>
      </c>
      <c r="S1535">
        <f>IFERROR(O1535/N1535,0)</f>
        <v/>
      </c>
      <c r="T1535" t="n">
        <v>0</v>
      </c>
      <c r="V1535" t="n">
        <v>0</v>
      </c>
    </row>
    <row r="1536">
      <c r="A1536">
        <f>Skills!A27</f>
        <v/>
      </c>
      <c r="B1536">
        <f>Skills!B27</f>
        <v/>
      </c>
      <c r="C1536">
        <f>Inputs!$B$3&gt;=117</f>
        <v/>
      </c>
      <c r="D1536">
        <f>IF(Skills!C27=1,60+Inputs!$B$25+Inputs!$B$29,IF(Skills!C27=2,90+Inputs!$B$26+Inputs!$B$29,IF(Skills!C27=3,120+Inputs!$B$27+Inputs!$B$29,MAX(0,(Inputs!$B$3-100)*3)+Inputs!$B$28+Inputs!$B$29)))</f>
        <v/>
      </c>
      <c r="E1536">
        <f>INDEX(FactorTable!$B$2:$Y$301, MATCH(ROUND(MIN(300,MAX(1,D1536)),0), FactorTable!$A$2:$A$301,0), Skills!M27+1)</f>
        <v/>
      </c>
      <c r="F1536">
        <f>IF(Skills!N27=TRUE,(Skills!L27/10)*(E1536/1000),Skills!L27/10)+Skills!O27</f>
        <v/>
      </c>
      <c r="G1536">
        <f>Skills!G27*IF(Skills!H27&gt;0,Skills!I27/Skills!H27,1)</f>
        <v/>
      </c>
      <c r="H1536">
        <f>1-(1-Skills!J27/100)^Skills!K27</f>
        <v/>
      </c>
      <c r="I1536" t="inlineStr">
        <is>
          <t>1</t>
        </is>
      </c>
      <c r="J1536" t="inlineStr"/>
      <c r="K1536" t="inlineStr"/>
      <c r="L1536" t="inlineStr"/>
      <c r="M1536" t="inlineStr"/>
      <c r="N1536" t="inlineStr"/>
      <c r="O1536">
        <f>(1-Summary!$B$55)*T1536+Summary!$B$55*V1536</f>
        <v/>
      </c>
      <c r="P1536">
        <f>IF(B1549=0,0,O1536/B1549)</f>
        <v/>
      </c>
      <c r="Q1536" t="n">
        <v>0</v>
      </c>
      <c r="R1536" t="n">
        <v>0</v>
      </c>
      <c r="S1536">
        <f>IFERROR(O1536/N1536,0)</f>
        <v/>
      </c>
      <c r="T1536" t="n">
        <v>0</v>
      </c>
      <c r="V1536" t="n">
        <v>0</v>
      </c>
    </row>
    <row r="1538">
      <c r="A1538" t="inlineStr">
        <is>
          <t>Attack% Bucket Multiplier</t>
        </is>
      </c>
      <c r="B1538">
        <f>(1+(((C1526=TRUE)*F1526)+((C1533=TRUE)*(F1533-Calc!F24)))/100)</f>
        <v/>
      </c>
    </row>
    <row r="1539">
      <c r="A1539" t="inlineStr">
        <is>
          <t>Global Crit Rate Bonus %</t>
        </is>
      </c>
      <c r="B1539" t="n">
        <v>0</v>
      </c>
    </row>
    <row r="1540">
      <c r="A1540" t="inlineStr">
        <is>
          <t>Attack Speed Buff Bonus % (unused)</t>
        </is>
      </c>
      <c r="B1540" t="n">
        <v>0</v>
      </c>
    </row>
    <row r="1541">
      <c r="A1541" t="inlineStr">
        <is>
          <t>Actions Per Second</t>
        </is>
      </c>
      <c r="B1541">
        <f>1+MIN(150,150*(1-(1-(Inputs!$B$11+((C1529=TRUE)*(F1529-Calc!F20))+((C1530=TRUE)*(F1530-Calc!F21)))/150)*(1-B1540/150)))/100</f>
        <v/>
      </c>
    </row>
    <row r="1542">
      <c r="A1542" t="inlineStr">
        <is>
          <t>Skill + Buff Cast Rate</t>
        </is>
      </c>
      <c r="B1542">
        <f>IF(AND(Inputs!$B$38&lt;&gt;"pvp",Inputs!$B$43&gt;0),SUMPRODUCT((Skills!E2:E27=TRUE)*(C1511:C1536=TRUE)*R1511:R1536*Skills!F2:F27)/Inputs!$B$43,SUMPRODUCT((Skills!E2:E27=TRUE)*(C1511:C1536=TRUE)*Q1511:Q1536*Skills!F2:F27))</f>
        <v/>
      </c>
    </row>
    <row r="1543">
      <c r="A1543" t="inlineStr">
        <is>
          <t>Eight-Legs Easton Casts Per Second</t>
        </is>
      </c>
      <c r="B1543">
        <f>MAX(0,B1541-B1542)</f>
        <v/>
      </c>
    </row>
    <row r="1544">
      <c r="A1544" t="inlineStr">
        <is>
          <t>Global Critical Damage Bonus % (unused)</t>
        </is>
      </c>
      <c r="B1544" t="n">
        <v>0</v>
      </c>
    </row>
    <row r="1545">
      <c r="A1545" t="inlineStr">
        <is>
          <t>Global Final Damage Bonus % (Jolly Roger only)</t>
        </is>
      </c>
      <c r="B1545">
        <f>((C1527=TRUE)*F1527)</f>
        <v/>
      </c>
    </row>
    <row r="1546">
      <c r="A1546" t="inlineStr">
        <is>
          <t>Buff-Casting Startup Delay (s, fixed-duration only)</t>
        </is>
      </c>
      <c r="B1546">
        <f>IF(AND(Inputs!$B$38&lt;&gt;"pvp",Inputs!$B$43&gt;0),SUMPRODUCT((Skills!T2:T27&gt;0)*(Skills!E2:E27=TRUE)*(C1511:C1536=TRUE))/B1541,0)</f>
        <v/>
      </c>
    </row>
    <row r="1547">
      <c r="A1547" t="inlineStr">
        <is>
          <t>Boss-Only Total DPS (this block's swept value)</t>
        </is>
      </c>
      <c r="B1547">
        <f>SUM(T1511:T1536)</f>
        <v/>
      </c>
    </row>
    <row r="1548">
      <c r="A1548" t="inlineStr">
        <is>
          <t>Normal-Only Total DPS (this block's swept value)</t>
        </is>
      </c>
      <c r="B1548">
        <f>SUM(V1511:V1536)</f>
        <v/>
      </c>
    </row>
    <row r="1549">
      <c r="A1549" s="5" t="inlineStr">
        <is>
          <t>TOTAL DPS</t>
        </is>
      </c>
      <c r="B1549" s="5">
        <f>SUM(O1511:O1536)</f>
        <v/>
      </c>
    </row>
    <row r="1552">
      <c r="A1552" s="5" t="inlineStr">
        <is>
          <t>Stat: CDR = 5.0s</t>
        </is>
      </c>
    </row>
    <row r="1553">
      <c r="A1553" s="9" t="inlineStr">
        <is>
          <t>Key</t>
        </is>
      </c>
      <c r="B1553" s="9" t="inlineStr">
        <is>
          <t>Name</t>
        </is>
      </c>
      <c r="C1553" s="9" t="inlineStr">
        <is>
          <t>Unlocked</t>
        </is>
      </c>
      <c r="D1553" s="9" t="inlineStr">
        <is>
          <t>InputLevel</t>
        </is>
      </c>
      <c r="E1553" s="9" t="inlineStr">
        <is>
          <t>Factor</t>
        </is>
      </c>
      <c r="F1553" s="9" t="inlineStr">
        <is>
          <t>CoefficientPercent</t>
        </is>
      </c>
      <c r="G1553" s="9" t="inlineStr">
        <is>
          <t>EffectiveHits</t>
        </is>
      </c>
      <c r="H1553" s="9" t="inlineStr">
        <is>
          <t>ProcProbability</t>
        </is>
      </c>
      <c r="I1553" s="9" t="inlineStr">
        <is>
          <t>MapleHeroMultiplier</t>
        </is>
      </c>
      <c r="J1553" s="9" t="inlineStr">
        <is>
          <t>BaseDamage</t>
        </is>
      </c>
      <c r="K1553" s="9" t="inlineStr">
        <is>
          <t>BaseHitDamage</t>
        </is>
      </c>
      <c r="L1553" s="9" t="inlineStr">
        <is>
          <t>NonCritAvg</t>
        </is>
      </c>
      <c r="M1553" s="9" t="inlineStr">
        <is>
          <t>CritAvg</t>
        </is>
      </c>
      <c r="N1553" s="9" t="inlineStr">
        <is>
          <t>ExpectedDamage(perHit)</t>
        </is>
      </c>
      <c r="O1553" s="9" t="inlineStr">
        <is>
          <t>DPS</t>
        </is>
      </c>
      <c r="P1553" s="9" t="inlineStr">
        <is>
          <t>% of Total</t>
        </is>
      </c>
      <c r="Q1553" s="9" t="inlineStr">
        <is>
          <t>InvCooldown</t>
        </is>
      </c>
      <c r="R1553" s="9" t="inlineStr">
        <is>
          <t>CastsInFight</t>
        </is>
      </c>
      <c r="S1553" s="9" t="inlineStr">
        <is>
          <t>HitRate(perSec)</t>
        </is>
      </c>
      <c r="U1553" t="inlineStr">
        <is>
          <t>helpers</t>
        </is>
      </c>
    </row>
    <row r="1554">
      <c r="A1554">
        <f>Skills!A2</f>
        <v/>
      </c>
      <c r="B1554">
        <f>Skills!B2</f>
        <v/>
      </c>
      <c r="C1554">
        <f>Inputs!$B$3&gt;=100</f>
        <v/>
      </c>
      <c r="D1554" t="inlineStr"/>
      <c r="E1554" t="inlineStr"/>
      <c r="F1554">
        <f>U1556+Skills!O2</f>
        <v/>
      </c>
      <c r="G1554">
        <f>Skills!G2*IF(Skills!H2&gt;0,Skills!I2/Skills!H2,1)</f>
        <v/>
      </c>
      <c r="H1554">
        <f>1-(1-Skills!J2/100)^Skills!K2</f>
        <v/>
      </c>
      <c r="I1554" t="inlineStr">
        <is>
          <t>1</t>
        </is>
      </c>
      <c r="J1554">
        <f>((Inputs!$B$6*(1+Inputs!$B$7/100))+(((Inputs!$B$12*(1+Inputs!$B$13/100))-(Inputs!$B$12*(1+Inputs!$B$13/100)))+0.25*(Inputs!$B$14-Inputs!$B$14))*(1+Inputs!$B$7/100))*(F1554/100)</f>
        <v/>
      </c>
      <c r="K1554">
        <f>J1554*(1+((Inputs!$B$12*(1+Inputs!$B$13/100))*0.01+Inputs!$B$14*0.0025)/100)*(1+Inputs!$B$15/100)*(1+Inputs!$B$16/100)*(5000/(6000+Inputs!$B$42*(1-(Inputs!$B$19+0)/100)))*(1+(Inputs!$B$24+((C1578=TRUE)*(F1578-Calc!F26))+B1588)/100)*(1+(IF(Skills!A2="EIGHT_LEGS_EASTON",Inputs!$B$17+((C1575=TRUE)*(F1575-Calc!F23))+((C1579=TRUE)*(F1579-Calc!F27)),Inputs!$B$18+0))/100)*((1+(((C1569=TRUE)*F1569)+((C1576=TRUE)*(F1576-Calc!F24)))/100)*I1554)</f>
        <v/>
      </c>
      <c r="L1554">
        <f>K1554*(MIN(Inputs!$B$22+((C1574=TRUE)*(F1574-Calc!F22)),Inputs!$B$23+0)/100+(Inputs!$B$23+0)/100)/2</f>
        <v/>
      </c>
      <c r="M1554">
        <f>L1554*(1+(Inputs!$B$10+((C1577=TRUE)*(F1577-Calc!F25))+B1587)/100)</f>
        <v/>
      </c>
      <c r="N1554">
        <f>L1554*(1-MIN((Inputs!$B$9+((C1571=TRUE)*(F1571-Calc!F19))+B1582),100)/100)+M1554*(MIN((Inputs!$B$9+((C1571=TRUE)*(F1571-Calc!F19))+B1582),100)/100)</f>
        <v/>
      </c>
      <c r="O1554">
        <f>(1-Summary!$B$55)*T1554+Summary!$B$55*V1554</f>
        <v/>
      </c>
      <c r="P1554">
        <f>IF(B1592=0,0,O1554/B1592)</f>
        <v/>
      </c>
      <c r="Q1554" t="n">
        <v>0</v>
      </c>
      <c r="R1554" t="n">
        <v>0</v>
      </c>
      <c r="S1554">
        <f>IFERROR(O1554/N1554,0)</f>
        <v/>
      </c>
      <c r="T1554">
        <f>IF(C1554,(Skills!G2*N1554*B1586)*IF(Inputs!$B$38="pvp",1,1+(Inputs!$B$20+0+Skills!P2)/100),0)</f>
        <v/>
      </c>
      <c r="U1554">
        <f>MAX(0,(Inputs!$B$3-100)*3)+Inputs!$B$28+Inputs!$B$29</f>
        <v/>
      </c>
      <c r="V1554">
        <f>IF(C1554,(Skills!G2*N1554*B1586)*IF(Inputs!$B$38="pvp",1,(1+(Inputs!$B$21+Skills!Q2)/100)*(MIN((6+Inputs!$B$33),Inputs!$B$37))),0)</f>
        <v/>
      </c>
    </row>
    <row r="1555">
      <c r="A1555">
        <f>Skills!A3</f>
        <v/>
      </c>
      <c r="B1555">
        <f>Skills!B3</f>
        <v/>
      </c>
      <c r="C1555">
        <f>Inputs!$B$3&gt;=35</f>
        <v/>
      </c>
      <c r="D1555">
        <f>IF(Skills!C3=1,60+Inputs!$B$25+Inputs!$B$29,IF(Skills!C3=2,90+Inputs!$B$26+Inputs!$B$29,IF(Skills!C3=3,120+Inputs!$B$27+Inputs!$B$29,MAX(0,(Inputs!$B$3-100)*3)+Inputs!$B$28+Inputs!$B$29)))</f>
        <v/>
      </c>
      <c r="E1555">
        <f>INDEX(FactorTable!$B$2:$Y$301, MATCH(ROUND(MIN(300,MAX(1,D1555)),0), FactorTable!$A$2:$A$301,0), Skills!M3+1)</f>
        <v/>
      </c>
      <c r="F1555">
        <f>IF(Skills!N3=TRUE,(Skills!L3/10)*(E1555/1000),Skills!L3/10)+Skills!O3</f>
        <v/>
      </c>
      <c r="G1555">
        <f>Skills!G3*IF(Skills!H3&gt;0,Skills!I3/Skills!H3,1)</f>
        <v/>
      </c>
      <c r="H1555">
        <f>1-(1-Skills!J3/100)^Skills!K3</f>
        <v/>
      </c>
      <c r="I1555" t="inlineStr">
        <is>
          <t>1</t>
        </is>
      </c>
      <c r="J1555">
        <f>((Inputs!$B$6*(1+Inputs!$B$7/100))+(((Inputs!$B$12*(1+Inputs!$B$13/100))-(Inputs!$B$12*(1+Inputs!$B$13/100)))+0.25*(Inputs!$B$14-Inputs!$B$14))*(1+Inputs!$B$7/100))*(F1555/100)</f>
        <v/>
      </c>
      <c r="K1555">
        <f>J1555*(1+((Inputs!$B$12*(1+Inputs!$B$13/100))*0.01+Inputs!$B$14*0.0025)/100)*(1+Inputs!$B$15/100)*(1+Inputs!$B$16/100)*(5000/(6000+Inputs!$B$42*(1-(Inputs!$B$19+0)/100)))*(1+(Inputs!$B$24+((C1578=TRUE)*(F1578-Calc!F26))+B1588)/100)*(1+4.0*IF(C1567=TRUE,F1567,0)/100)*(1+(IF(Skills!A3="EIGHT_LEGS_EASTON",Inputs!$B$17+((C1575=TRUE)*(F1575-Calc!F23))+((C1579=TRUE)*(F1579-Calc!F27)),Inputs!$B$18+0))/100)*((1+(((C1569=TRUE)*F1569)+((C1576=TRUE)*(F1576-Calc!F24)))/100)*I1555)</f>
        <v/>
      </c>
      <c r="L1555">
        <f>K1555*(MIN(Inputs!$B$22+((C1574=TRUE)*(F1574-Calc!F22)),Inputs!$B$23+0)/100+(Inputs!$B$23+0)/100)/2</f>
        <v/>
      </c>
      <c r="M1555">
        <f>L1555*(1+(Inputs!$B$10+((C1577=TRUE)*(F1577-Calc!F25))+B1587)/100)</f>
        <v/>
      </c>
      <c r="N1555">
        <f>L1555*(1-MIN((Inputs!$B$9+((C1571=TRUE)*(F1571-Calc!F19))+B1582),100)/100)+M1555*(MIN((Inputs!$B$9+((C1571=TRUE)*(F1571-Calc!F19))+B1582),100)/100)</f>
        <v/>
      </c>
      <c r="O1555">
        <f>(1-Summary!$B$55)*T1555+Summary!$B$55*V1555</f>
        <v/>
      </c>
      <c r="P1555">
        <f>IF(B1592=0,0,O1555/B1592)</f>
        <v/>
      </c>
      <c r="Q1555">
        <f>IFERROR(1/IF(Inputs!$B$38="pvp",15,MAX(0.1,Skills!D3-IF(Skills!E3=TRUE,5.0,0))),0)</f>
        <v/>
      </c>
      <c r="R1555">
        <f>IF(AND(Inputs!$B$38&lt;&gt;"pvp",Inputs!$B$43&gt;0),IF(MAX(0,Inputs!$B$43-B1589)&lt;=0,0,(INT(MAX(0,Inputs!$B$43-B1589)/IF(Inputs!$B$38="pvp",15,MAX(0.1,Skills!D3-IF(Skills!E3=TRUE,5.0,0))))+1)),0)</f>
        <v/>
      </c>
      <c r="S1555">
        <f>IFERROR(O1555/N1555,0)</f>
        <v/>
      </c>
      <c r="T1555">
        <f>IF(C1555,(H1555*N1555*IF(AND(Inputs!$B$38&lt;&gt;"pvp",Inputs!$B$43&gt;0),((Skills!G3*((R1555-1)*IF(Skills!H3&gt;0,Skills!I3/Skills!H3,1)+IF(Skills!H3&gt;0,MIN(Skills!I3,MAX(0,MAX(0,Inputs!$B$43-B1589)-((R1555-1)*IF(Inputs!$B$38="pvp",15,MAX(0.1,Skills!D3-IF(Skills!E3=TRUE,5.0,0))))))/Skills!H3,1)))/Inputs!$B$43),G1555*Q1555))*IF(Inputs!$B$38="pvp",1,1+(Inputs!$B$20+0+Skills!P3)/100),0)</f>
        <v/>
      </c>
      <c r="U1555">
        <f>INDEX(FactorTable!$B$2:$Y$301, MATCH(ROUND(MIN(300,MAX(1,U1554)),0), FactorTable!$A$2:$A$301,0), 22)</f>
        <v/>
      </c>
      <c r="V1555">
        <f>IF(C1555,(H1555*N1555*IF(AND(Inputs!$B$38&lt;&gt;"pvp",Inputs!$B$43&gt;0),((Skills!G3*((R1555-1)*IF(Skills!H3&gt;0,Skills!I3/Skills!H3,1)+IF(Skills!H3&gt;0,MIN(Skills!I3,MAX(0,MAX(0,Inputs!$B$43-B1589)-((R1555-1)*IF(Inputs!$B$38="pvp",15,MAX(0.1,Skills!D3-IF(Skills!E3=TRUE,5.0,0))))))/Skills!H3,1)))/Inputs!$B$43),G1555*Q1555))*IF(Inputs!$B$38="pvp",1,(1+(Inputs!$B$21+Skills!Q3)/100)*(MIN(Skills!R3,Inputs!$B$37))),0)</f>
        <v/>
      </c>
    </row>
    <row r="1556">
      <c r="A1556">
        <f>Skills!A4</f>
        <v/>
      </c>
      <c r="B1556">
        <f>Skills!B4</f>
        <v/>
      </c>
      <c r="C1556">
        <f>Inputs!$B$3&gt;=40</f>
        <v/>
      </c>
      <c r="D1556">
        <f>IF(Skills!C4=1,60+Inputs!$B$25+Inputs!$B$29,IF(Skills!C4=2,90+Inputs!$B$26+Inputs!$B$29,IF(Skills!C4=3,120+Inputs!$B$27+Inputs!$B$29,MAX(0,(Inputs!$B$3-100)*3)+Inputs!$B$28+Inputs!$B$29)))</f>
        <v/>
      </c>
      <c r="E1556">
        <f>INDEX(FactorTable!$B$2:$Y$301, MATCH(ROUND(MIN(300,MAX(1,D1556)),0), FactorTable!$A$2:$A$301,0), Skills!M4+1)</f>
        <v/>
      </c>
      <c r="F1556">
        <f>IF(Skills!N4=TRUE,(Skills!L4/10)*(E1556/1000),Skills!L4/10)+Skills!O4</f>
        <v/>
      </c>
      <c r="G1556">
        <f>Skills!G4*IF(Skills!H4&gt;0,Skills!I4/Skills!H4,1)</f>
        <v/>
      </c>
      <c r="H1556">
        <f>1-(1-Skills!J4/100)^Skills!K4</f>
        <v/>
      </c>
      <c r="I1556" t="inlineStr">
        <is>
          <t>1</t>
        </is>
      </c>
      <c r="J1556">
        <f>((Inputs!$B$6*(1+Inputs!$B$7/100))+(((Inputs!$B$12*(1+Inputs!$B$13/100))-(Inputs!$B$12*(1+Inputs!$B$13/100)))+0.25*(Inputs!$B$14-Inputs!$B$14))*(1+Inputs!$B$7/100))*(F1556/100)</f>
        <v/>
      </c>
      <c r="K1556">
        <f>J1556*(1+((Inputs!$B$12*(1+Inputs!$B$13/100))*0.01+Inputs!$B$14*0.0025)/100)*(1+Inputs!$B$15/100)*(1+Inputs!$B$16/100)*(5000/(6000+Inputs!$B$42*(1-(Inputs!$B$19+0)/100)))*(1+(Inputs!$B$24+((C1578=TRUE)*(F1578-Calc!F26))+B1588)/100)*(1+1.0*IF(C1568=TRUE,F1568,0)/100)*(1+(IF(Skills!A4="EIGHT_LEGS_EASTON",Inputs!$B$17+((C1575=TRUE)*(F1575-Calc!F23))+((C1579=TRUE)*(F1579-Calc!F27)),Inputs!$B$18+0))/100)*((1+(((C1569=TRUE)*F1569)+((C1576=TRUE)*(F1576-Calc!F24)))/100)*I1556)</f>
        <v/>
      </c>
      <c r="L1556">
        <f>K1556*(MIN(Inputs!$B$22+((C1574=TRUE)*(F1574-Calc!F22)),Inputs!$B$23+0)/100+(Inputs!$B$23+0)/100)/2</f>
        <v/>
      </c>
      <c r="M1556">
        <f>L1556*(1+(Inputs!$B$10+((C1577=TRUE)*(F1577-Calc!F25))+B1587)/100)</f>
        <v/>
      </c>
      <c r="N1556">
        <f>L1556*(1-MIN((Inputs!$B$9+((C1571=TRUE)*(F1571-Calc!F19))+B1582),100)/100)+M1556*(MIN((Inputs!$B$9+((C1571=TRUE)*(F1571-Calc!F19))+B1582),100)/100)</f>
        <v/>
      </c>
      <c r="O1556">
        <f>(1-Summary!$B$55)*T1556+Summary!$B$55*V1556</f>
        <v/>
      </c>
      <c r="P1556">
        <f>IF(B1592=0,0,O1556/B1592)</f>
        <v/>
      </c>
      <c r="Q1556">
        <f>IFERROR(1/IF(Inputs!$B$38="pvp",15,MAX(0.1,Skills!D4-IF(Skills!E4=TRUE,5.0,0))),0)</f>
        <v/>
      </c>
      <c r="R1556">
        <f>IF(AND(Inputs!$B$38&lt;&gt;"pvp",Inputs!$B$43&gt;0),IF(MAX(0,Inputs!$B$43-B1589)&lt;=0,0,(INT(MAX(0,Inputs!$B$43-B1589)/IF(Inputs!$B$38="pvp",15,MAX(0.1,Skills!D4-IF(Skills!E4=TRUE,5.0,0))))+1)),0)</f>
        <v/>
      </c>
      <c r="S1556">
        <f>IFERROR(O1556/N1556,0)</f>
        <v/>
      </c>
      <c r="T1556">
        <f>IF(C1556,(H1556*N1556*IF(AND(Inputs!$B$38&lt;&gt;"pvp",Inputs!$B$43&gt;0),((Skills!G4*((R1556-1)*IF(Skills!H4&gt;0,Skills!I4/Skills!H4,1)+IF(Skills!H4&gt;0,MIN(Skills!I4,MAX(0,MAX(0,Inputs!$B$43-B1589)-((R1556-1)*IF(Inputs!$B$38="pvp",15,MAX(0.1,Skills!D4-IF(Skills!E4=TRUE,5.0,0))))))/Skills!H4,1)))/Inputs!$B$43),G1556*Q1556))*IF(Inputs!$B$38="pvp",1,1+(Inputs!$B$20+0+Skills!P4)/100),0)</f>
        <v/>
      </c>
      <c r="U1556">
        <f>290*U1555/1000</f>
        <v/>
      </c>
      <c r="V1556">
        <f>IF(C1556,(H1556*N1556*IF(AND(Inputs!$B$38&lt;&gt;"pvp",Inputs!$B$43&gt;0),((Skills!G4*((R1556-1)*IF(Skills!H4&gt;0,Skills!I4/Skills!H4,1)+IF(Skills!H4&gt;0,MIN(Skills!I4,MAX(0,MAX(0,Inputs!$B$43-B1589)-((R1556-1)*IF(Inputs!$B$38="pvp",15,MAX(0.1,Skills!D4-IF(Skills!E4=TRUE,5.0,0))))))/Skills!H4,1)))/Inputs!$B$43),G1556*Q1556))*IF(Inputs!$B$38="pvp",1,(1+(Inputs!$B$21+Skills!Q4)/100)*(MIN(Skills!R4,Inputs!$B$37))),0)</f>
        <v/>
      </c>
    </row>
    <row r="1557">
      <c r="A1557">
        <f>Skills!A5</f>
        <v/>
      </c>
      <c r="B1557">
        <f>Skills!B5</f>
        <v/>
      </c>
      <c r="C1557">
        <f>Inputs!$B$3&gt;=45</f>
        <v/>
      </c>
      <c r="D1557">
        <f>IF(Skills!C5=1,60+Inputs!$B$25+Inputs!$B$29,IF(Skills!C5=2,90+Inputs!$B$26+Inputs!$B$29,IF(Skills!C5=3,120+Inputs!$B$27+Inputs!$B$29,MAX(0,(Inputs!$B$3-100)*3)+Inputs!$B$28+Inputs!$B$29)))</f>
        <v/>
      </c>
      <c r="E1557">
        <f>INDEX(FactorTable!$B$2:$Y$301, MATCH(ROUND(MIN(300,MAX(1,D1557)),0), FactorTable!$A$2:$A$301,0), Skills!M5+1)</f>
        <v/>
      </c>
      <c r="F1557">
        <f>IF(Skills!N5=TRUE,(Skills!L5/10)*(E1557/1000),Skills!L5/10)+Skills!O5</f>
        <v/>
      </c>
      <c r="G1557">
        <f>Skills!G5*IF(Skills!H5&gt;0,Skills!I5/Skills!H5,1)</f>
        <v/>
      </c>
      <c r="H1557">
        <f>1-(1-Skills!J5/100)^Skills!K5</f>
        <v/>
      </c>
      <c r="I1557" t="inlineStr">
        <is>
          <t>1</t>
        </is>
      </c>
      <c r="J1557">
        <f>((Inputs!$B$6*(1+Inputs!$B$7/100))+(((Inputs!$B$12*(1+Inputs!$B$13/100))-(Inputs!$B$12*(1+Inputs!$B$13/100)))+0.25*(Inputs!$B$14-Inputs!$B$14))*(1+Inputs!$B$7/100))*(F1557/100)</f>
        <v/>
      </c>
      <c r="K1557">
        <f>J1557*(1+((Inputs!$B$12*(1+Inputs!$B$13/100))*0.01+Inputs!$B$14*0.0025)/100)*(1+Inputs!$B$15/100)*(1+Inputs!$B$16/100)*(5000/(6000+Inputs!$B$42*(1-(Inputs!$B$19+0)/100)))*(1+(Inputs!$B$24+((C1578=TRUE)*(F1578-Calc!F26))+B1588)/100)*(1+0.4*IF(C1568=TRUE,F1568,0)/100)*(1+(IF(Skills!A5="EIGHT_LEGS_EASTON",Inputs!$B$17+((C1575=TRUE)*(F1575-Calc!F23))+((C1579=TRUE)*(F1579-Calc!F27)),Inputs!$B$18+0))/100)*((1+(((C1569=TRUE)*F1569)+((C1576=TRUE)*(F1576-Calc!F24)))/100)*I1557)</f>
        <v/>
      </c>
      <c r="L1557">
        <f>K1557*(MIN(Inputs!$B$22+((C1574=TRUE)*(F1574-Calc!F22)),Inputs!$B$23+0)/100+(Inputs!$B$23+0)/100)/2</f>
        <v/>
      </c>
      <c r="M1557">
        <f>L1557*(1+(Inputs!$B$10+((C1577=TRUE)*(F1577-Calc!F25))+B1587)/100)</f>
        <v/>
      </c>
      <c r="N1557">
        <f>L1557*(1-MIN((Inputs!$B$9+((C1571=TRUE)*(F1571-Calc!F19))+B1582),100)/100)+M1557*(MIN((Inputs!$B$9+((C1571=TRUE)*(F1571-Calc!F19))+B1582),100)/100)</f>
        <v/>
      </c>
      <c r="O1557">
        <f>(1-Summary!$B$55)*T1557+Summary!$B$55*V1557</f>
        <v/>
      </c>
      <c r="P1557">
        <f>IF(B1592=0,0,O1557/B1592)</f>
        <v/>
      </c>
      <c r="Q1557">
        <f>IFERROR(1/IF(Inputs!$B$38="pvp",15,MAX(0.1,Skills!D5-IF(Skills!E5=TRUE,5.0,0))),0)</f>
        <v/>
      </c>
      <c r="R1557">
        <f>IF(AND(Inputs!$B$38&lt;&gt;"pvp",Inputs!$B$43&gt;0),IF(MAX(0,Inputs!$B$43-B1589)&lt;=0,0,(INT(MAX(0,Inputs!$B$43-B1589)/IF(Inputs!$B$38="pvp",15,MAX(0.1,Skills!D5-IF(Skills!E5=TRUE,5.0,0))))+1)),0)</f>
        <v/>
      </c>
      <c r="S1557">
        <f>IFERROR(O1557/N1557,0)</f>
        <v/>
      </c>
      <c r="T1557">
        <f>IF(C1557,(H1557*N1557*IF(AND(Inputs!$B$38&lt;&gt;"pvp",Inputs!$B$43&gt;0),((Skills!G5*((R1557-1)*IF(Skills!H5&gt;0,Skills!I5/Skills!H5,1)+IF(Skills!H5&gt;0,MIN(Skills!I5,MAX(0,MAX(0,Inputs!$B$43-B1589)-((R1557-1)*IF(Inputs!$B$38="pvp",15,MAX(0.1,Skills!D5-IF(Skills!E5=TRUE,5.0,0))))))/Skills!H5,1)))/Inputs!$B$43),G1557*Q1557))*IF(Inputs!$B$38="pvp",1,1+(Inputs!$B$20+0+Skills!P5)/100),0)</f>
        <v/>
      </c>
      <c r="V1557">
        <f>IF(C1557,(H1557*N1557*IF(AND(Inputs!$B$38&lt;&gt;"pvp",Inputs!$B$43&gt;0),((Skills!G5*((R1557-1)*IF(Skills!H5&gt;0,Skills!I5/Skills!H5,1)+IF(Skills!H5&gt;0,MIN(Skills!I5,MAX(0,MAX(0,Inputs!$B$43-B1589)-((R1557-1)*IF(Inputs!$B$38="pvp",15,MAX(0.1,Skills!D5-IF(Skills!E5=TRUE,5.0,0))))))/Skills!H5,1)))/Inputs!$B$43),G1557*Q1557))*IF(Inputs!$B$38="pvp",1,(1+(Inputs!$B$21+Skills!Q5)/100)*(MIN(Skills!R5,Inputs!$B$37))),0)</f>
        <v/>
      </c>
    </row>
    <row r="1558">
      <c r="A1558">
        <f>Skills!A6</f>
        <v/>
      </c>
      <c r="B1558">
        <f>Skills!B6</f>
        <v/>
      </c>
      <c r="C1558">
        <f>Inputs!$B$3&gt;=63</f>
        <v/>
      </c>
      <c r="D1558">
        <f>IF(Skills!C6=1,60+Inputs!$B$25+Inputs!$B$29,IF(Skills!C6=2,90+Inputs!$B$26+Inputs!$B$29,IF(Skills!C6=3,120+Inputs!$B$27+Inputs!$B$29,MAX(0,(Inputs!$B$3-100)*3)+Inputs!$B$28+Inputs!$B$29)))</f>
        <v/>
      </c>
      <c r="E1558">
        <f>INDEX(FactorTable!$B$2:$Y$301, MATCH(ROUND(MIN(300,MAX(1,D1558)),0), FactorTable!$A$2:$A$301,0), Skills!M6+1)</f>
        <v/>
      </c>
      <c r="F1558">
        <f>IF(Skills!N6=TRUE,(Skills!L6/10)*(E1558/1000),Skills!L6/10)+Skills!O6</f>
        <v/>
      </c>
      <c r="G1558">
        <f>Skills!G6*IF(Skills!H6&gt;0,Skills!I6/Skills!H6,1)</f>
        <v/>
      </c>
      <c r="H1558">
        <f>1-(1-Skills!J6/100)^Skills!K6</f>
        <v/>
      </c>
      <c r="I1558" t="inlineStr">
        <is>
          <t>1</t>
        </is>
      </c>
      <c r="J1558">
        <f>((Inputs!$B$6*(1+Inputs!$B$7/100))+(((Inputs!$B$12*(1+Inputs!$B$13/100))-(Inputs!$B$12*(1+Inputs!$B$13/100)))+0.25*(Inputs!$B$14-Inputs!$B$14))*(1+Inputs!$B$7/100))*(F1558/100)</f>
        <v/>
      </c>
      <c r="K1558">
        <f>J1558*(1+((Inputs!$B$12*(1+Inputs!$B$13/100))*0.01+Inputs!$B$14*0.0025)/100)*(1+Inputs!$B$15/100)*(1+Inputs!$B$16/100)*(5000/(6000+Inputs!$B$42*(1-(Inputs!$B$19+0)/100)))*(1+(Inputs!$B$24+((C1578=TRUE)*(F1578-Calc!F26))+B1588)/100)*(1+2.0*IF(C1567=TRUE,F1567,0)/100)*(1+(IF(Skills!A6="EIGHT_LEGS_EASTON",Inputs!$B$17+((C1575=TRUE)*(F1575-Calc!F23))+((C1579=TRUE)*(F1579-Calc!F27)),Inputs!$B$18+0))/100)*((1+(((C1569=TRUE)*F1569)+((C1576=TRUE)*(F1576-Calc!F24)))/100)*I1558)</f>
        <v/>
      </c>
      <c r="L1558">
        <f>K1558*(MIN(Inputs!$B$22+((C1574=TRUE)*(F1574-Calc!F22)),Inputs!$B$23+0)/100+(Inputs!$B$23+0)/100)/2</f>
        <v/>
      </c>
      <c r="M1558">
        <f>L1558*(1+(Inputs!$B$10+((C1577=TRUE)*(F1577-Calc!F25))+B1587)/100)</f>
        <v/>
      </c>
      <c r="N1558">
        <f>L1558*(1-MIN((Inputs!$B$9+((C1571=TRUE)*(F1571-Calc!F19))+B1582),100)/100)+M1558*(MIN((Inputs!$B$9+((C1571=TRUE)*(F1571-Calc!F19))+B1582),100)/100)</f>
        <v/>
      </c>
      <c r="O1558">
        <f>(1-Summary!$B$55)*T1558+Summary!$B$55*V1558</f>
        <v/>
      </c>
      <c r="P1558">
        <f>IF(B1592=0,0,O1558/B1592)</f>
        <v/>
      </c>
      <c r="Q1558">
        <f>IFERROR(1/IF(Inputs!$B$38="pvp",15,MAX(0.1,Skills!D6-IF(Skills!E6=TRUE,5.0,0))),0)</f>
        <v/>
      </c>
      <c r="R1558">
        <f>IF(AND(Inputs!$B$38&lt;&gt;"pvp",Inputs!$B$43&gt;0),IF(MAX(0,Inputs!$B$43-B1589)&lt;=0,0,(INT(MAX(0,Inputs!$B$43-B1589)/IF(Inputs!$B$38="pvp",15,MAX(0.1,Skills!D6-IF(Skills!E6=TRUE,5.0,0))))+1)),0)</f>
        <v/>
      </c>
      <c r="S1558">
        <f>IFERROR(O1558/N1558,0)</f>
        <v/>
      </c>
      <c r="T1558">
        <f>IF(C1558,(H1558*N1558*IF(AND(Inputs!$B$38&lt;&gt;"pvp",Inputs!$B$43&gt;0),((Skills!G6*((R1558-1)*IF(Skills!H6&gt;0,Skills!I6/Skills!H6,1)+IF(Skills!H6&gt;0,MIN(Skills!I6,MAX(0,MAX(0,Inputs!$B$43-B1589)-((R1558-1)*IF(Inputs!$B$38="pvp",15,MAX(0.1,Skills!D6-IF(Skills!E6=TRUE,5.0,0))))))/Skills!H6,1)))/Inputs!$B$43),G1558*Q1558))*IF(Inputs!$B$38="pvp",1,1+(Inputs!$B$20+0+Skills!P6)/100),0)</f>
        <v/>
      </c>
      <c r="V1558">
        <f>IF(C1558,(H1558*N1558*IF(AND(Inputs!$B$38&lt;&gt;"pvp",Inputs!$B$43&gt;0),((Skills!G6*((R1558-1)*IF(Skills!H6&gt;0,Skills!I6/Skills!H6,1)+IF(Skills!H6&gt;0,MIN(Skills!I6,MAX(0,MAX(0,Inputs!$B$43-B1589)-((R1558-1)*IF(Inputs!$B$38="pvp",15,MAX(0.1,Skills!D6-IF(Skills!E6=TRUE,5.0,0))))))/Skills!H6,1)))/Inputs!$B$43),G1558*Q1558))*IF(Inputs!$B$38="pvp",1,(1+(Inputs!$B$21+Skills!Q6)/100)*(MIN(Skills!R6,Inputs!$B$37))),0)</f>
        <v/>
      </c>
    </row>
    <row r="1559">
      <c r="A1559">
        <f>Skills!A7</f>
        <v/>
      </c>
      <c r="B1559">
        <f>Skills!B7</f>
        <v/>
      </c>
      <c r="C1559">
        <f>Inputs!$B$3&gt;=66</f>
        <v/>
      </c>
      <c r="D1559">
        <f>IF(Skills!C7=1,60+Inputs!$B$25+Inputs!$B$29,IF(Skills!C7=2,90+Inputs!$B$26+Inputs!$B$29,IF(Skills!C7=3,120+Inputs!$B$27+Inputs!$B$29,MAX(0,(Inputs!$B$3-100)*3)+Inputs!$B$28+Inputs!$B$29)))</f>
        <v/>
      </c>
      <c r="E1559">
        <f>INDEX(FactorTable!$B$2:$Y$301, MATCH(ROUND(MIN(300,MAX(1,D1559)),0), FactorTable!$A$2:$A$301,0), Skills!M7+1)</f>
        <v/>
      </c>
      <c r="F1559">
        <f>IF(Skills!N7=TRUE,(Skills!L7/10)*(E1559/1000),Skills!L7/10)+Skills!O7</f>
        <v/>
      </c>
      <c r="G1559">
        <f>Skills!G7*IF(Skills!H7&gt;0,Skills!I7/Skills!H7,1)</f>
        <v/>
      </c>
      <c r="H1559">
        <f>1-(1-Skills!J7/100)^Skills!K7</f>
        <v/>
      </c>
      <c r="I1559" t="inlineStr">
        <is>
          <t>1</t>
        </is>
      </c>
      <c r="J1559">
        <f>((Inputs!$B$6*(1+Inputs!$B$7/100))+(((Inputs!$B$12*(1+Inputs!$B$13/100))-(Inputs!$B$12*(1+Inputs!$B$13/100)))+0.25*(Inputs!$B$14-Inputs!$B$14))*(1+Inputs!$B$7/100))*(F1559/100)</f>
        <v/>
      </c>
      <c r="K1559">
        <f>J1559*(1+((Inputs!$B$12*(1+Inputs!$B$13/100))*0.01+Inputs!$B$14*0.0025)/100)*(1+Inputs!$B$15/100)*(1+Inputs!$B$16/100)*(5000/(6000+Inputs!$B$42*(1-(Inputs!$B$19+0)/100)))*(1+(Inputs!$B$24+((C1578=TRUE)*(F1578-Calc!F26))+B1588)/100)*(1+1.0*IF(C1567=TRUE,F1567,0)/100)*(1+(IF(Skills!A7="EIGHT_LEGS_EASTON",Inputs!$B$17+((C1575=TRUE)*(F1575-Calc!F23))+((C1579=TRUE)*(F1579-Calc!F27)),Inputs!$B$18+0))/100)*((1+(((C1569=TRUE)*F1569)+((C1576=TRUE)*(F1576-Calc!F24)))/100)*I1559)</f>
        <v/>
      </c>
      <c r="L1559">
        <f>K1559*(MIN(Inputs!$B$22+((C1574=TRUE)*(F1574-Calc!F22)),Inputs!$B$23+0)/100+(Inputs!$B$23+0)/100)/2</f>
        <v/>
      </c>
      <c r="M1559">
        <f>L1559*(1+(Inputs!$B$10+((C1577=TRUE)*(F1577-Calc!F25))+B1587)/100)</f>
        <v/>
      </c>
      <c r="N1559">
        <f>L1559*(1-MIN((Inputs!$B$9+((C1571=TRUE)*(F1571-Calc!F19))+B1582),100)/100)+M1559*(MIN((Inputs!$B$9+((C1571=TRUE)*(F1571-Calc!F19))+B1582),100)/100)</f>
        <v/>
      </c>
      <c r="O1559">
        <f>(1-Summary!$B$55)*T1559+Summary!$B$55*V1559</f>
        <v/>
      </c>
      <c r="P1559">
        <f>IF(B1592=0,0,O1559/B1592)</f>
        <v/>
      </c>
      <c r="Q1559">
        <f>IFERROR(1/IF(Inputs!$B$38="pvp",15,MAX(0.1,Skills!D7-IF(Skills!E7=TRUE,5.0,0))),0)</f>
        <v/>
      </c>
      <c r="R1559">
        <f>IF(AND(Inputs!$B$38&lt;&gt;"pvp",Inputs!$B$43&gt;0),IF(MAX(0,Inputs!$B$43-B1589)&lt;=0,0,(INT(MAX(0,Inputs!$B$43-B1589)/IF(Inputs!$B$38="pvp",15,MAX(0.1,Skills!D7-IF(Skills!E7=TRUE,5.0,0))))+1)),0)</f>
        <v/>
      </c>
      <c r="S1559">
        <f>IFERROR(O1559/N1559,0)</f>
        <v/>
      </c>
      <c r="T1559">
        <f>IF(C1559,(H1559*N1559*IF(AND(Inputs!$B$38&lt;&gt;"pvp",Inputs!$B$43&gt;0),((Skills!G7*((R1559-1)*IF(Skills!H7&gt;0,Skills!I7/Skills!H7,1)+IF(Skills!H7&gt;0,MIN(Skills!I7,MAX(0,MAX(0,Inputs!$B$43-B1589)-((R1559-1)*IF(Inputs!$B$38="pvp",15,MAX(0.1,Skills!D7-IF(Skills!E7=TRUE,5.0,0))))))/Skills!H7,1)))/Inputs!$B$43),G1559*Q1559))*IF(Inputs!$B$38="pvp",1,1+(Inputs!$B$20+0+Skills!P7)/100),0)</f>
        <v/>
      </c>
      <c r="V1559">
        <f>IF(C1559,(H1559*N1559*IF(AND(Inputs!$B$38&lt;&gt;"pvp",Inputs!$B$43&gt;0),((Skills!G7*((R1559-1)*IF(Skills!H7&gt;0,Skills!I7/Skills!H7,1)+IF(Skills!H7&gt;0,MIN(Skills!I7,MAX(0,MAX(0,Inputs!$B$43-B1589)-((R1559-1)*IF(Inputs!$B$38="pvp",15,MAX(0.1,Skills!D7-IF(Skills!E7=TRUE,5.0,0))))))/Skills!H7,1)))/Inputs!$B$43),G1559*Q1559))*IF(Inputs!$B$38="pvp",1,(1+(Inputs!$B$21+Skills!Q7)/100)*(MIN(Skills!R7,Inputs!$B$37))),0)</f>
        <v/>
      </c>
    </row>
    <row r="1560">
      <c r="A1560">
        <f>Skills!A8</f>
        <v/>
      </c>
      <c r="B1560">
        <f>Skills!B8</f>
        <v/>
      </c>
      <c r="C1560">
        <f>Inputs!$B$3&gt;=100</f>
        <v/>
      </c>
      <c r="D1560">
        <f>IF(Skills!C8=1,60+Inputs!$B$25+Inputs!$B$29,IF(Skills!C8=2,90+Inputs!$B$26+Inputs!$B$29,IF(Skills!C8=3,120+Inputs!$B$27+Inputs!$B$29,MAX(0,(Inputs!$B$3-100)*3)+Inputs!$B$28+Inputs!$B$29)))</f>
        <v/>
      </c>
      <c r="E1560">
        <f>INDEX(FactorTable!$B$2:$Y$301, MATCH(ROUND(MIN(300,MAX(1,D1560)),0), FactorTable!$A$2:$A$301,0), Skills!M8+1)</f>
        <v/>
      </c>
      <c r="F1560">
        <f>IF(Skills!N8=TRUE,(Skills!L8/10)*(E1560/1000),Skills!L8/10)+Skills!O8</f>
        <v/>
      </c>
      <c r="G1560">
        <f>Skills!G8*IF(Skills!H8&gt;0,Skills!I8/Skills!H8,1)</f>
        <v/>
      </c>
      <c r="H1560">
        <f>1-(1-Skills!J8/100)^Skills!K8</f>
        <v/>
      </c>
      <c r="I1560" t="inlineStr">
        <is>
          <t>1</t>
        </is>
      </c>
      <c r="J1560">
        <f>((Inputs!$B$6*(1+Inputs!$B$7/100))+(((Inputs!$B$12*(1+Inputs!$B$13/100))-(Inputs!$B$12*(1+Inputs!$B$13/100)))+0.25*(Inputs!$B$14-Inputs!$B$14))*(1+Inputs!$B$7/100))*(F1560/100)</f>
        <v/>
      </c>
      <c r="K1560">
        <f>J1560*(1+((Inputs!$B$12*(1+Inputs!$B$13/100))*0.01+Inputs!$B$14*0.0025)/100)*(1+Inputs!$B$15/100)*(1+Inputs!$B$16/100)*(5000/(6000+Inputs!$B$42*(1-(Inputs!$B$19+0)/100)))*(1+(Inputs!$B$24+((C1578=TRUE)*(F1578-Calc!F26))+B1588)/100)*(1+(IF(Skills!A8="EIGHT_LEGS_EASTON",Inputs!$B$17+((C1575=TRUE)*(F1575-Calc!F23))+((C1579=TRUE)*(F1579-Calc!F27)),Inputs!$B$18+0))/100)*((1+(((C1569=TRUE)*F1569)+((C1576=TRUE)*(F1576-Calc!F24)))/100)*I1560)</f>
        <v/>
      </c>
      <c r="L1560">
        <f>K1560*(MIN(Inputs!$B$22+((C1574=TRUE)*(F1574-Calc!F22)),Inputs!$B$23+0)/100+(Inputs!$B$23+0)/100)/2</f>
        <v/>
      </c>
      <c r="M1560">
        <f>L1560*(1+(Inputs!$B$10+((C1577=TRUE)*(F1577-Calc!F25))+B1587)/100)</f>
        <v/>
      </c>
      <c r="N1560">
        <f>L1560*(1-MIN((Inputs!$B$9+((C1571=TRUE)*(F1571-Calc!F19))+B1582),100)/100)+M1560*(MIN((Inputs!$B$9+((C1571=TRUE)*(F1571-Calc!F19))+B1582),100)/100)</f>
        <v/>
      </c>
      <c r="O1560">
        <f>(1-Summary!$B$55)*T1560+Summary!$B$55*V1560</f>
        <v/>
      </c>
      <c r="P1560">
        <f>IF(B1592=0,0,O1560/B1592)</f>
        <v/>
      </c>
      <c r="Q1560">
        <f>IFERROR(1/IF(Inputs!$B$38="pvp",15,MAX(0.1,Skills!D8-IF(Skills!E8=TRUE,5.0,0))),0)</f>
        <v/>
      </c>
      <c r="R1560">
        <f>IF(AND(Inputs!$B$38&lt;&gt;"pvp",Inputs!$B$43&gt;0),IF(MAX(0,Inputs!$B$43-B1589)&lt;=0,0,(INT(MAX(0,Inputs!$B$43-B1589)/IF(Inputs!$B$38="pvp",15,MAX(0.1,Skills!D8-IF(Skills!E8=TRUE,5.0,0))))+1)),0)</f>
        <v/>
      </c>
      <c r="S1560">
        <f>IFERROR(O1560/N1560,0)</f>
        <v/>
      </c>
      <c r="T1560">
        <f>IF(C1560,(H1560*N1560*IF(AND(Inputs!$B$38&lt;&gt;"pvp",Inputs!$B$43&gt;0),((Skills!G8*((R1560-1)*IF(Skills!H8&gt;0,Skills!I8/Skills!H8,1)+IF(Skills!H8&gt;0,MIN(Skills!I8,MAX(0,MAX(0,Inputs!$B$43-B1589)-((R1560-1)*IF(Inputs!$B$38="pvp",15,MAX(0.1,Skills!D8-IF(Skills!E8=TRUE,5.0,0))))))/Skills!H8,1)))/Inputs!$B$43),G1560*Q1560))*IF(Inputs!$B$38="pvp",1,1+(Inputs!$B$20+0+Skills!P8)/100),0)</f>
        <v/>
      </c>
      <c r="V1560">
        <f>IF(C1560,(H1560*N1560*IF(AND(Inputs!$B$38&lt;&gt;"pvp",Inputs!$B$43&gt;0),((Skills!G8*((R1560-1)*IF(Skills!H8&gt;0,Skills!I8/Skills!H8,1)+IF(Skills!H8&gt;0,MIN(Skills!I8,MAX(0,MAX(0,Inputs!$B$43-B1589)-((R1560-1)*IF(Inputs!$B$38="pvp",15,MAX(0.1,Skills!D8-IF(Skills!E8=TRUE,5.0,0))))))/Skills!H8,1)))/Inputs!$B$43),G1560*Q1560))*IF(Inputs!$B$38="pvp",1,(1+(Inputs!$B$21+Skills!Q8)/100)*(MIN(Skills!R8,Inputs!$B$37))),0)</f>
        <v/>
      </c>
    </row>
    <row r="1561">
      <c r="A1561">
        <f>Skills!A9</f>
        <v/>
      </c>
      <c r="B1561">
        <f>Skills!B9</f>
        <v/>
      </c>
      <c r="C1561">
        <f>Inputs!$B$3&gt;=103</f>
        <v/>
      </c>
      <c r="D1561">
        <f>IF(Skills!C9=1,60+Inputs!$B$25+Inputs!$B$29,IF(Skills!C9=2,90+Inputs!$B$26+Inputs!$B$29,IF(Skills!C9=3,120+Inputs!$B$27+Inputs!$B$29,MAX(0,(Inputs!$B$3-100)*3)+Inputs!$B$28+Inputs!$B$29)))</f>
        <v/>
      </c>
      <c r="E1561">
        <f>INDEX(FactorTable!$B$2:$Y$301, MATCH(ROUND(MIN(300,MAX(1,D1561)),0), FactorTable!$A$2:$A$301,0), Skills!M9+1)</f>
        <v/>
      </c>
      <c r="F1561">
        <f>IF(Skills!N9=TRUE,(Skills!L9/10)*(E1561/1000),Skills!L9/10)+Skills!O9</f>
        <v/>
      </c>
      <c r="G1561">
        <f>Skills!G9*IF(Skills!H9&gt;0,Skills!I9/Skills!H9,1)</f>
        <v/>
      </c>
      <c r="H1561">
        <f>1-(1-Skills!J9/100)^Skills!K9</f>
        <v/>
      </c>
      <c r="I1561" t="inlineStr">
        <is>
          <t>1</t>
        </is>
      </c>
      <c r="J1561">
        <f>((Inputs!$B$6*(1+Inputs!$B$7/100))+(((Inputs!$B$12*(1+Inputs!$B$13/100))-(Inputs!$B$12*(1+Inputs!$B$13/100)))+0.25*(Inputs!$B$14-Inputs!$B$14))*(1+Inputs!$B$7/100))*(F1561/100)</f>
        <v/>
      </c>
      <c r="K1561">
        <f>J1561*(1+((Inputs!$B$12*(1+Inputs!$B$13/100))*0.01+Inputs!$B$14*0.0025)/100)*(1+Inputs!$B$15/100)*(1+Inputs!$B$16/100)*(5000/(6000+Inputs!$B$42*(1-(Inputs!$B$19+0)/100)))*(1+(Inputs!$B$24+((C1578=TRUE)*(F1578-Calc!F26))+B1588)/100)*(1+(IF(Skills!A9="EIGHT_LEGS_EASTON",Inputs!$B$17+((C1575=TRUE)*(F1575-Calc!F23))+((C1579=TRUE)*(F1579-Calc!F27)),Inputs!$B$18+0))/100)*((1+(((C1569=TRUE)*F1569)+((C1576=TRUE)*(F1576-Calc!F24)))/100)*I1561)</f>
        <v/>
      </c>
      <c r="L1561">
        <f>K1561*(MIN(Inputs!$B$22+((C1574=TRUE)*(F1574-Calc!F22)),Inputs!$B$23+0)/100+(Inputs!$B$23+0)/100)/2</f>
        <v/>
      </c>
      <c r="M1561">
        <f>L1561*(1+(Inputs!$B$10+((C1577=TRUE)*(F1577-Calc!F25))+B1587)/100)</f>
        <v/>
      </c>
      <c r="N1561">
        <f>L1561*(1-MIN((Inputs!$B$9+((C1571=TRUE)*(F1571-Calc!F19))+B1582),100)/100)+M1561*(MIN((Inputs!$B$9+((C1571=TRUE)*(F1571-Calc!F19))+B1582),100)/100)</f>
        <v/>
      </c>
      <c r="O1561">
        <f>(1-Summary!$B$55)*T1561+Summary!$B$55*V1561</f>
        <v/>
      </c>
      <c r="P1561">
        <f>IF(B1592=0,0,O1561/B1592)</f>
        <v/>
      </c>
      <c r="Q1561">
        <f>IFERROR(1/IF(Inputs!$B$38="pvp",15,MAX(0.1,Skills!D9-IF(Skills!E9=TRUE,5.0,0))),0)</f>
        <v/>
      </c>
      <c r="R1561">
        <f>IF(AND(Inputs!$B$38&lt;&gt;"pvp",Inputs!$B$43&gt;0),IF(MAX(0,Inputs!$B$43-B1589)&lt;=0,0,(INT(MAX(0,Inputs!$B$43-B1589)/IF(Inputs!$B$38="pvp",15,MAX(0.1,Skills!D9-IF(Skills!E9=TRUE,5.0,0))))+1)),0)</f>
        <v/>
      </c>
      <c r="S1561">
        <f>IFERROR(O1561/N1561,0)</f>
        <v/>
      </c>
      <c r="T1561">
        <f>IF(C1561,(H1561*N1561*IF(AND(Inputs!$B$38&lt;&gt;"pvp",Inputs!$B$43&gt;0),((Skills!G9*((R1561-1)*IF(Skills!H9&gt;0,Skills!I9/Skills!H9,1)+IF(Skills!H9&gt;0,MIN(Skills!I9,MAX(0,MAX(0,Inputs!$B$43-B1589)-((R1561-1)*IF(Inputs!$B$38="pvp",15,MAX(0.1,Skills!D9-IF(Skills!E9=TRUE,5.0,0))))))/Skills!H9,1)))/Inputs!$B$43),G1561*Q1561))*IF(Inputs!$B$38="pvp",1,1+(Inputs!$B$20+0+Skills!P9)/100),0)</f>
        <v/>
      </c>
      <c r="V1561">
        <f>IF(C1561,(H1561*N1561*IF(AND(Inputs!$B$38&lt;&gt;"pvp",Inputs!$B$43&gt;0),((Skills!G9*((R1561-1)*IF(Skills!H9&gt;0,Skills!I9/Skills!H9,1)+IF(Skills!H9&gt;0,MIN(Skills!I9,MAX(0,MAX(0,Inputs!$B$43-B1589)-((R1561-1)*IF(Inputs!$B$38="pvp",15,MAX(0.1,Skills!D9-IF(Skills!E9=TRUE,5.0,0))))))/Skills!H9,1)))/Inputs!$B$43),G1561*Q1561))*IF(Inputs!$B$38="pvp",1,(1+(Inputs!$B$21+Skills!Q9)/100)*(MIN(Skills!R9,Inputs!$B$37))),0)</f>
        <v/>
      </c>
    </row>
    <row r="1562">
      <c r="A1562">
        <f>Skills!A10</f>
        <v/>
      </c>
      <c r="B1562">
        <f>Skills!B10</f>
        <v/>
      </c>
      <c r="C1562">
        <f>Inputs!$B$3&gt;=113</f>
        <v/>
      </c>
      <c r="D1562">
        <f>IF(Skills!C10=1,60+Inputs!$B$25+Inputs!$B$29,IF(Skills!C10=2,90+Inputs!$B$26+Inputs!$B$29,IF(Skills!C10=3,120+Inputs!$B$27+Inputs!$B$29,MAX(0,(Inputs!$B$3-100)*3)+Inputs!$B$28+Inputs!$B$29)))</f>
        <v/>
      </c>
      <c r="E1562">
        <f>INDEX(FactorTable!$B$2:$Y$301, MATCH(ROUND(MIN(300,MAX(1,D1562)),0), FactorTable!$A$2:$A$301,0), Skills!M10+1)</f>
        <v/>
      </c>
      <c r="F1562">
        <f>IF(Skills!N10=TRUE,(Skills!L10/10)*(E1562/1000),Skills!L10/10)+Skills!O10</f>
        <v/>
      </c>
      <c r="G1562">
        <f>Skills!G10*IF(Skills!H10&gt;0,Skills!I10/Skills!H10,1)</f>
        <v/>
      </c>
      <c r="H1562">
        <f>1-(1-Skills!J10/100)^Skills!K10</f>
        <v/>
      </c>
      <c r="I1562" t="inlineStr">
        <is>
          <t>1</t>
        </is>
      </c>
      <c r="J1562">
        <f>((Inputs!$B$6*(1+Inputs!$B$7/100))+(((Inputs!$B$12*(1+Inputs!$B$13/100))-(Inputs!$B$12*(1+Inputs!$B$13/100)))+0.25*(Inputs!$B$14-Inputs!$B$14))*(1+Inputs!$B$7/100))*(F1562/100)</f>
        <v/>
      </c>
      <c r="K1562">
        <f>J1562*(1+((Inputs!$B$12*(1+Inputs!$B$13/100))*0.01+Inputs!$B$14*0.0025)/100)*(1+Inputs!$B$15/100)*(1+Inputs!$B$16/100)*(5000/(6000+Inputs!$B$42*(1-(Inputs!$B$19+0)/100)))*(1+(Inputs!$B$24+((C1578=TRUE)*(F1578-Calc!F26))+B1588)/100)*(1+(IF(Skills!A10="EIGHT_LEGS_EASTON",Inputs!$B$17+((C1575=TRUE)*(F1575-Calc!F23))+((C1579=TRUE)*(F1579-Calc!F27)),Inputs!$B$18+0))/100)*((1+(((C1569=TRUE)*F1569)+((C1576=TRUE)*(F1576-Calc!F24)))/100)*I1562)</f>
        <v/>
      </c>
      <c r="L1562">
        <f>K1562*(MIN(Inputs!$B$22+((C1574=TRUE)*(F1574-Calc!F22)),Inputs!$B$23+0)/100+(Inputs!$B$23+0)/100)/2</f>
        <v/>
      </c>
      <c r="M1562">
        <f>L1562*(1+(Inputs!$B$10+((C1577=TRUE)*(F1577-Calc!F25))+B1587)/100)</f>
        <v/>
      </c>
      <c r="N1562">
        <f>L1562*(1-MIN((Inputs!$B$9+((C1571=TRUE)*(F1571-Calc!F19))+B1582),100)/100)+M1562*(MIN((Inputs!$B$9+((C1571=TRUE)*(F1571-Calc!F19))+B1582),100)/100)</f>
        <v/>
      </c>
      <c r="O1562">
        <f>(1-Summary!$B$55)*T1562+Summary!$B$55*V1562</f>
        <v/>
      </c>
      <c r="P1562">
        <f>IF(B1592=0,0,O1562/B1592)</f>
        <v/>
      </c>
      <c r="Q1562">
        <f>IFERROR(1/IF(Inputs!$B$38="pvp",15,MAX(0.1,Skills!D10-IF(Skills!E10=TRUE,5.0,0))),0)</f>
        <v/>
      </c>
      <c r="R1562">
        <f>IF(AND(Inputs!$B$38&lt;&gt;"pvp",Inputs!$B$43&gt;0),IF(MAX(0,Inputs!$B$43-B1589)&lt;=0,0,(INT(MAX(0,Inputs!$B$43-B1589)/IF(Inputs!$B$38="pvp",15,MAX(0.1,Skills!D10-IF(Skills!E10=TRUE,5.0,0))))+1)),0)</f>
        <v/>
      </c>
      <c r="S1562">
        <f>IFERROR(O1562/N1562,0)</f>
        <v/>
      </c>
      <c r="T1562">
        <f>IF(C1562,(H1562*N1562*IF(AND(Inputs!$B$38&lt;&gt;"pvp",Inputs!$B$43&gt;0),((Skills!G10*((R1562-1)*IF(Skills!H10&gt;0,Skills!I10/Skills!H10,1)+IF(Skills!H10&gt;0,MIN(Skills!I10,MAX(0,MAX(0,Inputs!$B$43-B1589)-((R1562-1)*IF(Inputs!$B$38="pvp",15,MAX(0.1,Skills!D10-IF(Skills!E10=TRUE,5.0,0))))))/Skills!H10,1)))/Inputs!$B$43),G1562*Q1562))*IF(Inputs!$B$38="pvp",1,1+(Inputs!$B$20+0+Skills!P10)/100),0)</f>
        <v/>
      </c>
      <c r="V1562">
        <f>IF(C1562,(H1562*N1562*IF(AND(Inputs!$B$38&lt;&gt;"pvp",Inputs!$B$43&gt;0),((Skills!G10*((R1562-1)*IF(Skills!H10&gt;0,Skills!I10/Skills!H10,1)+IF(Skills!H10&gt;0,MIN(Skills!I10,MAX(0,MAX(0,Inputs!$B$43-B1589)-((R1562-1)*IF(Inputs!$B$38="pvp",15,MAX(0.1,Skills!D10-IF(Skills!E10=TRUE,5.0,0))))))/Skills!H10,1)))/Inputs!$B$43),G1562*Q1562))*IF(Inputs!$B$38="pvp",1,(1+(Inputs!$B$21+Skills!Q10)/100)*(MIN(Skills!R10,Inputs!$B$37))),0)</f>
        <v/>
      </c>
    </row>
    <row r="1563">
      <c r="A1563">
        <f>Skills!A11</f>
        <v/>
      </c>
      <c r="B1563">
        <f>Skills!B11</f>
        <v/>
      </c>
      <c r="C1563">
        <f>Inputs!$B$3&gt;=107</f>
        <v/>
      </c>
      <c r="D1563">
        <f>IF(Skills!C11=1,60+Inputs!$B$25+Inputs!$B$29,IF(Skills!C11=2,90+Inputs!$B$26+Inputs!$B$29,IF(Skills!C11=3,120+Inputs!$B$27+Inputs!$B$29,MAX(0,(Inputs!$B$3-100)*3)+Inputs!$B$28+Inputs!$B$29)))</f>
        <v/>
      </c>
      <c r="E1563">
        <f>INDEX(FactorTable!$B$2:$Y$301, MATCH(ROUND(MIN(300,MAX(1,D1563)),0), FactorTable!$A$2:$A$301,0), Skills!M11+1)</f>
        <v/>
      </c>
      <c r="F1563">
        <f>IF(Skills!N11=TRUE,(Skills!L11/10)*(E1563/1000),Skills!L11/10)+Skills!O11</f>
        <v/>
      </c>
      <c r="G1563">
        <f>Skills!G11*IF(Skills!H11&gt;0,Skills!I11/Skills!H11,1)</f>
        <v/>
      </c>
      <c r="H1563">
        <f>1-(1-Skills!J11/100)^Skills!K11</f>
        <v/>
      </c>
      <c r="I1563" t="inlineStr">
        <is>
          <t>1</t>
        </is>
      </c>
      <c r="J1563">
        <f>((Inputs!$B$6*(1+Inputs!$B$7/100))+(((Inputs!$B$12*(1+Inputs!$B$13/100))-(Inputs!$B$12*(1+Inputs!$B$13/100)))+0.25*(Inputs!$B$14-Inputs!$B$14))*(1+Inputs!$B$7/100))*(F1563/100)</f>
        <v/>
      </c>
      <c r="K1563">
        <f>J1563*(1+((Inputs!$B$12*(1+Inputs!$B$13/100))*0.01+Inputs!$B$14*0.0025)/100)*(1+Inputs!$B$15/100)*(1+Inputs!$B$16/100)*(5000/(6000+Inputs!$B$42*(1-(Inputs!$B$19+0)/100)))*(1+(Inputs!$B$24+((C1578=TRUE)*(F1578-Calc!F26))+B1588)/100)*(1+(IF(Skills!A11="EIGHT_LEGS_EASTON",Inputs!$B$17+((C1575=TRUE)*(F1575-Calc!F23))+((C1579=TRUE)*(F1579-Calc!F27)),Inputs!$B$18+0))/100)*((1+(((C1569=TRUE)*F1569)+((C1576=TRUE)*(F1576-Calc!F24)))/100)*I1563)</f>
        <v/>
      </c>
      <c r="L1563">
        <f>K1563*(MIN(Inputs!$B$22+((C1574=TRUE)*(F1574-Calc!F22)),Inputs!$B$23+0)/100+(Inputs!$B$23+0)/100)/2</f>
        <v/>
      </c>
      <c r="M1563">
        <f>L1563*(1+(Inputs!$B$10+((C1577=TRUE)*(F1577-Calc!F25))+B1587)/100)</f>
        <v/>
      </c>
      <c r="N1563">
        <f>L1563*(1-MIN((Inputs!$B$9+((C1571=TRUE)*(F1571-Calc!F19))+B1582),100)/100)+M1563*(MIN((Inputs!$B$9+((C1571=TRUE)*(F1571-Calc!F19))+B1582),100)/100)</f>
        <v/>
      </c>
      <c r="O1563">
        <f>(1-Summary!$B$55)*T1563+Summary!$B$55*V1563</f>
        <v/>
      </c>
      <c r="P1563">
        <f>IF(B1592=0,0,O1563/B1592)</f>
        <v/>
      </c>
      <c r="Q1563">
        <f>IFERROR(1/IF(Inputs!$B$38="pvp",15,MAX(0.1,Skills!D11-IF(Skills!E11=TRUE,5.0,0))),0)</f>
        <v/>
      </c>
      <c r="R1563">
        <f>IF(AND(Inputs!$B$38&lt;&gt;"pvp",Inputs!$B$43&gt;0),IF(MAX(0,Inputs!$B$43-B1589)&lt;=0,0,(INT(MAX(0,Inputs!$B$43-B1589)/IF(Inputs!$B$38="pvp",15,MAX(0.1,Skills!D11-IF(Skills!E11=TRUE,5.0,0))))+1)),0)</f>
        <v/>
      </c>
      <c r="S1563">
        <f>IFERROR(O1563/N1563,0)</f>
        <v/>
      </c>
      <c r="T1563">
        <f>IF(C1563,(H1563*N1563*IF(AND(Inputs!$B$38&lt;&gt;"pvp",Inputs!$B$43&gt;0),((Skills!G11*((R1563-1)*IF(Skills!H11&gt;0,Skills!I11/Skills!H11,1)+IF(Skills!H11&gt;0,MIN(Skills!I11,MAX(0,MAX(0,Inputs!$B$43-B1589)-((R1563-1)*IF(Inputs!$B$38="pvp",15,MAX(0.1,Skills!D11-IF(Skills!E11=TRUE,5.0,0))))))/Skills!H11,1)))/Inputs!$B$43),G1563*Q1563))*IF(Inputs!$B$38="pvp",1,1+(Inputs!$B$20+0+Skills!P11)/100),0)</f>
        <v/>
      </c>
      <c r="V1563">
        <f>IF(C1563,(H1563*N1563*IF(AND(Inputs!$B$38&lt;&gt;"pvp",Inputs!$B$43&gt;0),((Skills!G11*((R1563-1)*IF(Skills!H11&gt;0,Skills!I11/Skills!H11,1)+IF(Skills!H11&gt;0,MIN(Skills!I11,MAX(0,MAX(0,Inputs!$B$43-B1589)-((R1563-1)*IF(Inputs!$B$38="pvp",15,MAX(0.1,Skills!D11-IF(Skills!E11=TRUE,5.0,0))))))/Skills!H11,1)))/Inputs!$B$43),G1563*Q1563))*IF(Inputs!$B$38="pvp",1,(1+(Inputs!$B$21+Skills!Q11)/100)*(MIN(Skills!R11,Inputs!$B$37))),0)</f>
        <v/>
      </c>
    </row>
    <row r="1564">
      <c r="A1564">
        <f>Skills!A12</f>
        <v/>
      </c>
      <c r="B1564">
        <f>Skills!B12</f>
        <v/>
      </c>
      <c r="C1564">
        <f>Inputs!$B$3&gt;=110</f>
        <v/>
      </c>
      <c r="D1564">
        <f>IF(Skills!C12=1,60+Inputs!$B$25+Inputs!$B$29,IF(Skills!C12=2,90+Inputs!$B$26+Inputs!$B$29,IF(Skills!C12=3,120+Inputs!$B$27+Inputs!$B$29,MAX(0,(Inputs!$B$3-100)*3)+Inputs!$B$28+Inputs!$B$29)))</f>
        <v/>
      </c>
      <c r="E1564">
        <f>INDEX(FactorTable!$B$2:$Y$301, MATCH(ROUND(MIN(300,MAX(1,D1564)),0), FactorTable!$A$2:$A$301,0), Skills!M12+1)</f>
        <v/>
      </c>
      <c r="F1564">
        <f>IF(Skills!N12=TRUE,(Skills!L12/10)*(E1564/1000),Skills!L12/10)+Skills!O12</f>
        <v/>
      </c>
      <c r="G1564">
        <f>Skills!G12*IF(Skills!H12&gt;0,Skills!I12/Skills!H12,1)</f>
        <v/>
      </c>
      <c r="H1564">
        <f>1-(1-Skills!J12/100)^Skills!K12</f>
        <v/>
      </c>
      <c r="I1564" t="inlineStr">
        <is>
          <t>1</t>
        </is>
      </c>
      <c r="J1564">
        <f>((Inputs!$B$6*(1+Inputs!$B$7/100))+(((Inputs!$B$12*(1+Inputs!$B$13/100))-(Inputs!$B$12*(1+Inputs!$B$13/100)))+0.25*(Inputs!$B$14-Inputs!$B$14))*(1+Inputs!$B$7/100))*(F1564/100)</f>
        <v/>
      </c>
      <c r="K1564">
        <f>J1564*(1+((Inputs!$B$12*(1+Inputs!$B$13/100))*0.01+Inputs!$B$14*0.0025)/100)*(1+Inputs!$B$15/100)*(1+Inputs!$B$16/100)*(5000/(6000+Inputs!$B$42*(1-(Inputs!$B$19+0)/100)))*(1+(Inputs!$B$24+((C1578=TRUE)*(F1578-Calc!F26))+B1588)/100)*(1+(IF(Skills!A12="EIGHT_LEGS_EASTON",Inputs!$B$17+((C1575=TRUE)*(F1575-Calc!F23))+((C1579=TRUE)*(F1579-Calc!F27)),Inputs!$B$18+0))/100)*((1+(((C1569=TRUE)*F1569)+((C1576=TRUE)*(F1576-Calc!F24)))/100)*I1564)</f>
        <v/>
      </c>
      <c r="L1564">
        <f>K1564*(MIN(Inputs!$B$22+((C1574=TRUE)*(F1574-Calc!F22)),Inputs!$B$23+0)/100+(Inputs!$B$23+0)/100)/2</f>
        <v/>
      </c>
      <c r="M1564">
        <f>L1564*(1+(Inputs!$B$10+((C1577=TRUE)*(F1577-Calc!F25))+B1587)/100)</f>
        <v/>
      </c>
      <c r="N1564">
        <f>L1564*(1-MIN((Inputs!$B$9+((C1571=TRUE)*(F1571-Calc!F19))+B1582),100)/100)+M1564*(MIN((Inputs!$B$9+((C1571=TRUE)*(F1571-Calc!F19))+B1582),100)/100)</f>
        <v/>
      </c>
      <c r="O1564">
        <f>(1-Summary!$B$55)*T1564+Summary!$B$55*V1564</f>
        <v/>
      </c>
      <c r="P1564">
        <f>IF(B1592=0,0,O1564/B1592)</f>
        <v/>
      </c>
      <c r="Q1564">
        <f>IFERROR(1/IF(Inputs!$B$38="pvp",15,MAX(0.1,Skills!D12-IF(Skills!E12=TRUE,5.0,0))),0)</f>
        <v/>
      </c>
      <c r="R1564">
        <f>IF(AND(Inputs!$B$38&lt;&gt;"pvp",Inputs!$B$43&gt;0),IF(MAX(0,Inputs!$B$43-B1589)&lt;=0,0,(INT(MAX(0,Inputs!$B$43-B1589)/IF(Inputs!$B$38="pvp",15,MAX(0.1,Skills!D12-IF(Skills!E12=TRUE,5.0,0))))+1)),0)</f>
        <v/>
      </c>
      <c r="S1564">
        <f>IFERROR(O1564/N1564,0)</f>
        <v/>
      </c>
      <c r="T1564">
        <f>IF(C1564,(H1564*N1564*IF(AND(Inputs!$B$38&lt;&gt;"pvp",Inputs!$B$43&gt;0),((Skills!G12*((R1564-1)*IF(Skills!H12&gt;0,Skills!I12/Skills!H12,1)+IF(Skills!H12&gt;0,MIN(Skills!I12,MAX(0,MAX(0,Inputs!$B$43-B1589)-((R1564-1)*IF(Inputs!$B$38="pvp",15,MAX(0.1,Skills!D12-IF(Skills!E12=TRUE,5.0,0))))))/Skills!H12,1)))/Inputs!$B$43),G1564*Q1564))*IF(Inputs!$B$38="pvp",1,1+(Inputs!$B$20+0+Skills!P12)/100),0)</f>
        <v/>
      </c>
      <c r="V1564">
        <f>IF(C1564,(H1564*N1564*IF(AND(Inputs!$B$38&lt;&gt;"pvp",Inputs!$B$43&gt;0),((Skills!G12*((R1564-1)*IF(Skills!H12&gt;0,Skills!I12/Skills!H12,1)+IF(Skills!H12&gt;0,MIN(Skills!I12,MAX(0,MAX(0,Inputs!$B$43-B1589)-((R1564-1)*IF(Inputs!$B$38="pvp",15,MAX(0.1,Skills!D12-IF(Skills!E12=TRUE,5.0,0))))))/Skills!H12,1)))/Inputs!$B$43),G1564*Q1564))*IF(Inputs!$B$38="pvp",1,(1+(Inputs!$B$21+Skills!Q12)/100)*(MIN(Skills!R12,Inputs!$B$37))),0)</f>
        <v/>
      </c>
    </row>
    <row r="1565">
      <c r="A1565">
        <f>Skills!A13</f>
        <v/>
      </c>
      <c r="B1565">
        <f>Skills!B13</f>
        <v/>
      </c>
      <c r="C1565">
        <f>Inputs!$B$3&gt;=110</f>
        <v/>
      </c>
      <c r="D1565">
        <f>IF(Skills!C13=1,60+Inputs!$B$25+Inputs!$B$29,IF(Skills!C13=2,90+Inputs!$B$26+Inputs!$B$29,IF(Skills!C13=3,120+Inputs!$B$27+Inputs!$B$29,MAX(0,(Inputs!$B$3-100)*3)+Inputs!$B$28+Inputs!$B$29)))</f>
        <v/>
      </c>
      <c r="E1565">
        <f>INDEX(FactorTable!$B$2:$Y$301, MATCH(ROUND(MIN(300,MAX(1,D1565)),0), FactorTable!$A$2:$A$301,0), Skills!M13+1)</f>
        <v/>
      </c>
      <c r="F1565">
        <f>IF(Skills!N13=TRUE,(Skills!L13/10)*(E1565/1000),Skills!L13/10)+Skills!O13</f>
        <v/>
      </c>
      <c r="G1565">
        <f>Skills!G13*IF(Skills!H13&gt;0,Skills!I13/Skills!H13,1)</f>
        <v/>
      </c>
      <c r="H1565">
        <f>1-(1-Skills!J13/100)^Skills!K13</f>
        <v/>
      </c>
      <c r="I1565" t="inlineStr">
        <is>
          <t>1</t>
        </is>
      </c>
      <c r="J1565">
        <f>((Inputs!$B$6*(1+Inputs!$B$7/100))+(((Inputs!$B$12*(1+Inputs!$B$13/100))-(Inputs!$B$12*(1+Inputs!$B$13/100)))+0.25*(Inputs!$B$14-Inputs!$B$14))*(1+Inputs!$B$7/100))*(F1565/100)</f>
        <v/>
      </c>
      <c r="K1565">
        <f>J1565*(1+((Inputs!$B$12*(1+Inputs!$B$13/100))*0.01+Inputs!$B$14*0.0025)/100)*(1+Inputs!$B$15/100)*(1+Inputs!$B$16/100)*(5000/(6000+Inputs!$B$42*(1-(Inputs!$B$19+0)/100)))*(1+(Inputs!$B$24+((C1578=TRUE)*(F1578-Calc!F26))+B1588)/100)*(1+(IF(Skills!A13="EIGHT_LEGS_EASTON",Inputs!$B$17+((C1575=TRUE)*(F1575-Calc!F23))+((C1579=TRUE)*(F1579-Calc!F27)),Inputs!$B$18+0))/100)*((1+(((C1569=TRUE)*F1569)+((C1576=TRUE)*(F1576-Calc!F24)))/100)*I1565)</f>
        <v/>
      </c>
      <c r="L1565">
        <f>K1565*(MIN(Inputs!$B$22+((C1574=TRUE)*(F1574-Calc!F22)),Inputs!$B$23+0)/100+(Inputs!$B$23+0)/100)/2</f>
        <v/>
      </c>
      <c r="M1565">
        <f>L1565*(1+(Inputs!$B$10+((C1577=TRUE)*(F1577-Calc!F25))+B1587)/100)</f>
        <v/>
      </c>
      <c r="N1565">
        <f>L1565*(1-MIN((Inputs!$B$9+((C1571=TRUE)*(F1571-Calc!F19))+B1582),100)/100)+M1565*(MIN((Inputs!$B$9+((C1571=TRUE)*(F1571-Calc!F19))+B1582),100)/100)</f>
        <v/>
      </c>
      <c r="O1565">
        <f>(1-Summary!$B$55)*T1565+Summary!$B$55*V1565</f>
        <v/>
      </c>
      <c r="P1565">
        <f>IF(B1592=0,0,O1565/B1592)</f>
        <v/>
      </c>
      <c r="Q1565">
        <f>IFERROR(1/IF(Inputs!$B$38="pvp",15,MAX(0.1,Skills!D13-IF(Skills!E13=TRUE,5.0,0))),0)</f>
        <v/>
      </c>
      <c r="R1565">
        <f>IF(AND(Inputs!$B$38&lt;&gt;"pvp",Inputs!$B$43&gt;0),IF(MAX(0,Inputs!$B$43-B1589)&lt;=0,0,(INT(MAX(0,Inputs!$B$43-B1589)/IF(Inputs!$B$38="pvp",15,MAX(0.1,Skills!D13-IF(Skills!E13=TRUE,5.0,0))))+1)),0)</f>
        <v/>
      </c>
      <c r="S1565">
        <f>IFERROR(O1565/N1565,0)</f>
        <v/>
      </c>
      <c r="T1565">
        <f>IF(C1565,(H1565*N1565*IF(AND(Inputs!$B$38&lt;&gt;"pvp",Inputs!$B$43&gt;0),((Skills!G13*((R1565-1)*IF(Skills!H13&gt;0,Skills!I13/Skills!H13,1)+IF(Skills!H13&gt;0,MIN(Skills!I13,MAX(0,MAX(0,Inputs!$B$43-B1589)-((R1565-1)*IF(Inputs!$B$38="pvp",15,MAX(0.1,Skills!D13-IF(Skills!E13=TRUE,5.0,0))))))/Skills!H13,1)))/Inputs!$B$43),G1565*Q1565))*IF(Inputs!$B$38="pvp",1,1+(Inputs!$B$20+0+Skills!P13)/100),0)</f>
        <v/>
      </c>
      <c r="V1565">
        <f>IF(C1565,(H1565*N1565*IF(AND(Inputs!$B$38&lt;&gt;"pvp",Inputs!$B$43&gt;0),((Skills!G13*((R1565-1)*IF(Skills!H13&gt;0,Skills!I13/Skills!H13,1)+IF(Skills!H13&gt;0,MIN(Skills!I13,MAX(0,MAX(0,Inputs!$B$43-B1589)-((R1565-1)*IF(Inputs!$B$38="pvp",15,MAX(0.1,Skills!D13-IF(Skills!E13=TRUE,5.0,0))))))/Skills!H13,1)))/Inputs!$B$43),G1565*Q1565))*IF(Inputs!$B$38="pvp",1,(1+(Inputs!$B$21+Skills!Q13)/100)*(MIN(Skills!R13,Inputs!$B$37))),0)</f>
        <v/>
      </c>
    </row>
    <row r="1566">
      <c r="A1566">
        <f>Skills!A14</f>
        <v/>
      </c>
      <c r="B1566">
        <f>Skills!B14</f>
        <v/>
      </c>
      <c r="C1566">
        <f>Inputs!$B$3&gt;=125</f>
        <v/>
      </c>
      <c r="D1566">
        <f>IF(Skills!C14=1,60+Inputs!$B$25+Inputs!$B$29,IF(Skills!C14=2,90+Inputs!$B$26+Inputs!$B$29,IF(Skills!C14=3,120+Inputs!$B$27+Inputs!$B$29,MAX(0,(Inputs!$B$3-100)*3)+Inputs!$B$28+Inputs!$B$29)))</f>
        <v/>
      </c>
      <c r="E1566">
        <f>INDEX(FactorTable!$B$2:$Y$301, MATCH(ROUND(MIN(300,MAX(1,D1566)),0), FactorTable!$A$2:$A$301,0), Skills!M14+1)</f>
        <v/>
      </c>
      <c r="F1566">
        <f>IF(Skills!N14=TRUE,(Skills!L14/10)*(E1566/1000),Skills!L14/10)+Skills!O14</f>
        <v/>
      </c>
      <c r="G1566">
        <f>Skills!G14*IF(Skills!H14&gt;0,Skills!I14/Skills!H14,1)</f>
        <v/>
      </c>
      <c r="H1566">
        <f>1-(1-Skills!J14/100)^Skills!K14</f>
        <v/>
      </c>
      <c r="I1566" t="inlineStr">
        <is>
          <t>1</t>
        </is>
      </c>
      <c r="J1566">
        <f>((Inputs!$B$6*(1+Inputs!$B$7/100))+(((Inputs!$B$12*(1+Inputs!$B$13/100))-(Inputs!$B$12*(1+Inputs!$B$13/100)))+0.25*(Inputs!$B$14-Inputs!$B$14))*(1+Inputs!$B$7/100))*(F1566/100)</f>
        <v/>
      </c>
      <c r="K1566">
        <f>J1566*(1+((Inputs!$B$12*(1+Inputs!$B$13/100))*0.01+Inputs!$B$14*0.0025)/100)*(1+Inputs!$B$15/100)*(1+Inputs!$B$16/100)*(5000/(6000+Inputs!$B$42*(1-(Inputs!$B$19+0)/100)))*(1+(Inputs!$B$24+((C1578=TRUE)*(F1578-Calc!F26))+B1588)/100)*(1+(IF(Skills!A14="EIGHT_LEGS_EASTON",Inputs!$B$17+((C1575=TRUE)*(F1575-Calc!F23))+((C1579=TRUE)*(F1579-Calc!F27)),Inputs!$B$18+0))/100)*((1+(((C1569=TRUE)*F1569)+((C1576=TRUE)*(F1576-Calc!F24)))/100)*I1566)</f>
        <v/>
      </c>
      <c r="L1566">
        <f>K1566*(MIN(Inputs!$B$22+((C1574=TRUE)*(F1574-Calc!F22)),Inputs!$B$23+0)/100+(Inputs!$B$23+0)/100)/2</f>
        <v/>
      </c>
      <c r="M1566">
        <f>L1566*(1+(Inputs!$B$10+((C1577=TRUE)*(F1577-Calc!F25))+B1587)/100)</f>
        <v/>
      </c>
      <c r="N1566">
        <f>L1566*(1-MIN((Inputs!$B$9+((C1571=TRUE)*(F1571-Calc!F19))+B1582),100)/100)+M1566*(MIN((Inputs!$B$9+((C1571=TRUE)*(F1571-Calc!F19))+B1582),100)/100)</f>
        <v/>
      </c>
      <c r="O1566">
        <f>(1-Summary!$B$55)*T1566+Summary!$B$55*V1566</f>
        <v/>
      </c>
      <c r="P1566">
        <f>IF(B1592=0,0,O1566/B1592)</f>
        <v/>
      </c>
      <c r="Q1566" t="n">
        <v>0</v>
      </c>
      <c r="R1566" t="n">
        <v>0</v>
      </c>
      <c r="S1566">
        <f>IFERROR(O1566/N1566,0)</f>
        <v/>
      </c>
      <c r="T1566">
        <f>IF(C1566,(H1566*N1566*(B1586+IF(AND(Inputs!$B$38&lt;&gt;"pvp",Inputs!$B$43&gt;0),((Skills!G8*((R1560-1)*IF(Skills!H8&gt;0,Skills!I8/Skills!H8,1)+IF(Skills!H8&gt;0,MIN(Skills!I8,MAX(0,MAX(0,Inputs!$B$43-B1589)-((R1560-1)*IF(Inputs!$B$38="pvp",15,MAX(0.1,Skills!D8-IF(Skills!E8=TRUE,5.0,0))))))/Skills!H8,1)))/Inputs!$B$43),G1560*Q1560)+IF(AND(Inputs!$B$38&lt;&gt;"pvp",Inputs!$B$43&gt;0),((Skills!G11*((R1563-1)*IF(Skills!H11&gt;0,Skills!I11/Skills!H11,1)+IF(Skills!H11&gt;0,MIN(Skills!I11,MAX(0,MAX(0,Inputs!$B$43-B1589)-((R1563-1)*IF(Inputs!$B$38="pvp",15,MAX(0.1,Skills!D11-IF(Skills!E11=TRUE,5.0,0))))))/Skills!H11,1)))/Inputs!$B$43),G1563*Q1563)))*IF(Inputs!$B$38="pvp",1,1+(Inputs!$B$20+0+Skills!P14)/100),0)</f>
        <v/>
      </c>
      <c r="V1566">
        <f>IF(C1566,(H1566*N1566*(B1586+IF(AND(Inputs!$B$38&lt;&gt;"pvp",Inputs!$B$43&gt;0),((Skills!G8*((R1560-1)*IF(Skills!H8&gt;0,Skills!I8/Skills!H8,1)+IF(Skills!H8&gt;0,MIN(Skills!I8,MAX(0,MAX(0,Inputs!$B$43-B1589)-((R1560-1)*IF(Inputs!$B$38="pvp",15,MAX(0.1,Skills!D8-IF(Skills!E8=TRUE,5.0,0))))))/Skills!H8,1)))/Inputs!$B$43),G1560*Q1560)+IF(AND(Inputs!$B$38&lt;&gt;"pvp",Inputs!$B$43&gt;0),((Skills!G11*((R1563-1)*IF(Skills!H11&gt;0,Skills!I11/Skills!H11,1)+IF(Skills!H11&gt;0,MIN(Skills!I11,MAX(0,MAX(0,Inputs!$B$43-B1589)-((R1563-1)*IF(Inputs!$B$38="pvp",15,MAX(0.1,Skills!D11-IF(Skills!E11=TRUE,5.0,0))))))/Skills!H11,1)))/Inputs!$B$43),G1563*Q1563)))*IF(Inputs!$B$38="pvp",1,(1+(Inputs!$B$21+Skills!Q14)/100)*(MIN(Skills!R14,Inputs!$B$37))),0)</f>
        <v/>
      </c>
    </row>
    <row r="1567">
      <c r="A1567">
        <f>Skills!A15</f>
        <v/>
      </c>
      <c r="B1567">
        <f>Skills!B15</f>
        <v/>
      </c>
      <c r="C1567">
        <f>Inputs!$B$3&gt;=100</f>
        <v/>
      </c>
      <c r="D1567">
        <f>IF(Skills!C15=1,60+Inputs!$B$25+Inputs!$B$29,IF(Skills!C15=2,90+Inputs!$B$26+Inputs!$B$29,IF(Skills!C15=3,120+Inputs!$B$27+Inputs!$B$29,MAX(0,(Inputs!$B$3-100)*3)+Inputs!$B$28+Inputs!$B$29)))</f>
        <v/>
      </c>
      <c r="E1567">
        <f>INDEX(FactorTable!$B$2:$Y$301, MATCH(ROUND(MIN(300,MAX(1,D1567)),0), FactorTable!$A$2:$A$301,0), Skills!M15+1)</f>
        <v/>
      </c>
      <c r="F1567">
        <f>IF(Skills!N15=TRUE,(Skills!L15/10)*(E1567/1000),Skills!L15/10)+Skills!O15</f>
        <v/>
      </c>
      <c r="G1567" t="inlineStr"/>
      <c r="H1567" t="inlineStr"/>
      <c r="I1567" t="inlineStr">
        <is>
          <t>1</t>
        </is>
      </c>
      <c r="J1567" t="inlineStr"/>
      <c r="K1567" t="inlineStr"/>
      <c r="L1567" t="inlineStr"/>
      <c r="M1567" t="inlineStr"/>
      <c r="N1567" t="inlineStr"/>
      <c r="O1567" t="inlineStr"/>
      <c r="P1567" t="inlineStr"/>
      <c r="Q1567" t="inlineStr"/>
      <c r="R1567" t="inlineStr"/>
      <c r="S1567" t="inlineStr"/>
    </row>
    <row r="1568">
      <c r="A1568">
        <f>Skills!A16</f>
        <v/>
      </c>
      <c r="B1568">
        <f>Skills!B16</f>
        <v/>
      </c>
      <c r="C1568">
        <f>Inputs!$B$3&gt;=120</f>
        <v/>
      </c>
      <c r="D1568">
        <f>IF(Skills!C16=1,60+Inputs!$B$25+Inputs!$B$29,IF(Skills!C16=2,90+Inputs!$B$26+Inputs!$B$29,IF(Skills!C16=3,120+Inputs!$B$27+Inputs!$B$29,MAX(0,(Inputs!$B$3-100)*3)+Inputs!$B$28+Inputs!$B$29)))</f>
        <v/>
      </c>
      <c r="E1568">
        <f>INDEX(FactorTable!$B$2:$Y$301, MATCH(ROUND(MIN(300,MAX(1,D1568)),0), FactorTable!$A$2:$A$301,0), Skills!M16+1)</f>
        <v/>
      </c>
      <c r="F1568">
        <f>IF(Skills!N16=TRUE,(Skills!L16/10)*(E1568/1000),Skills!L16/10)+Skills!O16</f>
        <v/>
      </c>
      <c r="G1568" t="inlineStr"/>
      <c r="H1568" t="inlineStr"/>
      <c r="I1568" t="inlineStr">
        <is>
          <t>1</t>
        </is>
      </c>
      <c r="J1568" t="inlineStr"/>
      <c r="K1568" t="inlineStr"/>
      <c r="L1568" t="inlineStr"/>
      <c r="M1568" t="inlineStr"/>
      <c r="N1568" t="inlineStr"/>
      <c r="O1568" t="inlineStr"/>
      <c r="P1568" t="inlineStr"/>
      <c r="Q1568" t="inlineStr"/>
      <c r="R1568" t="inlineStr"/>
      <c r="S1568" t="inlineStr"/>
    </row>
    <row r="1569">
      <c r="A1569">
        <f>Skills!A17</f>
        <v/>
      </c>
      <c r="B1569">
        <f>Skills!B17</f>
        <v/>
      </c>
      <c r="C1569">
        <f>Inputs!$B$3&gt;=66</f>
        <v/>
      </c>
      <c r="D1569">
        <f>IF(Skills!C17=1,60+Inputs!$B$25+Inputs!$B$29,IF(Skills!C17=2,90+Inputs!$B$26+Inputs!$B$29,IF(Skills!C17=3,120+Inputs!$B$27+Inputs!$B$29,MAX(0,(Inputs!$B$3-100)*3)+Inputs!$B$28+Inputs!$B$29)))</f>
        <v/>
      </c>
      <c r="E1569">
        <f>INDEX(FactorTable!$B$2:$Y$301, MATCH(ROUND(MIN(300,MAX(1,D1569)),0), FactorTable!$A$2:$A$301,0), Skills!M17+1)</f>
        <v/>
      </c>
      <c r="F1569">
        <f>IF(Skills!N17=TRUE,(Skills!L17/10)*(E1569/1000),Skills!L17/10)+Skills!O17</f>
        <v/>
      </c>
      <c r="G1569">
        <f>Skills!G17*IF(Skills!H17&gt;0,Skills!I17/Skills!H17,1)</f>
        <v/>
      </c>
      <c r="H1569">
        <f>1-(1-Skills!J17/100)^Skills!K17</f>
        <v/>
      </c>
      <c r="I1569" t="inlineStr">
        <is>
          <t>1</t>
        </is>
      </c>
      <c r="J1569" t="inlineStr"/>
      <c r="K1569" t="inlineStr"/>
      <c r="L1569" t="inlineStr"/>
      <c r="M1569" t="inlineStr"/>
      <c r="N1569" t="inlineStr"/>
      <c r="O1569">
        <f>(1-Summary!$B$55)*T1569+Summary!$B$55*V1569</f>
        <v/>
      </c>
      <c r="P1569">
        <f>IF(B1592=0,0,O1569/B1592)</f>
        <v/>
      </c>
      <c r="Q1569" t="n">
        <v>0</v>
      </c>
      <c r="R1569" t="n">
        <v>0</v>
      </c>
      <c r="S1569">
        <f>IFERROR(O1569/N1569,0)</f>
        <v/>
      </c>
      <c r="T1569" t="n">
        <v>0</v>
      </c>
      <c r="V1569" t="n">
        <v>0</v>
      </c>
    </row>
    <row r="1570">
      <c r="A1570">
        <f>Skills!A18</f>
        <v/>
      </c>
      <c r="B1570">
        <f>Skills!B18</f>
        <v/>
      </c>
      <c r="C1570">
        <f>Inputs!$B$3&gt;=115</f>
        <v/>
      </c>
      <c r="D1570">
        <f>IF(Skills!C18=1,60+Inputs!$B$25+Inputs!$B$29,IF(Skills!C18=2,90+Inputs!$B$26+Inputs!$B$29,IF(Skills!C18=3,120+Inputs!$B$27+Inputs!$B$29,MAX(0,(Inputs!$B$3-100)*3)+Inputs!$B$28+Inputs!$B$29)))</f>
        <v/>
      </c>
      <c r="E1570">
        <f>INDEX(FactorTable!$B$2:$Y$301, MATCH(ROUND(MIN(300,MAX(1,D1570)),0), FactorTable!$A$2:$A$301,0), Skills!M18+1)</f>
        <v/>
      </c>
      <c r="F1570">
        <f>IF(Skills!N18=TRUE,(Skills!L18/10)*(E1570/1000),Skills!L18/10)+Skills!O18</f>
        <v/>
      </c>
      <c r="G1570">
        <f>Skills!G18*IF(Skills!H18&gt;0,Skills!I18/Skills!H18,1)</f>
        <v/>
      </c>
      <c r="H1570">
        <f>1-(1-Skills!J18/100)^Skills!K18</f>
        <v/>
      </c>
      <c r="I1570" t="inlineStr">
        <is>
          <t>1</t>
        </is>
      </c>
      <c r="J1570" t="inlineStr"/>
      <c r="K1570" t="inlineStr"/>
      <c r="L1570" t="inlineStr"/>
      <c r="M1570" t="inlineStr"/>
      <c r="N1570" t="inlineStr"/>
      <c r="O1570">
        <f>(1-Summary!$B$55)*T1570+Summary!$B$55*V1570</f>
        <v/>
      </c>
      <c r="P1570">
        <f>IF(B1592=0,0,O1570/B1592)</f>
        <v/>
      </c>
      <c r="Q1570" t="n">
        <v>0</v>
      </c>
      <c r="R1570" t="n">
        <v>0</v>
      </c>
      <c r="S1570">
        <f>IFERROR(O1570/N1570,0)</f>
        <v/>
      </c>
      <c r="T1570" t="n">
        <v>0</v>
      </c>
      <c r="V1570" t="n">
        <v>0</v>
      </c>
    </row>
    <row r="1571">
      <c r="A1571">
        <f>Skills!A19</f>
        <v/>
      </c>
      <c r="B1571">
        <f>Skills!B19</f>
        <v/>
      </c>
      <c r="C1571">
        <f>Inputs!$B$3&gt;=15</f>
        <v/>
      </c>
      <c r="D1571">
        <f>IF(Skills!C19=1,60+Inputs!$B$25+Inputs!$B$29,IF(Skills!C19=2,90+Inputs!$B$26+Inputs!$B$29,IF(Skills!C19=3,120+Inputs!$B$27+Inputs!$B$29,MAX(0,(Inputs!$B$3-100)*3)+Inputs!$B$28+Inputs!$B$29)))</f>
        <v/>
      </c>
      <c r="E1571">
        <f>INDEX(FactorTable!$B$2:$Y$301, MATCH(ROUND(MIN(300,MAX(1,D1571)),0), FactorTable!$A$2:$A$301,0), Skills!M19+1)</f>
        <v/>
      </c>
      <c r="F1571">
        <f>IF(Skills!N19=TRUE,(Skills!L19/10)*(E1571/1000),Skills!L19/10)+Skills!O19</f>
        <v/>
      </c>
      <c r="G1571">
        <f>Skills!G19*IF(Skills!H19&gt;0,Skills!I19/Skills!H19,1)</f>
        <v/>
      </c>
      <c r="H1571">
        <f>1-(1-Skills!J19/100)^Skills!K19</f>
        <v/>
      </c>
      <c r="I1571" t="inlineStr">
        <is>
          <t>1</t>
        </is>
      </c>
      <c r="J1571" t="inlineStr"/>
      <c r="K1571" t="inlineStr"/>
      <c r="L1571" t="inlineStr"/>
      <c r="M1571" t="inlineStr"/>
      <c r="N1571" t="inlineStr"/>
      <c r="O1571">
        <f>(1-Summary!$B$55)*T1571+Summary!$B$55*V1571</f>
        <v/>
      </c>
      <c r="P1571">
        <f>IF(B1592=0,0,O1571/B1592)</f>
        <v/>
      </c>
      <c r="Q1571" t="n">
        <v>0</v>
      </c>
      <c r="R1571" t="n">
        <v>0</v>
      </c>
      <c r="S1571">
        <f>IFERROR(O1571/N1571,0)</f>
        <v/>
      </c>
      <c r="T1571" t="n">
        <v>0</v>
      </c>
      <c r="V1571" t="n">
        <v>0</v>
      </c>
    </row>
    <row r="1572">
      <c r="A1572">
        <f>Skills!A20</f>
        <v/>
      </c>
      <c r="B1572">
        <f>Skills!B20</f>
        <v/>
      </c>
      <c r="C1572">
        <f>Inputs!$B$3&gt;=10</f>
        <v/>
      </c>
      <c r="D1572">
        <f>IF(Skills!C20=1,60+Inputs!$B$25+Inputs!$B$29,IF(Skills!C20=2,90+Inputs!$B$26+Inputs!$B$29,IF(Skills!C20=3,120+Inputs!$B$27+Inputs!$B$29,MAX(0,(Inputs!$B$3-100)*3)+Inputs!$B$28+Inputs!$B$29)))</f>
        <v/>
      </c>
      <c r="E1572">
        <f>INDEX(FactorTable!$B$2:$Y$301, MATCH(ROUND(MIN(300,MAX(1,D1572)),0), FactorTable!$A$2:$A$301,0), Skills!M20+1)</f>
        <v/>
      </c>
      <c r="F1572">
        <f>IF(Skills!N20=TRUE,(Skills!L20/10)*(E1572/1000),Skills!L20/10)+Skills!O20</f>
        <v/>
      </c>
      <c r="G1572">
        <f>Skills!G20*IF(Skills!H20&gt;0,Skills!I20/Skills!H20,1)</f>
        <v/>
      </c>
      <c r="H1572">
        <f>1-(1-Skills!J20/100)^Skills!K20</f>
        <v/>
      </c>
      <c r="I1572" t="inlineStr">
        <is>
          <t>1</t>
        </is>
      </c>
      <c r="J1572" t="inlineStr"/>
      <c r="K1572" t="inlineStr"/>
      <c r="L1572" t="inlineStr"/>
      <c r="M1572" t="inlineStr"/>
      <c r="N1572" t="inlineStr"/>
      <c r="O1572">
        <f>(1-Summary!$B$55)*T1572+Summary!$B$55*V1572</f>
        <v/>
      </c>
      <c r="P1572">
        <f>IF(B1592=0,0,O1572/B1592)</f>
        <v/>
      </c>
      <c r="Q1572" t="n">
        <v>0</v>
      </c>
      <c r="R1572" t="n">
        <v>0</v>
      </c>
      <c r="S1572">
        <f>IFERROR(O1572/N1572,0)</f>
        <v/>
      </c>
      <c r="T1572" t="n">
        <v>0</v>
      </c>
      <c r="V1572" t="n">
        <v>0</v>
      </c>
    </row>
    <row r="1573">
      <c r="A1573">
        <f>Skills!A21</f>
        <v/>
      </c>
      <c r="B1573">
        <f>Skills!B21</f>
        <v/>
      </c>
      <c r="C1573">
        <f>Inputs!$B$3&gt;=33</f>
        <v/>
      </c>
      <c r="D1573">
        <f>IF(Skills!C21=1,60+Inputs!$B$25+Inputs!$B$29,IF(Skills!C21=2,90+Inputs!$B$26+Inputs!$B$29,IF(Skills!C21=3,120+Inputs!$B$27+Inputs!$B$29,MAX(0,(Inputs!$B$3-100)*3)+Inputs!$B$28+Inputs!$B$29)))</f>
        <v/>
      </c>
      <c r="E1573">
        <f>INDEX(FactorTable!$B$2:$Y$301, MATCH(ROUND(MIN(300,MAX(1,D1573)),0), FactorTable!$A$2:$A$301,0), Skills!M21+1)</f>
        <v/>
      </c>
      <c r="F1573">
        <f>IF(Skills!N21=TRUE,(Skills!L21/10)*(E1573/1000),Skills!L21/10)+Skills!O21</f>
        <v/>
      </c>
      <c r="G1573">
        <f>Skills!G21*IF(Skills!H21&gt;0,Skills!I21/Skills!H21,1)</f>
        <v/>
      </c>
      <c r="H1573">
        <f>1-(1-Skills!J21/100)^Skills!K21</f>
        <v/>
      </c>
      <c r="I1573" t="inlineStr">
        <is>
          <t>1</t>
        </is>
      </c>
      <c r="J1573" t="inlineStr"/>
      <c r="K1573" t="inlineStr"/>
      <c r="L1573" t="inlineStr"/>
      <c r="M1573" t="inlineStr"/>
      <c r="N1573" t="inlineStr"/>
      <c r="O1573">
        <f>(1-Summary!$B$55)*T1573+Summary!$B$55*V1573</f>
        <v/>
      </c>
      <c r="P1573">
        <f>IF(B1592=0,0,O1573/B1592)</f>
        <v/>
      </c>
      <c r="Q1573" t="n">
        <v>0</v>
      </c>
      <c r="R1573" t="n">
        <v>0</v>
      </c>
      <c r="S1573">
        <f>IFERROR(O1573/N1573,0)</f>
        <v/>
      </c>
      <c r="T1573" t="n">
        <v>0</v>
      </c>
      <c r="V1573" t="n">
        <v>0</v>
      </c>
    </row>
    <row r="1574">
      <c r="A1574">
        <f>Skills!A22</f>
        <v/>
      </c>
      <c r="B1574">
        <f>Skills!B22</f>
        <v/>
      </c>
      <c r="C1574">
        <f>Inputs!$B$3&gt;=43</f>
        <v/>
      </c>
      <c r="D1574">
        <f>IF(Skills!C22=1,60+Inputs!$B$25+Inputs!$B$29,IF(Skills!C22=2,90+Inputs!$B$26+Inputs!$B$29,IF(Skills!C22=3,120+Inputs!$B$27+Inputs!$B$29,MAX(0,(Inputs!$B$3-100)*3)+Inputs!$B$28+Inputs!$B$29)))</f>
        <v/>
      </c>
      <c r="E1574">
        <f>INDEX(FactorTable!$B$2:$Y$301, MATCH(ROUND(MIN(300,MAX(1,D1574)),0), FactorTable!$A$2:$A$301,0), Skills!M22+1)</f>
        <v/>
      </c>
      <c r="F1574">
        <f>IF(Skills!N22=TRUE,(Skills!L22/10)*(E1574/1000),Skills!L22/10)+Skills!O22</f>
        <v/>
      </c>
      <c r="G1574">
        <f>Skills!G22*IF(Skills!H22&gt;0,Skills!I22/Skills!H22,1)</f>
        <v/>
      </c>
      <c r="H1574">
        <f>1-(1-Skills!J22/100)^Skills!K22</f>
        <v/>
      </c>
      <c r="I1574" t="inlineStr">
        <is>
          <t>1</t>
        </is>
      </c>
      <c r="J1574" t="inlineStr"/>
      <c r="K1574" t="inlineStr"/>
      <c r="L1574" t="inlineStr"/>
      <c r="M1574" t="inlineStr"/>
      <c r="N1574" t="inlineStr"/>
      <c r="O1574">
        <f>(1-Summary!$B$55)*T1574+Summary!$B$55*V1574</f>
        <v/>
      </c>
      <c r="P1574">
        <f>IF(B1592=0,0,O1574/B1592)</f>
        <v/>
      </c>
      <c r="Q1574" t="n">
        <v>0</v>
      </c>
      <c r="R1574" t="n">
        <v>0</v>
      </c>
      <c r="S1574">
        <f>IFERROR(O1574/N1574,0)</f>
        <v/>
      </c>
      <c r="T1574" t="n">
        <v>0</v>
      </c>
      <c r="V1574" t="n">
        <v>0</v>
      </c>
    </row>
    <row r="1575">
      <c r="A1575">
        <f>Skills!A23</f>
        <v/>
      </c>
      <c r="B1575">
        <f>Skills!B23</f>
        <v/>
      </c>
      <c r="C1575">
        <f>Inputs!$B$3&gt;=38</f>
        <v/>
      </c>
      <c r="D1575">
        <f>IF(Skills!C23=1,60+Inputs!$B$25+Inputs!$B$29,IF(Skills!C23=2,90+Inputs!$B$26+Inputs!$B$29,IF(Skills!C23=3,120+Inputs!$B$27+Inputs!$B$29,MAX(0,(Inputs!$B$3-100)*3)+Inputs!$B$28+Inputs!$B$29)))</f>
        <v/>
      </c>
      <c r="E1575">
        <f>INDEX(FactorTable!$B$2:$Y$301, MATCH(ROUND(MIN(300,MAX(1,D1575)),0), FactorTable!$A$2:$A$301,0), Skills!M23+1)</f>
        <v/>
      </c>
      <c r="F1575">
        <f>IF(Skills!N23=TRUE,(Skills!L23/10)*(E1575/1000),Skills!L23/10)+Skills!O23</f>
        <v/>
      </c>
      <c r="G1575">
        <f>Skills!G23*IF(Skills!H23&gt;0,Skills!I23/Skills!H23,1)</f>
        <v/>
      </c>
      <c r="H1575">
        <f>1-(1-Skills!J23/100)^Skills!K23</f>
        <v/>
      </c>
      <c r="I1575" t="inlineStr">
        <is>
          <t>1</t>
        </is>
      </c>
      <c r="J1575" t="inlineStr"/>
      <c r="K1575" t="inlineStr"/>
      <c r="L1575" t="inlineStr"/>
      <c r="M1575" t="inlineStr"/>
      <c r="N1575" t="inlineStr"/>
      <c r="O1575">
        <f>(1-Summary!$B$55)*T1575+Summary!$B$55*V1575</f>
        <v/>
      </c>
      <c r="P1575">
        <f>IF(B1592=0,0,O1575/B1592)</f>
        <v/>
      </c>
      <c r="Q1575" t="n">
        <v>0</v>
      </c>
      <c r="R1575" t="n">
        <v>0</v>
      </c>
      <c r="S1575">
        <f>IFERROR(O1575/N1575,0)</f>
        <v/>
      </c>
      <c r="T1575" t="n">
        <v>0</v>
      </c>
      <c r="V1575" t="n">
        <v>0</v>
      </c>
    </row>
    <row r="1576">
      <c r="A1576">
        <f>Skills!A24</f>
        <v/>
      </c>
      <c r="B1576">
        <f>Skills!B24</f>
        <v/>
      </c>
      <c r="C1576">
        <f>Inputs!$B$3&gt;=40</f>
        <v/>
      </c>
      <c r="D1576">
        <f>IF(Skills!C24=1,60+Inputs!$B$25+Inputs!$B$29,IF(Skills!C24=2,90+Inputs!$B$26+Inputs!$B$29,IF(Skills!C24=3,120+Inputs!$B$27+Inputs!$B$29,MAX(0,(Inputs!$B$3-100)*3)+Inputs!$B$28+Inputs!$B$29)))</f>
        <v/>
      </c>
      <c r="E1576">
        <f>INDEX(FactorTable!$B$2:$Y$301, MATCH(ROUND(MIN(300,MAX(1,D1576)),0), FactorTable!$A$2:$A$301,0), Skills!M24+1)</f>
        <v/>
      </c>
      <c r="F1576">
        <f>IF(Skills!N24=TRUE,(Skills!L24/10)*(E1576/1000),Skills!L24/10)+Skills!O24</f>
        <v/>
      </c>
      <c r="G1576">
        <f>Skills!G24*IF(Skills!H24&gt;0,Skills!I24/Skills!H24,1)</f>
        <v/>
      </c>
      <c r="H1576">
        <f>1-(1-Skills!J24/100)^Skills!K24</f>
        <v/>
      </c>
      <c r="I1576" t="inlineStr">
        <is>
          <t>1</t>
        </is>
      </c>
      <c r="J1576" t="inlineStr"/>
      <c r="K1576" t="inlineStr"/>
      <c r="L1576" t="inlineStr"/>
      <c r="M1576" t="inlineStr"/>
      <c r="N1576" t="inlineStr"/>
      <c r="O1576">
        <f>(1-Summary!$B$55)*T1576+Summary!$B$55*V1576</f>
        <v/>
      </c>
      <c r="P1576">
        <f>IF(B1592=0,0,O1576/B1592)</f>
        <v/>
      </c>
      <c r="Q1576" t="n">
        <v>0</v>
      </c>
      <c r="R1576" t="n">
        <v>0</v>
      </c>
      <c r="S1576">
        <f>IFERROR(O1576/N1576,0)</f>
        <v/>
      </c>
      <c r="T1576" t="n">
        <v>0</v>
      </c>
      <c r="V1576" t="n">
        <v>0</v>
      </c>
    </row>
    <row r="1577">
      <c r="A1577">
        <f>Skills!A25</f>
        <v/>
      </c>
      <c r="B1577">
        <f>Skills!B25</f>
        <v/>
      </c>
      <c r="C1577">
        <f>Inputs!$B$3&gt;=72</f>
        <v/>
      </c>
      <c r="D1577">
        <f>IF(Skills!C25=1,60+Inputs!$B$25+Inputs!$B$29,IF(Skills!C25=2,90+Inputs!$B$26+Inputs!$B$29,IF(Skills!C25=3,120+Inputs!$B$27+Inputs!$B$29,MAX(0,(Inputs!$B$3-100)*3)+Inputs!$B$28+Inputs!$B$29)))</f>
        <v/>
      </c>
      <c r="E1577">
        <f>INDEX(FactorTable!$B$2:$Y$301, MATCH(ROUND(MIN(300,MAX(1,D1577)),0), FactorTable!$A$2:$A$301,0), Skills!M25+1)</f>
        <v/>
      </c>
      <c r="F1577">
        <f>IF(Skills!N25=TRUE,(Skills!L25/10)*(E1577/1000),Skills!L25/10)+Skills!O25</f>
        <v/>
      </c>
      <c r="G1577">
        <f>Skills!G25*IF(Skills!H25&gt;0,Skills!I25/Skills!H25,1)</f>
        <v/>
      </c>
      <c r="H1577">
        <f>1-(1-Skills!J25/100)^Skills!K25</f>
        <v/>
      </c>
      <c r="I1577" t="inlineStr">
        <is>
          <t>1</t>
        </is>
      </c>
      <c r="J1577" t="inlineStr"/>
      <c r="K1577" t="inlineStr"/>
      <c r="L1577" t="inlineStr"/>
      <c r="M1577" t="inlineStr"/>
      <c r="N1577" t="inlineStr"/>
      <c r="O1577">
        <f>(1-Summary!$B$55)*T1577+Summary!$B$55*V1577</f>
        <v/>
      </c>
      <c r="P1577">
        <f>IF(B1592=0,0,O1577/B1592)</f>
        <v/>
      </c>
      <c r="Q1577" t="n">
        <v>0</v>
      </c>
      <c r="R1577" t="n">
        <v>0</v>
      </c>
      <c r="S1577">
        <f>IFERROR(O1577/N1577,0)</f>
        <v/>
      </c>
      <c r="T1577" t="n">
        <v>0</v>
      </c>
      <c r="V1577" t="n">
        <v>0</v>
      </c>
    </row>
    <row r="1578">
      <c r="A1578">
        <f>Skills!A26</f>
        <v/>
      </c>
      <c r="B1578">
        <f>Skills!B26</f>
        <v/>
      </c>
      <c r="C1578">
        <f>Inputs!$B$3&gt;=75</f>
        <v/>
      </c>
      <c r="D1578">
        <f>IF(Skills!C26=1,60+Inputs!$B$25+Inputs!$B$29,IF(Skills!C26=2,90+Inputs!$B$26+Inputs!$B$29,IF(Skills!C26=3,120+Inputs!$B$27+Inputs!$B$29,MAX(0,(Inputs!$B$3-100)*3)+Inputs!$B$28+Inputs!$B$29)))</f>
        <v/>
      </c>
      <c r="E1578">
        <f>INDEX(FactorTable!$B$2:$Y$301, MATCH(ROUND(MIN(300,MAX(1,D1578)),0), FactorTable!$A$2:$A$301,0), Skills!M26+1)</f>
        <v/>
      </c>
      <c r="F1578">
        <f>IF(Skills!N26=TRUE,(Skills!L26/10)*(E1578/1000),Skills!L26/10)+Skills!O26</f>
        <v/>
      </c>
      <c r="G1578">
        <f>Skills!G26*IF(Skills!H26&gt;0,Skills!I26/Skills!H26,1)</f>
        <v/>
      </c>
      <c r="H1578">
        <f>1-(1-Skills!J26/100)^Skills!K26</f>
        <v/>
      </c>
      <c r="I1578" t="inlineStr">
        <is>
          <t>1</t>
        </is>
      </c>
      <c r="J1578" t="inlineStr"/>
      <c r="K1578" t="inlineStr"/>
      <c r="L1578" t="inlineStr"/>
      <c r="M1578" t="inlineStr"/>
      <c r="N1578" t="inlineStr"/>
      <c r="O1578">
        <f>(1-Summary!$B$55)*T1578+Summary!$B$55*V1578</f>
        <v/>
      </c>
      <c r="P1578">
        <f>IF(B1592=0,0,O1578/B1592)</f>
        <v/>
      </c>
      <c r="Q1578" t="n">
        <v>0</v>
      </c>
      <c r="R1578" t="n">
        <v>0</v>
      </c>
      <c r="S1578">
        <f>IFERROR(O1578/N1578,0)</f>
        <v/>
      </c>
      <c r="T1578" t="n">
        <v>0</v>
      </c>
      <c r="V1578" t="n">
        <v>0</v>
      </c>
    </row>
    <row r="1579">
      <c r="A1579">
        <f>Skills!A27</f>
        <v/>
      </c>
      <c r="B1579">
        <f>Skills!B27</f>
        <v/>
      </c>
      <c r="C1579">
        <f>Inputs!$B$3&gt;=117</f>
        <v/>
      </c>
      <c r="D1579">
        <f>IF(Skills!C27=1,60+Inputs!$B$25+Inputs!$B$29,IF(Skills!C27=2,90+Inputs!$B$26+Inputs!$B$29,IF(Skills!C27=3,120+Inputs!$B$27+Inputs!$B$29,MAX(0,(Inputs!$B$3-100)*3)+Inputs!$B$28+Inputs!$B$29)))</f>
        <v/>
      </c>
      <c r="E1579">
        <f>INDEX(FactorTable!$B$2:$Y$301, MATCH(ROUND(MIN(300,MAX(1,D1579)),0), FactorTable!$A$2:$A$301,0), Skills!M27+1)</f>
        <v/>
      </c>
      <c r="F1579">
        <f>IF(Skills!N27=TRUE,(Skills!L27/10)*(E1579/1000),Skills!L27/10)+Skills!O27</f>
        <v/>
      </c>
      <c r="G1579">
        <f>Skills!G27*IF(Skills!H27&gt;0,Skills!I27/Skills!H27,1)</f>
        <v/>
      </c>
      <c r="H1579">
        <f>1-(1-Skills!J27/100)^Skills!K27</f>
        <v/>
      </c>
      <c r="I1579" t="inlineStr">
        <is>
          <t>1</t>
        </is>
      </c>
      <c r="J1579" t="inlineStr"/>
      <c r="K1579" t="inlineStr"/>
      <c r="L1579" t="inlineStr"/>
      <c r="M1579" t="inlineStr"/>
      <c r="N1579" t="inlineStr"/>
      <c r="O1579">
        <f>(1-Summary!$B$55)*T1579+Summary!$B$55*V1579</f>
        <v/>
      </c>
      <c r="P1579">
        <f>IF(B1592=0,0,O1579/B1592)</f>
        <v/>
      </c>
      <c r="Q1579" t="n">
        <v>0</v>
      </c>
      <c r="R1579" t="n">
        <v>0</v>
      </c>
      <c r="S1579">
        <f>IFERROR(O1579/N1579,0)</f>
        <v/>
      </c>
      <c r="T1579" t="n">
        <v>0</v>
      </c>
      <c r="V1579" t="n">
        <v>0</v>
      </c>
    </row>
    <row r="1581">
      <c r="A1581" t="inlineStr">
        <is>
          <t>Attack% Bucket Multiplier</t>
        </is>
      </c>
      <c r="B1581">
        <f>(1+(((C1569=TRUE)*F1569)+((C1576=TRUE)*(F1576-Calc!F24)))/100)</f>
        <v/>
      </c>
    </row>
    <row r="1582">
      <c r="A1582" t="inlineStr">
        <is>
          <t>Global Crit Rate Bonus %</t>
        </is>
      </c>
      <c r="B1582" t="n">
        <v>0</v>
      </c>
    </row>
    <row r="1583">
      <c r="A1583" t="inlineStr">
        <is>
          <t>Attack Speed Buff Bonus % (unused)</t>
        </is>
      </c>
      <c r="B1583" t="n">
        <v>0</v>
      </c>
    </row>
    <row r="1584">
      <c r="A1584" t="inlineStr">
        <is>
          <t>Actions Per Second</t>
        </is>
      </c>
      <c r="B1584">
        <f>1+MIN(150,150*(1-(1-(Inputs!$B$11+((C1572=TRUE)*(F1572-Calc!F20))+((C1573=TRUE)*(F1573-Calc!F21)))/150)*(1-B1583/150)))/100</f>
        <v/>
      </c>
    </row>
    <row r="1585">
      <c r="A1585" t="inlineStr">
        <is>
          <t>Skill + Buff Cast Rate</t>
        </is>
      </c>
      <c r="B1585">
        <f>IF(AND(Inputs!$B$38&lt;&gt;"pvp",Inputs!$B$43&gt;0),SUMPRODUCT((Skills!E2:E27=TRUE)*(C1554:C1579=TRUE)*R1554:R1579*Skills!F2:F27)/Inputs!$B$43,SUMPRODUCT((Skills!E2:E27=TRUE)*(C1554:C1579=TRUE)*Q1554:Q1579*Skills!F2:F27))</f>
        <v/>
      </c>
    </row>
    <row r="1586">
      <c r="A1586" t="inlineStr">
        <is>
          <t>Eight-Legs Easton Casts Per Second</t>
        </is>
      </c>
      <c r="B1586">
        <f>MAX(0,B1584-B1585)</f>
        <v/>
      </c>
    </row>
    <row r="1587">
      <c r="A1587" t="inlineStr">
        <is>
          <t>Global Critical Damage Bonus % (unused)</t>
        </is>
      </c>
      <c r="B1587" t="n">
        <v>0</v>
      </c>
    </row>
    <row r="1588">
      <c r="A1588" t="inlineStr">
        <is>
          <t>Global Final Damage Bonus % (Jolly Roger only)</t>
        </is>
      </c>
      <c r="B1588">
        <f>((C1570=TRUE)*F1570)</f>
        <v/>
      </c>
    </row>
    <row r="1589">
      <c r="A1589" t="inlineStr">
        <is>
          <t>Buff-Casting Startup Delay (s, fixed-duration only)</t>
        </is>
      </c>
      <c r="B1589">
        <f>IF(AND(Inputs!$B$38&lt;&gt;"pvp",Inputs!$B$43&gt;0),SUMPRODUCT((Skills!T2:T27&gt;0)*(Skills!E2:E27=TRUE)*(C1554:C1579=TRUE))/B1584,0)</f>
        <v/>
      </c>
    </row>
    <row r="1590">
      <c r="A1590" t="inlineStr">
        <is>
          <t>Boss-Only Total DPS (this block's swept value)</t>
        </is>
      </c>
      <c r="B1590">
        <f>SUM(T1554:T1579)</f>
        <v/>
      </c>
    </row>
    <row r="1591">
      <c r="A1591" t="inlineStr">
        <is>
          <t>Normal-Only Total DPS (this block's swept value)</t>
        </is>
      </c>
      <c r="B1591">
        <f>SUM(V1554:V1579)</f>
        <v/>
      </c>
    </row>
    <row r="1592">
      <c r="A1592" s="5" t="inlineStr">
        <is>
          <t>TOTAL DPS</t>
        </is>
      </c>
      <c r="B1592" s="5">
        <f>SUM(O1554:O1579)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2026-09-20T08:56:56Z</dcterms:created>
  <dcterms:modified xsi:type="dcterms:W3CDTF">2026-09-20T08:56:56Z</dcterms:modified>
</cp:coreProperties>
</file>